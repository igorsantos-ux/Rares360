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gor\OneDrive\Desktop\PROJETOS\Antigravity\Rares360\Modelo Planilha\"/>
    </mc:Choice>
  </mc:AlternateContent>
  <xr:revisionPtr revIDLastSave="0" documentId="8_{EB539FED-7A45-4833-9CC9-072CD0E977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DO ATUAL" sheetId="1" r:id="rId1"/>
    <sheet name="ENTRADAS" sheetId="2" r:id="rId2"/>
    <sheet name="SAÍDAS" sheetId="3" r:id="rId3"/>
    <sheet name="VALIDADES" sheetId="4" r:id="rId4"/>
  </sheets>
  <definedNames>
    <definedName name="_xlnm._FilterDatabase" localSheetId="1" hidden="1">ENTRADAS!$A$2:$Z$72</definedName>
    <definedName name="_xlnm._FilterDatabase" localSheetId="0" hidden="1">'SALDO ATUAL'!$A$2:$Z$343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ReHqS+MulG9rCl1Gh56ms3g/faQHi2fOy0LLaDYfEs="/>
    </ext>
  </extLst>
</workbook>
</file>

<file path=xl/calcChain.xml><?xml version="1.0" encoding="utf-8"?>
<calcChain xmlns="http://schemas.openxmlformats.org/spreadsheetml/2006/main">
  <c r="F180" i="4" l="1"/>
  <c r="E180" i="4"/>
  <c r="D180" i="4"/>
  <c r="C180" i="4"/>
  <c r="B180" i="4"/>
  <c r="F179" i="4"/>
  <c r="E179" i="4"/>
  <c r="D179" i="4"/>
  <c r="C179" i="4"/>
  <c r="B179" i="4"/>
  <c r="F178" i="4"/>
  <c r="E178" i="4"/>
  <c r="D178" i="4"/>
  <c r="C178" i="4"/>
  <c r="B178" i="4"/>
  <c r="F177" i="4"/>
  <c r="E177" i="4"/>
  <c r="D177" i="4"/>
  <c r="C177" i="4"/>
  <c r="B177" i="4"/>
  <c r="F176" i="4"/>
  <c r="E176" i="4"/>
  <c r="D176" i="4"/>
  <c r="C176" i="4"/>
  <c r="B176" i="4"/>
  <c r="F175" i="4"/>
  <c r="E175" i="4"/>
  <c r="D175" i="4"/>
  <c r="C175" i="4"/>
  <c r="B175" i="4"/>
  <c r="F174" i="4"/>
  <c r="E174" i="4"/>
  <c r="D174" i="4"/>
  <c r="C174" i="4"/>
  <c r="B174" i="4"/>
  <c r="F173" i="4"/>
  <c r="E173" i="4"/>
  <c r="D173" i="4"/>
  <c r="C173" i="4"/>
  <c r="B173" i="4"/>
  <c r="F172" i="4"/>
  <c r="E172" i="4"/>
  <c r="D172" i="4"/>
  <c r="C172" i="4"/>
  <c r="B172" i="4"/>
  <c r="F171" i="4"/>
  <c r="E171" i="4"/>
  <c r="D171" i="4"/>
  <c r="C171" i="4"/>
  <c r="B171" i="4"/>
  <c r="F170" i="4"/>
  <c r="E170" i="4"/>
  <c r="D170" i="4"/>
  <c r="C170" i="4"/>
  <c r="B170" i="4"/>
  <c r="F169" i="4"/>
  <c r="E169" i="4"/>
  <c r="D169" i="4"/>
  <c r="C169" i="4"/>
  <c r="B169" i="4"/>
  <c r="F168" i="4"/>
  <c r="E168" i="4"/>
  <c r="D168" i="4"/>
  <c r="C168" i="4"/>
  <c r="B168" i="4"/>
  <c r="F167" i="4"/>
  <c r="E167" i="4"/>
  <c r="D167" i="4"/>
  <c r="C167" i="4"/>
  <c r="B167" i="4"/>
  <c r="F166" i="4"/>
  <c r="E166" i="4"/>
  <c r="D166" i="4"/>
  <c r="C166" i="4"/>
  <c r="B166" i="4"/>
  <c r="F165" i="4"/>
  <c r="E165" i="4"/>
  <c r="D165" i="4"/>
  <c r="C165" i="4"/>
  <c r="B165" i="4"/>
  <c r="F164" i="4"/>
  <c r="E164" i="4"/>
  <c r="D164" i="4"/>
  <c r="C164" i="4"/>
  <c r="B164" i="4"/>
  <c r="F163" i="4"/>
  <c r="E163" i="4"/>
  <c r="D163" i="4"/>
  <c r="C163" i="4"/>
  <c r="B163" i="4"/>
  <c r="F162" i="4"/>
  <c r="E162" i="4"/>
  <c r="D162" i="4"/>
  <c r="C162" i="4"/>
  <c r="B162" i="4"/>
  <c r="F161" i="4"/>
  <c r="E161" i="4"/>
  <c r="D161" i="4"/>
  <c r="C161" i="4"/>
  <c r="B161" i="4"/>
  <c r="F160" i="4"/>
  <c r="E160" i="4"/>
  <c r="D160" i="4"/>
  <c r="C160" i="4"/>
  <c r="B160" i="4"/>
  <c r="F159" i="4"/>
  <c r="E159" i="4"/>
  <c r="D159" i="4"/>
  <c r="C159" i="4"/>
  <c r="B159" i="4"/>
  <c r="F158" i="4"/>
  <c r="E158" i="4"/>
  <c r="D158" i="4"/>
  <c r="C158" i="4"/>
  <c r="B158" i="4"/>
  <c r="F157" i="4"/>
  <c r="E157" i="4"/>
  <c r="D157" i="4"/>
  <c r="C157" i="4"/>
  <c r="B157" i="4"/>
  <c r="F156" i="4"/>
  <c r="E156" i="4"/>
  <c r="D156" i="4"/>
  <c r="C156" i="4"/>
  <c r="B156" i="4"/>
  <c r="F155" i="4"/>
  <c r="E155" i="4"/>
  <c r="D155" i="4"/>
  <c r="C155" i="4"/>
  <c r="B155" i="4"/>
  <c r="F154" i="4"/>
  <c r="E154" i="4"/>
  <c r="D154" i="4"/>
  <c r="C154" i="4"/>
  <c r="B154" i="4"/>
  <c r="F153" i="4"/>
  <c r="E153" i="4"/>
  <c r="D153" i="4"/>
  <c r="C153" i="4"/>
  <c r="B153" i="4"/>
  <c r="F152" i="4"/>
  <c r="E152" i="4"/>
  <c r="D152" i="4"/>
  <c r="C152" i="4"/>
  <c r="B152" i="4"/>
  <c r="F151" i="4"/>
  <c r="E151" i="4"/>
  <c r="D151" i="4"/>
  <c r="C151" i="4"/>
  <c r="B151" i="4"/>
  <c r="F150" i="4"/>
  <c r="E150" i="4"/>
  <c r="D150" i="4"/>
  <c r="C150" i="4"/>
  <c r="B150" i="4"/>
  <c r="F149" i="4"/>
  <c r="E149" i="4"/>
  <c r="D149" i="4"/>
  <c r="C149" i="4"/>
  <c r="B149" i="4"/>
  <c r="F148" i="4"/>
  <c r="E148" i="4"/>
  <c r="D148" i="4"/>
  <c r="C148" i="4"/>
  <c r="B148" i="4"/>
  <c r="F147" i="4"/>
  <c r="E147" i="4"/>
  <c r="D147" i="4"/>
  <c r="C147" i="4"/>
  <c r="B147" i="4"/>
  <c r="F146" i="4"/>
  <c r="E146" i="4"/>
  <c r="D146" i="4"/>
  <c r="C146" i="4"/>
  <c r="B146" i="4"/>
  <c r="F145" i="4"/>
  <c r="E145" i="4"/>
  <c r="D145" i="4"/>
  <c r="C145" i="4"/>
  <c r="B145" i="4"/>
  <c r="F144" i="4"/>
  <c r="E144" i="4"/>
  <c r="D144" i="4"/>
  <c r="C144" i="4"/>
  <c r="B144" i="4"/>
  <c r="F143" i="4"/>
  <c r="E143" i="4"/>
  <c r="D143" i="4"/>
  <c r="C143" i="4"/>
  <c r="B143" i="4"/>
  <c r="F142" i="4"/>
  <c r="E142" i="4"/>
  <c r="D142" i="4"/>
  <c r="C142" i="4"/>
  <c r="B142" i="4"/>
  <c r="F141" i="4"/>
  <c r="E141" i="4"/>
  <c r="D141" i="4"/>
  <c r="C141" i="4"/>
  <c r="B141" i="4"/>
  <c r="F140" i="4"/>
  <c r="E140" i="4"/>
  <c r="D140" i="4"/>
  <c r="C140" i="4"/>
  <c r="B140" i="4"/>
  <c r="F139" i="4"/>
  <c r="E139" i="4"/>
  <c r="D139" i="4"/>
  <c r="C139" i="4"/>
  <c r="B139" i="4"/>
  <c r="F138" i="4"/>
  <c r="E138" i="4"/>
  <c r="D138" i="4"/>
  <c r="C138" i="4"/>
  <c r="B138" i="4"/>
  <c r="F137" i="4"/>
  <c r="E137" i="4"/>
  <c r="D137" i="4"/>
  <c r="C137" i="4"/>
  <c r="B137" i="4"/>
  <c r="F136" i="4"/>
  <c r="E136" i="4"/>
  <c r="D136" i="4"/>
  <c r="C136" i="4"/>
  <c r="B136" i="4"/>
  <c r="F135" i="4"/>
  <c r="E135" i="4"/>
  <c r="D135" i="4"/>
  <c r="C135" i="4"/>
  <c r="B135" i="4"/>
  <c r="F134" i="4"/>
  <c r="E134" i="4"/>
  <c r="D134" i="4"/>
  <c r="C134" i="4"/>
  <c r="B134" i="4"/>
  <c r="F133" i="4"/>
  <c r="E133" i="4"/>
  <c r="D133" i="4"/>
  <c r="C133" i="4"/>
  <c r="B133" i="4"/>
  <c r="F132" i="4"/>
  <c r="E132" i="4"/>
  <c r="D132" i="4"/>
  <c r="C132" i="4"/>
  <c r="B132" i="4"/>
  <c r="F131" i="4"/>
  <c r="E131" i="4"/>
  <c r="D131" i="4"/>
  <c r="C131" i="4"/>
  <c r="B131" i="4"/>
  <c r="F130" i="4"/>
  <c r="E130" i="4"/>
  <c r="D130" i="4"/>
  <c r="C130" i="4"/>
  <c r="B130" i="4"/>
  <c r="F129" i="4"/>
  <c r="E129" i="4"/>
  <c r="D129" i="4"/>
  <c r="C129" i="4"/>
  <c r="B129" i="4"/>
  <c r="F128" i="4"/>
  <c r="E128" i="4"/>
  <c r="D128" i="4"/>
  <c r="C128" i="4"/>
  <c r="B128" i="4"/>
  <c r="F127" i="4"/>
  <c r="E127" i="4"/>
  <c r="D127" i="4"/>
  <c r="C127" i="4"/>
  <c r="B127" i="4"/>
  <c r="F126" i="4"/>
  <c r="E126" i="4"/>
  <c r="D126" i="4"/>
  <c r="C126" i="4"/>
  <c r="B126" i="4"/>
  <c r="F125" i="4"/>
  <c r="E125" i="4"/>
  <c r="D125" i="4"/>
  <c r="C125" i="4"/>
  <c r="B125" i="4"/>
  <c r="F124" i="4"/>
  <c r="E124" i="4"/>
  <c r="D124" i="4"/>
  <c r="C124" i="4"/>
  <c r="B124" i="4"/>
  <c r="F123" i="4"/>
  <c r="E123" i="4"/>
  <c r="D123" i="4"/>
  <c r="C123" i="4"/>
  <c r="B123" i="4"/>
  <c r="F122" i="4"/>
  <c r="E122" i="4"/>
  <c r="D122" i="4"/>
  <c r="C122" i="4"/>
  <c r="B122" i="4"/>
  <c r="F121" i="4"/>
  <c r="E121" i="4"/>
  <c r="D121" i="4"/>
  <c r="C121" i="4"/>
  <c r="B121" i="4"/>
  <c r="F120" i="4"/>
  <c r="E120" i="4"/>
  <c r="D120" i="4"/>
  <c r="C120" i="4"/>
  <c r="B120" i="4"/>
  <c r="F119" i="4"/>
  <c r="E119" i="4"/>
  <c r="D119" i="4"/>
  <c r="C119" i="4"/>
  <c r="B119" i="4"/>
  <c r="F118" i="4"/>
  <c r="E118" i="4"/>
  <c r="D118" i="4"/>
  <c r="C118" i="4"/>
  <c r="B118" i="4"/>
  <c r="F117" i="4"/>
  <c r="E117" i="4"/>
  <c r="D117" i="4"/>
  <c r="C117" i="4"/>
  <c r="B117" i="4"/>
  <c r="F116" i="4"/>
  <c r="E116" i="4"/>
  <c r="D116" i="4"/>
  <c r="C116" i="4"/>
  <c r="B116" i="4"/>
  <c r="F115" i="4"/>
  <c r="E115" i="4"/>
  <c r="D115" i="4"/>
  <c r="C115" i="4"/>
  <c r="B115" i="4"/>
  <c r="F114" i="4"/>
  <c r="E114" i="4"/>
  <c r="D114" i="4"/>
  <c r="C114" i="4"/>
  <c r="B114" i="4"/>
  <c r="F113" i="4"/>
  <c r="E113" i="4"/>
  <c r="D113" i="4"/>
  <c r="C113" i="4"/>
  <c r="B113" i="4"/>
  <c r="F112" i="4"/>
  <c r="E112" i="4"/>
  <c r="D112" i="4"/>
  <c r="C112" i="4"/>
  <c r="B112" i="4"/>
  <c r="F111" i="4"/>
  <c r="E111" i="4"/>
  <c r="D111" i="4"/>
  <c r="C111" i="4"/>
  <c r="B111" i="4"/>
  <c r="F110" i="4"/>
  <c r="E110" i="4"/>
  <c r="D110" i="4"/>
  <c r="C110" i="4"/>
  <c r="B110" i="4"/>
  <c r="F109" i="4"/>
  <c r="E109" i="4"/>
  <c r="D109" i="4"/>
  <c r="C109" i="4"/>
  <c r="B109" i="4"/>
  <c r="F108" i="4"/>
  <c r="E108" i="4"/>
  <c r="D108" i="4"/>
  <c r="C108" i="4"/>
  <c r="B108" i="4"/>
  <c r="F107" i="4"/>
  <c r="E107" i="4"/>
  <c r="D107" i="4"/>
  <c r="C107" i="4"/>
  <c r="B107" i="4"/>
  <c r="F106" i="4"/>
  <c r="E106" i="4"/>
  <c r="D106" i="4"/>
  <c r="C106" i="4"/>
  <c r="B106" i="4"/>
  <c r="F105" i="4"/>
  <c r="E105" i="4"/>
  <c r="D105" i="4"/>
  <c r="C105" i="4"/>
  <c r="F104" i="4"/>
  <c r="E104" i="4"/>
  <c r="D104" i="4"/>
  <c r="C104" i="4"/>
  <c r="B104" i="4"/>
  <c r="F103" i="4"/>
  <c r="E103" i="4"/>
  <c r="D103" i="4"/>
  <c r="C103" i="4"/>
  <c r="B103" i="4"/>
  <c r="F102" i="4"/>
  <c r="E102" i="4"/>
  <c r="D102" i="4"/>
  <c r="C102" i="4"/>
  <c r="B102" i="4"/>
  <c r="F101" i="4"/>
  <c r="E101" i="4"/>
  <c r="D101" i="4"/>
  <c r="C101" i="4"/>
  <c r="B101" i="4"/>
  <c r="F100" i="4"/>
  <c r="E100" i="4"/>
  <c r="D100" i="4"/>
  <c r="C100" i="4"/>
  <c r="B100" i="4"/>
  <c r="F99" i="4"/>
  <c r="E99" i="4"/>
  <c r="D99" i="4"/>
  <c r="C99" i="4"/>
  <c r="B99" i="4"/>
  <c r="F98" i="4"/>
  <c r="E98" i="4"/>
  <c r="D98" i="4"/>
  <c r="C98" i="4"/>
  <c r="B98" i="4"/>
  <c r="F97" i="4"/>
  <c r="E97" i="4"/>
  <c r="D97" i="4"/>
  <c r="C97" i="4"/>
  <c r="B97" i="4"/>
  <c r="F96" i="4"/>
  <c r="E96" i="4"/>
  <c r="D96" i="4"/>
  <c r="C96" i="4"/>
  <c r="B96" i="4"/>
  <c r="F95" i="4"/>
  <c r="E95" i="4"/>
  <c r="D95" i="4"/>
  <c r="C95" i="4"/>
  <c r="B95" i="4"/>
  <c r="F94" i="4"/>
  <c r="E94" i="4"/>
  <c r="D94" i="4"/>
  <c r="C94" i="4"/>
  <c r="B94" i="4"/>
  <c r="F93" i="4"/>
  <c r="E93" i="4"/>
  <c r="D93" i="4"/>
  <c r="C93" i="4"/>
  <c r="B93" i="4"/>
  <c r="F92" i="4"/>
  <c r="E92" i="4"/>
  <c r="D92" i="4"/>
  <c r="C92" i="4"/>
  <c r="B92" i="4"/>
  <c r="F91" i="4"/>
  <c r="E91" i="4"/>
  <c r="D91" i="4"/>
  <c r="C91" i="4"/>
  <c r="B91" i="4"/>
  <c r="F90" i="4"/>
  <c r="E90" i="4"/>
  <c r="D90" i="4"/>
  <c r="C90" i="4"/>
  <c r="B90" i="4"/>
  <c r="F89" i="4"/>
  <c r="E89" i="4"/>
  <c r="D89" i="4"/>
  <c r="C89" i="4"/>
  <c r="B89" i="4"/>
  <c r="F88" i="4"/>
  <c r="E88" i="4"/>
  <c r="D88" i="4"/>
  <c r="C88" i="4"/>
  <c r="B88" i="4"/>
  <c r="F87" i="4"/>
  <c r="E87" i="4"/>
  <c r="D87" i="4"/>
  <c r="C87" i="4"/>
  <c r="B87" i="4"/>
  <c r="F86" i="4"/>
  <c r="E86" i="4"/>
  <c r="D86" i="4"/>
  <c r="C86" i="4"/>
  <c r="B86" i="4"/>
  <c r="F85" i="4"/>
  <c r="E85" i="4"/>
  <c r="D85" i="4"/>
  <c r="C85" i="4"/>
  <c r="B85" i="4"/>
  <c r="F84" i="4"/>
  <c r="E84" i="4"/>
  <c r="D84" i="4"/>
  <c r="C84" i="4"/>
  <c r="B84" i="4"/>
  <c r="F83" i="4"/>
  <c r="E83" i="4"/>
  <c r="D83" i="4"/>
  <c r="C83" i="4"/>
  <c r="B83" i="4"/>
  <c r="F82" i="4"/>
  <c r="E82" i="4"/>
  <c r="D82" i="4"/>
  <c r="C82" i="4"/>
  <c r="B82" i="4"/>
  <c r="F81" i="4"/>
  <c r="E81" i="4"/>
  <c r="D81" i="4"/>
  <c r="C81" i="4"/>
  <c r="B81" i="4"/>
  <c r="F80" i="4"/>
  <c r="E80" i="4"/>
  <c r="D80" i="4"/>
  <c r="C80" i="4"/>
  <c r="B80" i="4"/>
  <c r="F79" i="4"/>
  <c r="E79" i="4"/>
  <c r="D79" i="4"/>
  <c r="C79" i="4"/>
  <c r="B79" i="4"/>
  <c r="F78" i="4"/>
  <c r="E78" i="4"/>
  <c r="D78" i="4"/>
  <c r="C78" i="4"/>
  <c r="B78" i="4"/>
  <c r="F77" i="4"/>
  <c r="E77" i="4"/>
  <c r="D77" i="4"/>
  <c r="C77" i="4"/>
  <c r="B77" i="4"/>
  <c r="F76" i="4"/>
  <c r="E76" i="4"/>
  <c r="D76" i="4"/>
  <c r="C76" i="4"/>
  <c r="B76" i="4"/>
  <c r="F75" i="4"/>
  <c r="E75" i="4"/>
  <c r="D75" i="4"/>
  <c r="C75" i="4"/>
  <c r="B75" i="4"/>
  <c r="F74" i="4"/>
  <c r="E74" i="4"/>
  <c r="D74" i="4"/>
  <c r="C74" i="4"/>
  <c r="B74" i="4"/>
  <c r="F73" i="4"/>
  <c r="E73" i="4"/>
  <c r="D73" i="4"/>
  <c r="C73" i="4"/>
  <c r="B73" i="4"/>
  <c r="F72" i="4"/>
  <c r="E72" i="4"/>
  <c r="D72" i="4"/>
  <c r="C72" i="4"/>
  <c r="B72" i="4"/>
  <c r="F71" i="4"/>
  <c r="E71" i="4"/>
  <c r="D71" i="4"/>
  <c r="C71" i="4"/>
  <c r="B71" i="4"/>
  <c r="F70" i="4"/>
  <c r="E70" i="4"/>
  <c r="D70" i="4"/>
  <c r="C70" i="4"/>
  <c r="B70" i="4"/>
  <c r="F69" i="4"/>
  <c r="E69" i="4"/>
  <c r="D69" i="4"/>
  <c r="C69" i="4"/>
  <c r="B69" i="4"/>
  <c r="F68" i="4"/>
  <c r="E68" i="4"/>
  <c r="D68" i="4"/>
  <c r="C68" i="4"/>
  <c r="B68" i="4"/>
  <c r="F67" i="4"/>
  <c r="E67" i="4"/>
  <c r="D67" i="4"/>
  <c r="C67" i="4"/>
  <c r="B67" i="4"/>
  <c r="F66" i="4"/>
  <c r="E66" i="4"/>
  <c r="D66" i="4"/>
  <c r="C66" i="4"/>
  <c r="B66" i="4"/>
  <c r="F65" i="4"/>
  <c r="E65" i="4"/>
  <c r="D65" i="4"/>
  <c r="C65" i="4"/>
  <c r="B65" i="4"/>
  <c r="F64" i="4"/>
  <c r="E64" i="4"/>
  <c r="D64" i="4"/>
  <c r="C64" i="4"/>
  <c r="B64" i="4"/>
  <c r="F63" i="4"/>
  <c r="E63" i="4"/>
  <c r="D63" i="4"/>
  <c r="C63" i="4"/>
  <c r="B63" i="4"/>
  <c r="F62" i="4"/>
  <c r="E62" i="4"/>
  <c r="D62" i="4"/>
  <c r="C62" i="4"/>
  <c r="B62" i="4"/>
  <c r="F61" i="4"/>
  <c r="E61" i="4"/>
  <c r="D61" i="4"/>
  <c r="C61" i="4"/>
  <c r="B61" i="4"/>
  <c r="F60" i="4"/>
  <c r="E60" i="4"/>
  <c r="D60" i="4"/>
  <c r="C60" i="4"/>
  <c r="B60" i="4"/>
  <c r="F59" i="4"/>
  <c r="E59" i="4"/>
  <c r="D59" i="4"/>
  <c r="C59" i="4"/>
  <c r="B59" i="4"/>
  <c r="F58" i="4"/>
  <c r="E58" i="4"/>
  <c r="D58" i="4"/>
  <c r="C58" i="4"/>
  <c r="B58" i="4"/>
  <c r="F57" i="4"/>
  <c r="E57" i="4"/>
  <c r="D57" i="4"/>
  <c r="C57" i="4"/>
  <c r="B57" i="4"/>
  <c r="F56" i="4"/>
  <c r="E56" i="4"/>
  <c r="D56" i="4"/>
  <c r="C56" i="4"/>
  <c r="B56" i="4"/>
  <c r="F55" i="4"/>
  <c r="E55" i="4"/>
  <c r="D55" i="4"/>
  <c r="C55" i="4"/>
  <c r="B55" i="4"/>
  <c r="F54" i="4"/>
  <c r="E54" i="4"/>
  <c r="D54" i="4"/>
  <c r="C54" i="4"/>
  <c r="B54" i="4"/>
  <c r="F53" i="4"/>
  <c r="E53" i="4"/>
  <c r="D53" i="4"/>
  <c r="C53" i="4"/>
  <c r="B53" i="4"/>
  <c r="F52" i="4"/>
  <c r="E52" i="4"/>
  <c r="D52" i="4"/>
  <c r="C52" i="4"/>
  <c r="B52" i="4"/>
  <c r="F51" i="4"/>
  <c r="E51" i="4"/>
  <c r="D51" i="4"/>
  <c r="C51" i="4"/>
  <c r="B51" i="4"/>
  <c r="F50" i="4"/>
  <c r="E50" i="4"/>
  <c r="D50" i="4"/>
  <c r="C50" i="4"/>
  <c r="B50" i="4"/>
  <c r="F49" i="4"/>
  <c r="E49" i="4"/>
  <c r="D49" i="4"/>
  <c r="C49" i="4"/>
  <c r="B49" i="4"/>
  <c r="F48" i="4"/>
  <c r="E48" i="4"/>
  <c r="D48" i="4"/>
  <c r="C48" i="4"/>
  <c r="B48" i="4"/>
  <c r="F47" i="4"/>
  <c r="E47" i="4"/>
  <c r="D47" i="4"/>
  <c r="C47" i="4"/>
  <c r="B47" i="4"/>
  <c r="F46" i="4"/>
  <c r="E46" i="4"/>
  <c r="D46" i="4"/>
  <c r="C46" i="4"/>
  <c r="B46" i="4"/>
  <c r="F45" i="4"/>
  <c r="E45" i="4"/>
  <c r="D45" i="4"/>
  <c r="C45" i="4"/>
  <c r="B45" i="4"/>
  <c r="F44" i="4"/>
  <c r="E44" i="4"/>
  <c r="D44" i="4"/>
  <c r="C44" i="4"/>
  <c r="B44" i="4"/>
  <c r="F43" i="4"/>
  <c r="E43" i="4"/>
  <c r="D43" i="4"/>
  <c r="C43" i="4"/>
  <c r="B43" i="4"/>
  <c r="F42" i="4"/>
  <c r="E42" i="4"/>
  <c r="D42" i="4"/>
  <c r="C42" i="4"/>
  <c r="B42" i="4"/>
  <c r="F41" i="4"/>
  <c r="E41" i="4"/>
  <c r="D41" i="4"/>
  <c r="C41" i="4"/>
  <c r="B41" i="4"/>
  <c r="F40" i="4"/>
  <c r="E40" i="4"/>
  <c r="D40" i="4"/>
  <c r="C40" i="4"/>
  <c r="B40" i="4"/>
  <c r="F39" i="4"/>
  <c r="E39" i="4"/>
  <c r="D39" i="4"/>
  <c r="C39" i="4"/>
  <c r="B39" i="4"/>
  <c r="F38" i="4"/>
  <c r="E38" i="4"/>
  <c r="D38" i="4"/>
  <c r="C38" i="4"/>
  <c r="B38" i="4"/>
  <c r="F37" i="4"/>
  <c r="E37" i="4"/>
  <c r="D37" i="4"/>
  <c r="C37" i="4"/>
  <c r="B37" i="4"/>
  <c r="F36" i="4"/>
  <c r="E36" i="4"/>
  <c r="D36" i="4"/>
  <c r="C36" i="4"/>
  <c r="B36" i="4"/>
  <c r="F35" i="4"/>
  <c r="E35" i="4"/>
  <c r="D35" i="4"/>
  <c r="C35" i="4"/>
  <c r="B35" i="4"/>
  <c r="F34" i="4"/>
  <c r="E34" i="4"/>
  <c r="D34" i="4"/>
  <c r="C34" i="4"/>
  <c r="B34" i="4"/>
  <c r="F33" i="4"/>
  <c r="E33" i="4"/>
  <c r="D33" i="4"/>
  <c r="C33" i="4"/>
  <c r="B33" i="4"/>
  <c r="F32" i="4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L2" i="4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D647" i="3"/>
  <c r="C647" i="3"/>
  <c r="D646" i="3"/>
  <c r="C646" i="3"/>
  <c r="D645" i="3"/>
  <c r="C645" i="3"/>
  <c r="D644" i="3"/>
  <c r="C644" i="3"/>
  <c r="D643" i="3"/>
  <c r="C643" i="3"/>
  <c r="D642" i="3"/>
  <c r="C642" i="3"/>
  <c r="D641" i="3"/>
  <c r="C641" i="3"/>
  <c r="D640" i="3"/>
  <c r="C640" i="3"/>
  <c r="D639" i="3"/>
  <c r="C639" i="3"/>
  <c r="D638" i="3"/>
  <c r="C638" i="3"/>
  <c r="D637" i="3"/>
  <c r="C637" i="3"/>
  <c r="D636" i="3"/>
  <c r="C636" i="3"/>
  <c r="D635" i="3"/>
  <c r="C635" i="3"/>
  <c r="D634" i="3"/>
  <c r="C634" i="3"/>
  <c r="D633" i="3"/>
  <c r="C633" i="3"/>
  <c r="D632" i="3"/>
  <c r="C632" i="3"/>
  <c r="D631" i="3"/>
  <c r="C631" i="3"/>
  <c r="D630" i="3"/>
  <c r="C630" i="3"/>
  <c r="D629" i="3"/>
  <c r="C629" i="3"/>
  <c r="D628" i="3"/>
  <c r="C628" i="3"/>
  <c r="D627" i="3"/>
  <c r="C627" i="3"/>
  <c r="D626" i="3"/>
  <c r="C626" i="3"/>
  <c r="D625" i="3"/>
  <c r="C625" i="3"/>
  <c r="D624" i="3"/>
  <c r="C624" i="3"/>
  <c r="D623" i="3"/>
  <c r="C623" i="3"/>
  <c r="D622" i="3"/>
  <c r="C622" i="3"/>
  <c r="D621" i="3"/>
  <c r="C621" i="3"/>
  <c r="D620" i="3"/>
  <c r="C620" i="3"/>
  <c r="D619" i="3"/>
  <c r="C619" i="3"/>
  <c r="D618" i="3"/>
  <c r="C618" i="3"/>
  <c r="D617" i="3"/>
  <c r="C617" i="3"/>
  <c r="D616" i="3"/>
  <c r="C616" i="3"/>
  <c r="D615" i="3"/>
  <c r="C615" i="3"/>
  <c r="D614" i="3"/>
  <c r="C614" i="3"/>
  <c r="D613" i="3"/>
  <c r="C613" i="3"/>
  <c r="D612" i="3"/>
  <c r="C612" i="3"/>
  <c r="D611" i="3"/>
  <c r="C611" i="3"/>
  <c r="D610" i="3"/>
  <c r="C610" i="3"/>
  <c r="D609" i="3"/>
  <c r="C609" i="3"/>
  <c r="D608" i="3"/>
  <c r="C608" i="3"/>
  <c r="D607" i="3"/>
  <c r="C607" i="3"/>
  <c r="D606" i="3"/>
  <c r="C606" i="3"/>
  <c r="D605" i="3"/>
  <c r="C605" i="3"/>
  <c r="D604" i="3"/>
  <c r="C604" i="3"/>
  <c r="D603" i="3"/>
  <c r="C603" i="3"/>
  <c r="D602" i="3"/>
  <c r="C602" i="3"/>
  <c r="D601" i="3"/>
  <c r="C601" i="3"/>
  <c r="D600" i="3"/>
  <c r="C600" i="3"/>
  <c r="D599" i="3"/>
  <c r="C599" i="3"/>
  <c r="D598" i="3"/>
  <c r="C598" i="3"/>
  <c r="D597" i="3"/>
  <c r="C597" i="3"/>
  <c r="D596" i="3"/>
  <c r="C596" i="3"/>
  <c r="D595" i="3"/>
  <c r="C595" i="3"/>
  <c r="D594" i="3"/>
  <c r="C594" i="3"/>
  <c r="D593" i="3"/>
  <c r="C593" i="3"/>
  <c r="D592" i="3"/>
  <c r="C592" i="3"/>
  <c r="D591" i="3"/>
  <c r="C591" i="3"/>
  <c r="D590" i="3"/>
  <c r="C590" i="3"/>
  <c r="D589" i="3"/>
  <c r="C589" i="3"/>
  <c r="D588" i="3"/>
  <c r="C588" i="3"/>
  <c r="D587" i="3"/>
  <c r="C587" i="3"/>
  <c r="D586" i="3"/>
  <c r="C586" i="3"/>
  <c r="D585" i="3"/>
  <c r="C585" i="3"/>
  <c r="D584" i="3"/>
  <c r="C584" i="3"/>
  <c r="D583" i="3"/>
  <c r="C583" i="3"/>
  <c r="D582" i="3"/>
  <c r="C582" i="3"/>
  <c r="D581" i="3"/>
  <c r="C581" i="3"/>
  <c r="D580" i="3"/>
  <c r="C580" i="3"/>
  <c r="D579" i="3"/>
  <c r="C579" i="3"/>
  <c r="D578" i="3"/>
  <c r="C578" i="3"/>
  <c r="D577" i="3"/>
  <c r="C577" i="3"/>
  <c r="D576" i="3"/>
  <c r="C576" i="3"/>
  <c r="D575" i="3"/>
  <c r="C575" i="3"/>
  <c r="D574" i="3"/>
  <c r="C574" i="3"/>
  <c r="D573" i="3"/>
  <c r="C573" i="3"/>
  <c r="D572" i="3"/>
  <c r="C572" i="3"/>
  <c r="D571" i="3"/>
  <c r="C571" i="3"/>
  <c r="D570" i="3"/>
  <c r="C570" i="3"/>
  <c r="D569" i="3"/>
  <c r="C569" i="3"/>
  <c r="D568" i="3"/>
  <c r="C568" i="3"/>
  <c r="D567" i="3"/>
  <c r="C567" i="3"/>
  <c r="D566" i="3"/>
  <c r="C566" i="3"/>
  <c r="D565" i="3"/>
  <c r="C565" i="3"/>
  <c r="D564" i="3"/>
  <c r="C564" i="3"/>
  <c r="D563" i="3"/>
  <c r="C563" i="3"/>
  <c r="D562" i="3"/>
  <c r="C562" i="3"/>
  <c r="D561" i="3"/>
  <c r="C561" i="3"/>
  <c r="D560" i="3"/>
  <c r="C560" i="3"/>
  <c r="D559" i="3"/>
  <c r="C559" i="3"/>
  <c r="D558" i="3"/>
  <c r="C558" i="3"/>
  <c r="D557" i="3"/>
  <c r="C557" i="3"/>
  <c r="D556" i="3"/>
  <c r="C556" i="3"/>
  <c r="D555" i="3"/>
  <c r="C555" i="3"/>
  <c r="D554" i="3"/>
  <c r="C554" i="3"/>
  <c r="D553" i="3"/>
  <c r="C553" i="3"/>
  <c r="D552" i="3"/>
  <c r="C552" i="3"/>
  <c r="D551" i="3"/>
  <c r="C551" i="3"/>
  <c r="D550" i="3"/>
  <c r="C550" i="3"/>
  <c r="D549" i="3"/>
  <c r="C549" i="3"/>
  <c r="D548" i="3"/>
  <c r="C548" i="3"/>
  <c r="D547" i="3"/>
  <c r="C547" i="3"/>
  <c r="D546" i="3"/>
  <c r="C546" i="3"/>
  <c r="D545" i="3"/>
  <c r="C545" i="3"/>
  <c r="D544" i="3"/>
  <c r="C544" i="3"/>
  <c r="D543" i="3"/>
  <c r="C543" i="3"/>
  <c r="D542" i="3"/>
  <c r="C542" i="3"/>
  <c r="D541" i="3"/>
  <c r="C541" i="3"/>
  <c r="D540" i="3"/>
  <c r="C540" i="3"/>
  <c r="D539" i="3"/>
  <c r="C539" i="3"/>
  <c r="D538" i="3"/>
  <c r="C538" i="3"/>
  <c r="D537" i="3"/>
  <c r="C537" i="3"/>
  <c r="D536" i="3"/>
  <c r="C536" i="3"/>
  <c r="D535" i="3"/>
  <c r="C535" i="3"/>
  <c r="D534" i="3"/>
  <c r="C534" i="3"/>
  <c r="D533" i="3"/>
  <c r="C533" i="3"/>
  <c r="D532" i="3"/>
  <c r="C532" i="3"/>
  <c r="D531" i="3"/>
  <c r="C531" i="3"/>
  <c r="D530" i="3"/>
  <c r="C530" i="3"/>
  <c r="D529" i="3"/>
  <c r="C529" i="3"/>
  <c r="D528" i="3"/>
  <c r="C528" i="3"/>
  <c r="D527" i="3"/>
  <c r="C527" i="3"/>
  <c r="D526" i="3"/>
  <c r="C526" i="3"/>
  <c r="D525" i="3"/>
  <c r="C525" i="3"/>
  <c r="D524" i="3"/>
  <c r="C524" i="3"/>
  <c r="D523" i="3"/>
  <c r="C523" i="3"/>
  <c r="D522" i="3"/>
  <c r="C522" i="3"/>
  <c r="D521" i="3"/>
  <c r="C521" i="3"/>
  <c r="D520" i="3"/>
  <c r="C520" i="3"/>
  <c r="D519" i="3"/>
  <c r="C519" i="3"/>
  <c r="D518" i="3"/>
  <c r="C518" i="3"/>
  <c r="D517" i="3"/>
  <c r="C517" i="3"/>
  <c r="D516" i="3"/>
  <c r="C516" i="3"/>
  <c r="D515" i="3"/>
  <c r="C515" i="3"/>
  <c r="D514" i="3"/>
  <c r="C514" i="3"/>
  <c r="D513" i="3"/>
  <c r="C513" i="3"/>
  <c r="D512" i="3"/>
  <c r="C512" i="3"/>
  <c r="D511" i="3"/>
  <c r="C511" i="3"/>
  <c r="D510" i="3"/>
  <c r="C510" i="3"/>
  <c r="D509" i="3"/>
  <c r="C509" i="3"/>
  <c r="D508" i="3"/>
  <c r="C508" i="3"/>
  <c r="D507" i="3"/>
  <c r="C507" i="3"/>
  <c r="D506" i="3"/>
  <c r="C506" i="3"/>
  <c r="D505" i="3"/>
  <c r="C505" i="3"/>
  <c r="D504" i="3"/>
  <c r="C504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87" i="3"/>
  <c r="C487" i="3"/>
  <c r="D486" i="3"/>
  <c r="C486" i="3"/>
  <c r="D485" i="3"/>
  <c r="C485" i="3"/>
  <c r="D484" i="3"/>
  <c r="C484" i="3"/>
  <c r="D483" i="3"/>
  <c r="C483" i="3"/>
  <c r="D482" i="3"/>
  <c r="C482" i="3"/>
  <c r="D481" i="3"/>
  <c r="C481" i="3"/>
  <c r="D480" i="3"/>
  <c r="C480" i="3"/>
  <c r="D479" i="3"/>
  <c r="C479" i="3"/>
  <c r="D478" i="3"/>
  <c r="C478" i="3"/>
  <c r="D477" i="3"/>
  <c r="C477" i="3"/>
  <c r="D476" i="3"/>
  <c r="C476" i="3"/>
  <c r="D475" i="3"/>
  <c r="C475" i="3"/>
  <c r="D474" i="3"/>
  <c r="C474" i="3"/>
  <c r="D473" i="3"/>
  <c r="C473" i="3"/>
  <c r="D472" i="3"/>
  <c r="C472" i="3"/>
  <c r="D471" i="3"/>
  <c r="C471" i="3"/>
  <c r="D470" i="3"/>
  <c r="C470" i="3"/>
  <c r="D469" i="3"/>
  <c r="C469" i="3"/>
  <c r="D468" i="3"/>
  <c r="C468" i="3"/>
  <c r="D467" i="3"/>
  <c r="C467" i="3"/>
  <c r="D466" i="3"/>
  <c r="C466" i="3"/>
  <c r="D465" i="3"/>
  <c r="C465" i="3"/>
  <c r="D464" i="3"/>
  <c r="C464" i="3"/>
  <c r="D463" i="3"/>
  <c r="C463" i="3"/>
  <c r="D462" i="3"/>
  <c r="C462" i="3"/>
  <c r="D461" i="3"/>
  <c r="C461" i="3"/>
  <c r="D460" i="3"/>
  <c r="C460" i="3"/>
  <c r="D459" i="3"/>
  <c r="C459" i="3"/>
  <c r="D458" i="3"/>
  <c r="C458" i="3"/>
  <c r="D457" i="3"/>
  <c r="C457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C448" i="3"/>
  <c r="D447" i="3"/>
  <c r="C447" i="3"/>
  <c r="D446" i="3"/>
  <c r="C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E421" i="3"/>
  <c r="D421" i="3"/>
  <c r="C421" i="3"/>
  <c r="E420" i="3"/>
  <c r="D420" i="3"/>
  <c r="C420" i="3"/>
  <c r="E419" i="3"/>
  <c r="D419" i="3"/>
  <c r="C419" i="3"/>
  <c r="E418" i="3"/>
  <c r="D418" i="3"/>
  <c r="C418" i="3"/>
  <c r="E417" i="3"/>
  <c r="D417" i="3"/>
  <c r="C417" i="3"/>
  <c r="E416" i="3"/>
  <c r="D416" i="3"/>
  <c r="C416" i="3"/>
  <c r="E415" i="3"/>
  <c r="D415" i="3"/>
  <c r="C415" i="3"/>
  <c r="E414" i="3"/>
  <c r="D414" i="3"/>
  <c r="C414" i="3"/>
  <c r="E413" i="3"/>
  <c r="D413" i="3"/>
  <c r="C413" i="3"/>
  <c r="E412" i="3"/>
  <c r="D412" i="3"/>
  <c r="C412" i="3"/>
  <c r="E411" i="3"/>
  <c r="D411" i="3"/>
  <c r="C411" i="3"/>
  <c r="E410" i="3"/>
  <c r="D410" i="3"/>
  <c r="C410" i="3"/>
  <c r="E409" i="3"/>
  <c r="D409" i="3"/>
  <c r="C409" i="3"/>
  <c r="E408" i="3"/>
  <c r="D408" i="3"/>
  <c r="C408" i="3"/>
  <c r="E407" i="3"/>
  <c r="D407" i="3"/>
  <c r="C407" i="3"/>
  <c r="E406" i="3"/>
  <c r="D406" i="3"/>
  <c r="C406" i="3"/>
  <c r="E405" i="3"/>
  <c r="D405" i="3"/>
  <c r="C405" i="3"/>
  <c r="E404" i="3"/>
  <c r="D404" i="3"/>
  <c r="C404" i="3"/>
  <c r="E403" i="3"/>
  <c r="D403" i="3"/>
  <c r="C403" i="3"/>
  <c r="E402" i="3"/>
  <c r="D402" i="3"/>
  <c r="C402" i="3"/>
  <c r="E401" i="3"/>
  <c r="D401" i="3"/>
  <c r="C401" i="3"/>
  <c r="E400" i="3"/>
  <c r="D400" i="3"/>
  <c r="C400" i="3"/>
  <c r="E399" i="3"/>
  <c r="D399" i="3"/>
  <c r="C399" i="3"/>
  <c r="E398" i="3"/>
  <c r="D398" i="3"/>
  <c r="C398" i="3"/>
  <c r="E397" i="3"/>
  <c r="D397" i="3"/>
  <c r="C397" i="3"/>
  <c r="E396" i="3"/>
  <c r="D396" i="3"/>
  <c r="C396" i="3"/>
  <c r="E395" i="3"/>
  <c r="D395" i="3"/>
  <c r="C395" i="3"/>
  <c r="E394" i="3"/>
  <c r="D394" i="3"/>
  <c r="C394" i="3"/>
  <c r="E393" i="3"/>
  <c r="D393" i="3"/>
  <c r="C393" i="3"/>
  <c r="E392" i="3"/>
  <c r="D392" i="3"/>
  <c r="C392" i="3"/>
  <c r="E391" i="3"/>
  <c r="D391" i="3"/>
  <c r="C391" i="3"/>
  <c r="E390" i="3"/>
  <c r="D390" i="3"/>
  <c r="C390" i="3"/>
  <c r="E389" i="3"/>
  <c r="D389" i="3"/>
  <c r="C389" i="3"/>
  <c r="E388" i="3"/>
  <c r="D388" i="3"/>
  <c r="C388" i="3"/>
  <c r="E387" i="3"/>
  <c r="D387" i="3"/>
  <c r="C387" i="3"/>
  <c r="E386" i="3"/>
  <c r="D386" i="3"/>
  <c r="C386" i="3"/>
  <c r="E385" i="3"/>
  <c r="D385" i="3"/>
  <c r="C385" i="3"/>
  <c r="E384" i="3"/>
  <c r="D384" i="3"/>
  <c r="C384" i="3"/>
  <c r="E383" i="3"/>
  <c r="D383" i="3"/>
  <c r="C383" i="3"/>
  <c r="E382" i="3"/>
  <c r="D382" i="3"/>
  <c r="C382" i="3"/>
  <c r="E381" i="3"/>
  <c r="D381" i="3"/>
  <c r="C381" i="3"/>
  <c r="E380" i="3"/>
  <c r="D380" i="3"/>
  <c r="C380" i="3"/>
  <c r="E379" i="3"/>
  <c r="D379" i="3"/>
  <c r="C379" i="3"/>
  <c r="E378" i="3"/>
  <c r="D378" i="3"/>
  <c r="C378" i="3"/>
  <c r="E377" i="3"/>
  <c r="D377" i="3"/>
  <c r="C377" i="3"/>
  <c r="E376" i="3"/>
  <c r="D376" i="3"/>
  <c r="C376" i="3"/>
  <c r="E375" i="3"/>
  <c r="D375" i="3"/>
  <c r="C375" i="3"/>
  <c r="E374" i="3"/>
  <c r="D374" i="3"/>
  <c r="C374" i="3"/>
  <c r="E373" i="3"/>
  <c r="D373" i="3"/>
  <c r="C373" i="3"/>
  <c r="E372" i="3"/>
  <c r="D372" i="3"/>
  <c r="C372" i="3"/>
  <c r="E371" i="3"/>
  <c r="D371" i="3"/>
  <c r="C371" i="3"/>
  <c r="E370" i="3"/>
  <c r="D370" i="3"/>
  <c r="C370" i="3"/>
  <c r="E369" i="3"/>
  <c r="D369" i="3"/>
  <c r="C369" i="3"/>
  <c r="E368" i="3"/>
  <c r="D368" i="3"/>
  <c r="C368" i="3"/>
  <c r="E367" i="3"/>
  <c r="D367" i="3"/>
  <c r="C367" i="3"/>
  <c r="E366" i="3"/>
  <c r="D366" i="3"/>
  <c r="C366" i="3"/>
  <c r="E365" i="3"/>
  <c r="D365" i="3"/>
  <c r="C365" i="3"/>
  <c r="E364" i="3"/>
  <c r="D364" i="3"/>
  <c r="C364" i="3"/>
  <c r="E363" i="3"/>
  <c r="D363" i="3"/>
  <c r="C363" i="3"/>
  <c r="E362" i="3"/>
  <c r="D362" i="3"/>
  <c r="C362" i="3"/>
  <c r="E361" i="3"/>
  <c r="D361" i="3"/>
  <c r="C361" i="3"/>
  <c r="E360" i="3"/>
  <c r="D360" i="3"/>
  <c r="C360" i="3"/>
  <c r="E359" i="3"/>
  <c r="D359" i="3"/>
  <c r="C359" i="3"/>
  <c r="E358" i="3"/>
  <c r="D358" i="3"/>
  <c r="C358" i="3"/>
  <c r="E357" i="3"/>
  <c r="D357" i="3"/>
  <c r="C357" i="3"/>
  <c r="E356" i="3"/>
  <c r="D356" i="3"/>
  <c r="C356" i="3"/>
  <c r="E355" i="3"/>
  <c r="D355" i="3"/>
  <c r="C355" i="3"/>
  <c r="E354" i="3"/>
  <c r="D354" i="3"/>
  <c r="C354" i="3"/>
  <c r="E353" i="3"/>
  <c r="D353" i="3"/>
  <c r="C353" i="3"/>
  <c r="E352" i="3"/>
  <c r="D352" i="3"/>
  <c r="C352" i="3"/>
  <c r="E351" i="3"/>
  <c r="D351" i="3"/>
  <c r="C351" i="3"/>
  <c r="E350" i="3"/>
  <c r="D350" i="3"/>
  <c r="C350" i="3"/>
  <c r="E349" i="3"/>
  <c r="D349" i="3"/>
  <c r="C349" i="3"/>
  <c r="E348" i="3"/>
  <c r="D348" i="3"/>
  <c r="C348" i="3"/>
  <c r="E347" i="3"/>
  <c r="D347" i="3"/>
  <c r="C347" i="3"/>
  <c r="E346" i="3"/>
  <c r="D346" i="3"/>
  <c r="C346" i="3"/>
  <c r="E345" i="3"/>
  <c r="D345" i="3"/>
  <c r="C345" i="3"/>
  <c r="E344" i="3"/>
  <c r="D344" i="3"/>
  <c r="C344" i="3"/>
  <c r="E343" i="3"/>
  <c r="D343" i="3"/>
  <c r="C343" i="3"/>
  <c r="E342" i="3"/>
  <c r="D342" i="3"/>
  <c r="C342" i="3"/>
  <c r="E341" i="3"/>
  <c r="D341" i="3"/>
  <c r="C341" i="3"/>
  <c r="E340" i="3"/>
  <c r="D340" i="3"/>
  <c r="C340" i="3"/>
  <c r="E339" i="3"/>
  <c r="D339" i="3"/>
  <c r="C339" i="3"/>
  <c r="E338" i="3"/>
  <c r="D338" i="3"/>
  <c r="C338" i="3"/>
  <c r="E337" i="3"/>
  <c r="D337" i="3"/>
  <c r="C337" i="3"/>
  <c r="E336" i="3"/>
  <c r="D336" i="3"/>
  <c r="C336" i="3"/>
  <c r="E335" i="3"/>
  <c r="D335" i="3"/>
  <c r="C335" i="3"/>
  <c r="E334" i="3"/>
  <c r="D334" i="3"/>
  <c r="C334" i="3"/>
  <c r="E333" i="3"/>
  <c r="D333" i="3"/>
  <c r="C333" i="3"/>
  <c r="E332" i="3"/>
  <c r="D332" i="3"/>
  <c r="C332" i="3"/>
  <c r="E331" i="3"/>
  <c r="D331" i="3"/>
  <c r="C331" i="3"/>
  <c r="E330" i="3"/>
  <c r="D330" i="3"/>
  <c r="C330" i="3"/>
  <c r="E329" i="3"/>
  <c r="D329" i="3"/>
  <c r="C329" i="3"/>
  <c r="E328" i="3"/>
  <c r="D328" i="3"/>
  <c r="C328" i="3"/>
  <c r="E327" i="3"/>
  <c r="D327" i="3"/>
  <c r="C327" i="3"/>
  <c r="E326" i="3"/>
  <c r="D326" i="3"/>
  <c r="C326" i="3"/>
  <c r="E325" i="3"/>
  <c r="D325" i="3"/>
  <c r="C325" i="3"/>
  <c r="E324" i="3"/>
  <c r="D324" i="3"/>
  <c r="C324" i="3"/>
  <c r="E323" i="3"/>
  <c r="D323" i="3"/>
  <c r="C323" i="3"/>
  <c r="E322" i="3"/>
  <c r="D322" i="3"/>
  <c r="C322" i="3"/>
  <c r="E321" i="3"/>
  <c r="D321" i="3"/>
  <c r="C321" i="3"/>
  <c r="E320" i="3"/>
  <c r="D320" i="3"/>
  <c r="C320" i="3"/>
  <c r="E319" i="3"/>
  <c r="D319" i="3"/>
  <c r="C319" i="3"/>
  <c r="E318" i="3"/>
  <c r="D318" i="3"/>
  <c r="C318" i="3"/>
  <c r="E317" i="3"/>
  <c r="D317" i="3"/>
  <c r="C317" i="3"/>
  <c r="E316" i="3"/>
  <c r="D316" i="3"/>
  <c r="C316" i="3"/>
  <c r="E315" i="3"/>
  <c r="D315" i="3"/>
  <c r="C315" i="3"/>
  <c r="E314" i="3"/>
  <c r="D314" i="3"/>
  <c r="C314" i="3"/>
  <c r="E313" i="3"/>
  <c r="D313" i="3"/>
  <c r="C313" i="3"/>
  <c r="E312" i="3"/>
  <c r="D312" i="3"/>
  <c r="C312" i="3"/>
  <c r="E311" i="3"/>
  <c r="D311" i="3"/>
  <c r="C311" i="3"/>
  <c r="E310" i="3"/>
  <c r="D310" i="3"/>
  <c r="C310" i="3"/>
  <c r="E309" i="3"/>
  <c r="D309" i="3"/>
  <c r="C309" i="3"/>
  <c r="E308" i="3"/>
  <c r="D308" i="3"/>
  <c r="C308" i="3"/>
  <c r="E307" i="3"/>
  <c r="D307" i="3"/>
  <c r="C307" i="3"/>
  <c r="E306" i="3"/>
  <c r="D306" i="3"/>
  <c r="C306" i="3"/>
  <c r="E305" i="3"/>
  <c r="D305" i="3"/>
  <c r="C305" i="3"/>
  <c r="E304" i="3"/>
  <c r="D304" i="3"/>
  <c r="C304" i="3"/>
  <c r="E303" i="3"/>
  <c r="D303" i="3"/>
  <c r="C303" i="3"/>
  <c r="E302" i="3"/>
  <c r="D302" i="3"/>
  <c r="C302" i="3"/>
  <c r="E301" i="3"/>
  <c r="D301" i="3"/>
  <c r="C301" i="3"/>
  <c r="E300" i="3"/>
  <c r="D300" i="3"/>
  <c r="C300" i="3"/>
  <c r="E299" i="3"/>
  <c r="D299" i="3"/>
  <c r="C299" i="3"/>
  <c r="E298" i="3"/>
  <c r="D298" i="3"/>
  <c r="C298" i="3"/>
  <c r="E297" i="3"/>
  <c r="D297" i="3"/>
  <c r="C297" i="3"/>
  <c r="E296" i="3"/>
  <c r="D296" i="3"/>
  <c r="C296" i="3"/>
  <c r="E295" i="3"/>
  <c r="D295" i="3"/>
  <c r="C295" i="3"/>
  <c r="E294" i="3"/>
  <c r="D294" i="3"/>
  <c r="C294" i="3"/>
  <c r="E293" i="3"/>
  <c r="D293" i="3"/>
  <c r="C293" i="3"/>
  <c r="E292" i="3"/>
  <c r="D292" i="3"/>
  <c r="C292" i="3"/>
  <c r="E291" i="3"/>
  <c r="D291" i="3"/>
  <c r="C291" i="3"/>
  <c r="E290" i="3"/>
  <c r="D290" i="3"/>
  <c r="C290" i="3"/>
  <c r="E289" i="3"/>
  <c r="D289" i="3"/>
  <c r="C289" i="3"/>
  <c r="E288" i="3"/>
  <c r="D288" i="3"/>
  <c r="C288" i="3"/>
  <c r="E287" i="3"/>
  <c r="D287" i="3"/>
  <c r="C287" i="3"/>
  <c r="E286" i="3"/>
  <c r="D286" i="3"/>
  <c r="C286" i="3"/>
  <c r="E285" i="3"/>
  <c r="D285" i="3"/>
  <c r="C285" i="3"/>
  <c r="E284" i="3"/>
  <c r="D284" i="3"/>
  <c r="C284" i="3"/>
  <c r="E283" i="3"/>
  <c r="D283" i="3"/>
  <c r="C283" i="3"/>
  <c r="E282" i="3"/>
  <c r="D282" i="3"/>
  <c r="C282" i="3"/>
  <c r="E281" i="3"/>
  <c r="D281" i="3"/>
  <c r="C281" i="3"/>
  <c r="E280" i="3"/>
  <c r="D280" i="3"/>
  <c r="C280" i="3"/>
  <c r="E279" i="3"/>
  <c r="D279" i="3"/>
  <c r="C279" i="3"/>
  <c r="E278" i="3"/>
  <c r="D278" i="3"/>
  <c r="C278" i="3"/>
  <c r="E277" i="3"/>
  <c r="D277" i="3"/>
  <c r="C277" i="3"/>
  <c r="E276" i="3"/>
  <c r="D276" i="3"/>
  <c r="C276" i="3"/>
  <c r="E275" i="3"/>
  <c r="D275" i="3"/>
  <c r="C275" i="3"/>
  <c r="E274" i="3"/>
  <c r="D274" i="3"/>
  <c r="C274" i="3"/>
  <c r="E273" i="3"/>
  <c r="D273" i="3"/>
  <c r="C273" i="3"/>
  <c r="E272" i="3"/>
  <c r="D272" i="3"/>
  <c r="C272" i="3"/>
  <c r="E271" i="3"/>
  <c r="D271" i="3"/>
  <c r="C271" i="3"/>
  <c r="E270" i="3"/>
  <c r="D270" i="3"/>
  <c r="C270" i="3"/>
  <c r="E269" i="3"/>
  <c r="D269" i="3"/>
  <c r="C269" i="3"/>
  <c r="E268" i="3"/>
  <c r="D268" i="3"/>
  <c r="C268" i="3"/>
  <c r="E267" i="3"/>
  <c r="D267" i="3"/>
  <c r="C267" i="3"/>
  <c r="E266" i="3"/>
  <c r="D266" i="3"/>
  <c r="C266" i="3"/>
  <c r="E265" i="3"/>
  <c r="D265" i="3"/>
  <c r="C265" i="3"/>
  <c r="E264" i="3"/>
  <c r="D264" i="3"/>
  <c r="C264" i="3"/>
  <c r="E263" i="3"/>
  <c r="D263" i="3"/>
  <c r="C263" i="3"/>
  <c r="E262" i="3"/>
  <c r="D262" i="3"/>
  <c r="C262" i="3"/>
  <c r="E261" i="3"/>
  <c r="D261" i="3"/>
  <c r="C261" i="3"/>
  <c r="E260" i="3"/>
  <c r="D260" i="3"/>
  <c r="C260" i="3"/>
  <c r="E259" i="3"/>
  <c r="D259" i="3"/>
  <c r="C259" i="3"/>
  <c r="E258" i="3"/>
  <c r="D258" i="3"/>
  <c r="C258" i="3"/>
  <c r="E257" i="3"/>
  <c r="D257" i="3"/>
  <c r="C257" i="3"/>
  <c r="E256" i="3"/>
  <c r="D256" i="3"/>
  <c r="C256" i="3"/>
  <c r="E255" i="3"/>
  <c r="D255" i="3"/>
  <c r="C255" i="3"/>
  <c r="E254" i="3"/>
  <c r="D254" i="3"/>
  <c r="C254" i="3"/>
  <c r="E253" i="3"/>
  <c r="D253" i="3"/>
  <c r="C253" i="3"/>
  <c r="E252" i="3"/>
  <c r="D252" i="3"/>
  <c r="C252" i="3"/>
  <c r="E251" i="3"/>
  <c r="D251" i="3"/>
  <c r="C251" i="3"/>
  <c r="E250" i="3"/>
  <c r="D250" i="3"/>
  <c r="C250" i="3"/>
  <c r="E249" i="3"/>
  <c r="D249" i="3"/>
  <c r="C249" i="3"/>
  <c r="E248" i="3"/>
  <c r="D248" i="3"/>
  <c r="C248" i="3"/>
  <c r="E247" i="3"/>
  <c r="D247" i="3"/>
  <c r="C247" i="3"/>
  <c r="E246" i="3"/>
  <c r="D246" i="3"/>
  <c r="C246" i="3"/>
  <c r="E245" i="3"/>
  <c r="D245" i="3"/>
  <c r="C245" i="3"/>
  <c r="E244" i="3"/>
  <c r="D244" i="3"/>
  <c r="C244" i="3"/>
  <c r="E243" i="3"/>
  <c r="D243" i="3"/>
  <c r="C243" i="3"/>
  <c r="E242" i="3"/>
  <c r="D242" i="3"/>
  <c r="C242" i="3"/>
  <c r="E241" i="3"/>
  <c r="D241" i="3"/>
  <c r="C241" i="3"/>
  <c r="E240" i="3"/>
  <c r="D240" i="3"/>
  <c r="C240" i="3"/>
  <c r="E239" i="3"/>
  <c r="D239" i="3"/>
  <c r="C239" i="3"/>
  <c r="E238" i="3"/>
  <c r="D238" i="3"/>
  <c r="C238" i="3"/>
  <c r="E237" i="3"/>
  <c r="D237" i="3"/>
  <c r="C237" i="3"/>
  <c r="E236" i="3"/>
  <c r="D236" i="3"/>
  <c r="C236" i="3"/>
  <c r="E235" i="3"/>
  <c r="D235" i="3"/>
  <c r="C235" i="3"/>
  <c r="E234" i="3"/>
  <c r="D234" i="3"/>
  <c r="C234" i="3"/>
  <c r="E233" i="3"/>
  <c r="D233" i="3"/>
  <c r="C233" i="3"/>
  <c r="E232" i="3"/>
  <c r="D232" i="3"/>
  <c r="C232" i="3"/>
  <c r="E231" i="3"/>
  <c r="D231" i="3"/>
  <c r="C231" i="3"/>
  <c r="E230" i="3"/>
  <c r="D230" i="3"/>
  <c r="C230" i="3"/>
  <c r="E229" i="3"/>
  <c r="D229" i="3"/>
  <c r="C229" i="3"/>
  <c r="E228" i="3"/>
  <c r="D228" i="3"/>
  <c r="C228" i="3"/>
  <c r="E227" i="3"/>
  <c r="D227" i="3"/>
  <c r="C227" i="3"/>
  <c r="E226" i="3"/>
  <c r="D226" i="3"/>
  <c r="C226" i="3"/>
  <c r="E225" i="3"/>
  <c r="D225" i="3"/>
  <c r="C225" i="3"/>
  <c r="E224" i="3"/>
  <c r="D224" i="3"/>
  <c r="C224" i="3"/>
  <c r="E223" i="3"/>
  <c r="D223" i="3"/>
  <c r="C223" i="3"/>
  <c r="E222" i="3"/>
  <c r="D222" i="3"/>
  <c r="C222" i="3"/>
  <c r="E221" i="3"/>
  <c r="D221" i="3"/>
  <c r="C221" i="3"/>
  <c r="E220" i="3"/>
  <c r="D220" i="3"/>
  <c r="C220" i="3"/>
  <c r="E219" i="3"/>
  <c r="D219" i="3"/>
  <c r="C219" i="3"/>
  <c r="E218" i="3"/>
  <c r="D218" i="3"/>
  <c r="C218" i="3"/>
  <c r="E217" i="3"/>
  <c r="D217" i="3"/>
  <c r="C217" i="3"/>
  <c r="E216" i="3"/>
  <c r="D216" i="3"/>
  <c r="C216" i="3"/>
  <c r="E215" i="3"/>
  <c r="D215" i="3"/>
  <c r="C215" i="3"/>
  <c r="E214" i="3"/>
  <c r="D214" i="3"/>
  <c r="C214" i="3"/>
  <c r="E213" i="3"/>
  <c r="D213" i="3"/>
  <c r="C213" i="3"/>
  <c r="E212" i="3"/>
  <c r="D212" i="3"/>
  <c r="C212" i="3"/>
  <c r="E211" i="3"/>
  <c r="D211" i="3"/>
  <c r="C211" i="3"/>
  <c r="E210" i="3"/>
  <c r="D210" i="3"/>
  <c r="C210" i="3"/>
  <c r="E209" i="3"/>
  <c r="D209" i="3"/>
  <c r="C209" i="3"/>
  <c r="E208" i="3"/>
  <c r="D208" i="3"/>
  <c r="C208" i="3"/>
  <c r="E207" i="3"/>
  <c r="D207" i="3"/>
  <c r="C207" i="3"/>
  <c r="E206" i="3"/>
  <c r="D206" i="3"/>
  <c r="C206" i="3"/>
  <c r="E205" i="3"/>
  <c r="D205" i="3"/>
  <c r="C205" i="3"/>
  <c r="E204" i="3"/>
  <c r="D204" i="3"/>
  <c r="C204" i="3"/>
  <c r="E203" i="3"/>
  <c r="D203" i="3"/>
  <c r="C203" i="3"/>
  <c r="E202" i="3"/>
  <c r="D202" i="3"/>
  <c r="C202" i="3"/>
  <c r="E201" i="3"/>
  <c r="D201" i="3"/>
  <c r="C201" i="3"/>
  <c r="E200" i="3"/>
  <c r="D200" i="3"/>
  <c r="C200" i="3"/>
  <c r="E199" i="3"/>
  <c r="D199" i="3"/>
  <c r="C199" i="3"/>
  <c r="E198" i="3"/>
  <c r="D198" i="3"/>
  <c r="C198" i="3"/>
  <c r="E197" i="3"/>
  <c r="D197" i="3"/>
  <c r="C197" i="3"/>
  <c r="E196" i="3"/>
  <c r="D196" i="3"/>
  <c r="C196" i="3"/>
  <c r="E195" i="3"/>
  <c r="D195" i="3"/>
  <c r="C195" i="3"/>
  <c r="E194" i="3"/>
  <c r="D194" i="3"/>
  <c r="C194" i="3"/>
  <c r="E193" i="3"/>
  <c r="D193" i="3"/>
  <c r="C193" i="3"/>
  <c r="E192" i="3"/>
  <c r="D192" i="3"/>
  <c r="C192" i="3"/>
  <c r="E191" i="3"/>
  <c r="D191" i="3"/>
  <c r="C191" i="3"/>
  <c r="E190" i="3"/>
  <c r="D190" i="3"/>
  <c r="C190" i="3"/>
  <c r="E189" i="3"/>
  <c r="D189" i="3"/>
  <c r="C189" i="3"/>
  <c r="E188" i="3"/>
  <c r="D188" i="3"/>
  <c r="C188" i="3"/>
  <c r="E187" i="3"/>
  <c r="D187" i="3"/>
  <c r="C187" i="3"/>
  <c r="E186" i="3"/>
  <c r="D186" i="3"/>
  <c r="C186" i="3"/>
  <c r="E185" i="3"/>
  <c r="D185" i="3"/>
  <c r="C185" i="3"/>
  <c r="E184" i="3"/>
  <c r="D184" i="3"/>
  <c r="C184" i="3"/>
  <c r="E183" i="3"/>
  <c r="D183" i="3"/>
  <c r="C183" i="3"/>
  <c r="E182" i="3"/>
  <c r="D182" i="3"/>
  <c r="C182" i="3"/>
  <c r="E181" i="3"/>
  <c r="D181" i="3"/>
  <c r="C181" i="3"/>
  <c r="E180" i="3"/>
  <c r="D180" i="3"/>
  <c r="C180" i="3"/>
  <c r="E179" i="3"/>
  <c r="D179" i="3"/>
  <c r="C179" i="3"/>
  <c r="E178" i="3"/>
  <c r="D178" i="3"/>
  <c r="C178" i="3"/>
  <c r="E177" i="3"/>
  <c r="D177" i="3"/>
  <c r="C177" i="3"/>
  <c r="E176" i="3"/>
  <c r="D176" i="3"/>
  <c r="C176" i="3"/>
  <c r="E175" i="3"/>
  <c r="D175" i="3"/>
  <c r="C175" i="3"/>
  <c r="E174" i="3"/>
  <c r="D174" i="3"/>
  <c r="C174" i="3"/>
  <c r="E173" i="3"/>
  <c r="D173" i="3"/>
  <c r="C173" i="3"/>
  <c r="E172" i="3"/>
  <c r="D172" i="3"/>
  <c r="C172" i="3"/>
  <c r="E171" i="3"/>
  <c r="D171" i="3"/>
  <c r="C171" i="3"/>
  <c r="E170" i="3"/>
  <c r="D170" i="3"/>
  <c r="C170" i="3"/>
  <c r="E169" i="3"/>
  <c r="D169" i="3"/>
  <c r="C169" i="3"/>
  <c r="E168" i="3"/>
  <c r="D168" i="3"/>
  <c r="C168" i="3"/>
  <c r="E167" i="3"/>
  <c r="D167" i="3"/>
  <c r="C167" i="3"/>
  <c r="E166" i="3"/>
  <c r="D166" i="3"/>
  <c r="C166" i="3"/>
  <c r="E165" i="3"/>
  <c r="D165" i="3"/>
  <c r="C165" i="3"/>
  <c r="E164" i="3"/>
  <c r="D164" i="3"/>
  <c r="C164" i="3"/>
  <c r="E163" i="3"/>
  <c r="D163" i="3"/>
  <c r="C163" i="3"/>
  <c r="E162" i="3"/>
  <c r="D162" i="3"/>
  <c r="C162" i="3"/>
  <c r="E161" i="3"/>
  <c r="D161" i="3"/>
  <c r="C161" i="3"/>
  <c r="E160" i="3"/>
  <c r="D160" i="3"/>
  <c r="C160" i="3"/>
  <c r="E159" i="3"/>
  <c r="D159" i="3"/>
  <c r="C159" i="3"/>
  <c r="E158" i="3"/>
  <c r="D158" i="3"/>
  <c r="C158" i="3"/>
  <c r="E157" i="3"/>
  <c r="D157" i="3"/>
  <c r="C157" i="3"/>
  <c r="E156" i="3"/>
  <c r="D156" i="3"/>
  <c r="C156" i="3"/>
  <c r="E155" i="3"/>
  <c r="D155" i="3"/>
  <c r="C155" i="3"/>
  <c r="E154" i="3"/>
  <c r="D154" i="3"/>
  <c r="C154" i="3"/>
  <c r="E153" i="3"/>
  <c r="D153" i="3"/>
  <c r="C153" i="3"/>
  <c r="E152" i="3"/>
  <c r="D152" i="3"/>
  <c r="C152" i="3"/>
  <c r="E151" i="3"/>
  <c r="D151" i="3"/>
  <c r="C151" i="3"/>
  <c r="E150" i="3"/>
  <c r="D150" i="3"/>
  <c r="C150" i="3"/>
  <c r="E149" i="3"/>
  <c r="D149" i="3"/>
  <c r="C149" i="3"/>
  <c r="E148" i="3"/>
  <c r="D148" i="3"/>
  <c r="C148" i="3"/>
  <c r="E147" i="3"/>
  <c r="D147" i="3"/>
  <c r="C147" i="3"/>
  <c r="E146" i="3"/>
  <c r="D146" i="3"/>
  <c r="C146" i="3"/>
  <c r="E145" i="3"/>
  <c r="D145" i="3"/>
  <c r="C145" i="3"/>
  <c r="E144" i="3"/>
  <c r="D144" i="3"/>
  <c r="C144" i="3"/>
  <c r="E143" i="3"/>
  <c r="D143" i="3"/>
  <c r="C143" i="3"/>
  <c r="E142" i="3"/>
  <c r="D142" i="3"/>
  <c r="C142" i="3"/>
  <c r="E141" i="3"/>
  <c r="D141" i="3"/>
  <c r="C141" i="3"/>
  <c r="E140" i="3"/>
  <c r="D140" i="3"/>
  <c r="C140" i="3"/>
  <c r="E139" i="3"/>
  <c r="D139" i="3"/>
  <c r="C139" i="3"/>
  <c r="E138" i="3"/>
  <c r="D138" i="3"/>
  <c r="C138" i="3"/>
  <c r="E137" i="3"/>
  <c r="D137" i="3"/>
  <c r="C137" i="3"/>
  <c r="E136" i="3"/>
  <c r="D136" i="3"/>
  <c r="C136" i="3"/>
  <c r="E135" i="3"/>
  <c r="D135" i="3"/>
  <c r="C135" i="3"/>
  <c r="E134" i="3"/>
  <c r="D134" i="3"/>
  <c r="C134" i="3"/>
  <c r="E133" i="3"/>
  <c r="D133" i="3"/>
  <c r="C133" i="3"/>
  <c r="E132" i="3"/>
  <c r="D132" i="3"/>
  <c r="C132" i="3"/>
  <c r="E131" i="3"/>
  <c r="D131" i="3"/>
  <c r="C131" i="3"/>
  <c r="E130" i="3"/>
  <c r="D130" i="3"/>
  <c r="C130" i="3"/>
  <c r="E129" i="3"/>
  <c r="D129" i="3"/>
  <c r="C129" i="3"/>
  <c r="E128" i="3"/>
  <c r="D128" i="3"/>
  <c r="C128" i="3"/>
  <c r="E127" i="3"/>
  <c r="D127" i="3"/>
  <c r="C127" i="3"/>
  <c r="E126" i="3"/>
  <c r="D126" i="3"/>
  <c r="C126" i="3"/>
  <c r="E125" i="3"/>
  <c r="D125" i="3"/>
  <c r="C125" i="3"/>
  <c r="E124" i="3"/>
  <c r="D124" i="3"/>
  <c r="C124" i="3"/>
  <c r="E123" i="3"/>
  <c r="D123" i="3"/>
  <c r="C123" i="3"/>
  <c r="E122" i="3"/>
  <c r="D122" i="3"/>
  <c r="C122" i="3"/>
  <c r="E121" i="3"/>
  <c r="D121" i="3"/>
  <c r="C121" i="3"/>
  <c r="E120" i="3"/>
  <c r="D120" i="3"/>
  <c r="C120" i="3"/>
  <c r="E119" i="3"/>
  <c r="D119" i="3"/>
  <c r="C119" i="3"/>
  <c r="E118" i="3"/>
  <c r="D118" i="3"/>
  <c r="C118" i="3"/>
  <c r="E117" i="3"/>
  <c r="D117" i="3"/>
  <c r="C117" i="3"/>
  <c r="E116" i="3"/>
  <c r="D116" i="3"/>
  <c r="C116" i="3"/>
  <c r="E115" i="3"/>
  <c r="D115" i="3"/>
  <c r="C115" i="3"/>
  <c r="E114" i="3"/>
  <c r="D114" i="3"/>
  <c r="C114" i="3"/>
  <c r="E113" i="3"/>
  <c r="D113" i="3"/>
  <c r="C113" i="3"/>
  <c r="E112" i="3"/>
  <c r="D112" i="3"/>
  <c r="C112" i="3"/>
  <c r="E111" i="3"/>
  <c r="D111" i="3"/>
  <c r="C111" i="3"/>
  <c r="E110" i="3"/>
  <c r="D110" i="3"/>
  <c r="C110" i="3"/>
  <c r="E109" i="3"/>
  <c r="D109" i="3"/>
  <c r="C109" i="3"/>
  <c r="E108" i="3"/>
  <c r="D108" i="3"/>
  <c r="C108" i="3"/>
  <c r="E107" i="3"/>
  <c r="D107" i="3"/>
  <c r="C107" i="3"/>
  <c r="E106" i="3"/>
  <c r="D106" i="3"/>
  <c r="C106" i="3"/>
  <c r="E105" i="3"/>
  <c r="D105" i="3"/>
  <c r="C105" i="3"/>
  <c r="E104" i="3"/>
  <c r="D104" i="3"/>
  <c r="C104" i="3"/>
  <c r="E103" i="3"/>
  <c r="D103" i="3"/>
  <c r="C103" i="3"/>
  <c r="E102" i="3"/>
  <c r="D102" i="3"/>
  <c r="C102" i="3"/>
  <c r="E101" i="3"/>
  <c r="D101" i="3"/>
  <c r="C101" i="3"/>
  <c r="E100" i="3"/>
  <c r="D100" i="3"/>
  <c r="C100" i="3"/>
  <c r="E99" i="3"/>
  <c r="D99" i="3"/>
  <c r="C99" i="3"/>
  <c r="E98" i="3"/>
  <c r="D98" i="3"/>
  <c r="C98" i="3"/>
  <c r="E97" i="3"/>
  <c r="D97" i="3"/>
  <c r="C97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C169" i="2"/>
  <c r="E168" i="2"/>
  <c r="C168" i="2"/>
  <c r="E167" i="2"/>
  <c r="D167" i="2"/>
  <c r="C167" i="2"/>
  <c r="E166" i="2"/>
  <c r="D166" i="2"/>
  <c r="C166" i="2"/>
  <c r="E165" i="2"/>
  <c r="D165" i="2"/>
  <c r="C165" i="2"/>
  <c r="E164" i="2"/>
  <c r="D164" i="2"/>
  <c r="C164" i="2"/>
  <c r="E163" i="2"/>
  <c r="D163" i="2"/>
  <c r="C163" i="2"/>
  <c r="E162" i="2"/>
  <c r="D162" i="2"/>
  <c r="C162" i="2"/>
  <c r="E161" i="2"/>
  <c r="D161" i="2"/>
  <c r="C161" i="2"/>
  <c r="E160" i="2"/>
  <c r="D160" i="2"/>
  <c r="C160" i="2"/>
  <c r="E159" i="2"/>
  <c r="D159" i="2"/>
  <c r="C159" i="2"/>
  <c r="E158" i="2"/>
  <c r="D158" i="2"/>
  <c r="C158" i="2"/>
  <c r="E157" i="2"/>
  <c r="D157" i="2"/>
  <c r="C157" i="2"/>
  <c r="E156" i="2"/>
  <c r="D156" i="2"/>
  <c r="C156" i="2"/>
  <c r="E155" i="2"/>
  <c r="D155" i="2"/>
  <c r="C155" i="2"/>
  <c r="E154" i="2"/>
  <c r="D154" i="2"/>
  <c r="C154" i="2"/>
  <c r="E153" i="2"/>
  <c r="D153" i="2"/>
  <c r="C153" i="2"/>
  <c r="E152" i="2"/>
  <c r="D152" i="2"/>
  <c r="C152" i="2"/>
  <c r="E151" i="2"/>
  <c r="D151" i="2"/>
  <c r="C151" i="2"/>
  <c r="E150" i="2"/>
  <c r="D150" i="2"/>
  <c r="C150" i="2"/>
  <c r="E149" i="2"/>
  <c r="D149" i="2"/>
  <c r="C149" i="2"/>
  <c r="E148" i="2"/>
  <c r="D148" i="2"/>
  <c r="C148" i="2"/>
  <c r="E147" i="2"/>
  <c r="D147" i="2"/>
  <c r="C147" i="2"/>
  <c r="E146" i="2"/>
  <c r="D146" i="2"/>
  <c r="C146" i="2"/>
  <c r="E145" i="2"/>
  <c r="D145" i="2"/>
  <c r="C145" i="2"/>
  <c r="E144" i="2"/>
  <c r="D144" i="2"/>
  <c r="C144" i="2"/>
  <c r="E143" i="2"/>
  <c r="D143" i="2"/>
  <c r="C143" i="2"/>
  <c r="E142" i="2"/>
  <c r="D142" i="2"/>
  <c r="C142" i="2"/>
  <c r="E141" i="2"/>
  <c r="D141" i="2"/>
  <c r="C141" i="2"/>
  <c r="E140" i="2"/>
  <c r="D140" i="2"/>
  <c r="C140" i="2"/>
  <c r="E139" i="2"/>
  <c r="D139" i="2"/>
  <c r="C139" i="2"/>
  <c r="E138" i="2"/>
  <c r="D138" i="2"/>
  <c r="C138" i="2"/>
  <c r="E137" i="2"/>
  <c r="D137" i="2"/>
  <c r="C137" i="2"/>
  <c r="E136" i="2"/>
  <c r="D136" i="2"/>
  <c r="C136" i="2"/>
  <c r="E135" i="2"/>
  <c r="D135" i="2"/>
  <c r="C135" i="2"/>
  <c r="E134" i="2"/>
  <c r="D134" i="2"/>
  <c r="C134" i="2"/>
  <c r="E133" i="2"/>
  <c r="D133" i="2"/>
  <c r="C133" i="2"/>
  <c r="E132" i="2"/>
  <c r="D132" i="2"/>
  <c r="C132" i="2"/>
  <c r="E131" i="2"/>
  <c r="D131" i="2"/>
  <c r="C131" i="2"/>
  <c r="E130" i="2"/>
  <c r="D130" i="2"/>
  <c r="C130" i="2"/>
  <c r="E129" i="2"/>
  <c r="D129" i="2"/>
  <c r="C129" i="2"/>
  <c r="E128" i="2"/>
  <c r="D128" i="2"/>
  <c r="C128" i="2"/>
  <c r="E127" i="2"/>
  <c r="D127" i="2"/>
  <c r="C127" i="2"/>
  <c r="E126" i="2"/>
  <c r="D126" i="2"/>
  <c r="C126" i="2"/>
  <c r="E125" i="2"/>
  <c r="D125" i="2"/>
  <c r="C125" i="2"/>
  <c r="E124" i="2"/>
  <c r="D124" i="2"/>
  <c r="C124" i="2"/>
  <c r="E123" i="2"/>
  <c r="D123" i="2"/>
  <c r="C123" i="2"/>
  <c r="E122" i="2"/>
  <c r="D122" i="2"/>
  <c r="C122" i="2"/>
  <c r="E121" i="2"/>
  <c r="D121" i="2"/>
  <c r="C121" i="2"/>
  <c r="E120" i="2"/>
  <c r="D120" i="2"/>
  <c r="C120" i="2"/>
  <c r="E119" i="2"/>
  <c r="D119" i="2"/>
  <c r="C119" i="2"/>
  <c r="E118" i="2"/>
  <c r="D118" i="2"/>
  <c r="C118" i="2"/>
  <c r="E117" i="2"/>
  <c r="D117" i="2"/>
  <c r="C117" i="2"/>
  <c r="E116" i="2"/>
  <c r="D116" i="2"/>
  <c r="C116" i="2"/>
  <c r="E115" i="2"/>
  <c r="D115" i="2"/>
  <c r="C115" i="2"/>
  <c r="E114" i="2"/>
  <c r="D114" i="2"/>
  <c r="C114" i="2"/>
  <c r="E113" i="2"/>
  <c r="D113" i="2"/>
  <c r="C113" i="2"/>
  <c r="E112" i="2"/>
  <c r="D112" i="2"/>
  <c r="C112" i="2"/>
  <c r="E111" i="2"/>
  <c r="D111" i="2"/>
  <c r="C111" i="2"/>
  <c r="E110" i="2"/>
  <c r="D110" i="2"/>
  <c r="C110" i="2"/>
  <c r="E109" i="2"/>
  <c r="D109" i="2"/>
  <c r="C109" i="2"/>
  <c r="E108" i="2"/>
  <c r="D108" i="2"/>
  <c r="C108" i="2"/>
  <c r="E107" i="2"/>
  <c r="D107" i="2"/>
  <c r="C107" i="2"/>
  <c r="E106" i="2"/>
  <c r="D106" i="2"/>
  <c r="C106" i="2"/>
  <c r="E105" i="2"/>
  <c r="D105" i="2"/>
  <c r="C105" i="2"/>
  <c r="E104" i="2"/>
  <c r="D104" i="2"/>
  <c r="C104" i="2"/>
  <c r="E103" i="2"/>
  <c r="D103" i="2"/>
  <c r="C103" i="2"/>
  <c r="E102" i="2"/>
  <c r="D102" i="2"/>
  <c r="C102" i="2"/>
  <c r="E101" i="2"/>
  <c r="D101" i="2"/>
  <c r="C101" i="2"/>
  <c r="E100" i="2"/>
  <c r="D100" i="2"/>
  <c r="C100" i="2"/>
  <c r="E99" i="2"/>
  <c r="D99" i="2"/>
  <c r="C99" i="2"/>
  <c r="E98" i="2"/>
  <c r="D98" i="2"/>
  <c r="C98" i="2"/>
  <c r="E97" i="2"/>
  <c r="D97" i="2"/>
  <c r="C97" i="2"/>
  <c r="E96" i="2"/>
  <c r="D96" i="2"/>
  <c r="C96" i="2"/>
  <c r="E95" i="2"/>
  <c r="D95" i="2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E90" i="2"/>
  <c r="D90" i="2"/>
  <c r="C90" i="2"/>
  <c r="E89" i="2"/>
  <c r="D89" i="2"/>
  <c r="C89" i="2"/>
  <c r="E88" i="2"/>
  <c r="D88" i="2"/>
  <c r="C88" i="2"/>
  <c r="E87" i="2"/>
  <c r="D87" i="2"/>
  <c r="C87" i="2"/>
  <c r="E86" i="2"/>
  <c r="D86" i="2"/>
  <c r="C86" i="2"/>
  <c r="E85" i="2"/>
  <c r="D85" i="2"/>
  <c r="C85" i="2"/>
  <c r="E84" i="2"/>
  <c r="D84" i="2"/>
  <c r="C84" i="2"/>
  <c r="E83" i="2"/>
  <c r="D83" i="2"/>
  <c r="C83" i="2"/>
  <c r="E82" i="2"/>
  <c r="D82" i="2"/>
  <c r="C82" i="2"/>
  <c r="E81" i="2"/>
  <c r="D81" i="2"/>
  <c r="C81" i="2"/>
  <c r="E80" i="2"/>
  <c r="D80" i="2"/>
  <c r="C80" i="2"/>
  <c r="E79" i="2"/>
  <c r="D79" i="2"/>
  <c r="C79" i="2"/>
  <c r="E78" i="2"/>
  <c r="D78" i="2"/>
  <c r="C78" i="2"/>
  <c r="E77" i="2"/>
  <c r="D77" i="2"/>
  <c r="C77" i="2"/>
  <c r="E76" i="2"/>
  <c r="D76" i="2"/>
  <c r="C76" i="2"/>
  <c r="E75" i="2"/>
  <c r="D75" i="2"/>
  <c r="C75" i="2"/>
  <c r="E74" i="2"/>
  <c r="D74" i="2"/>
  <c r="C74" i="2"/>
  <c r="E73" i="2"/>
  <c r="D73" i="2"/>
  <c r="C73" i="2"/>
  <c r="E72" i="2"/>
  <c r="D72" i="2"/>
  <c r="C72" i="2"/>
  <c r="E71" i="2"/>
  <c r="D71" i="2"/>
  <c r="C71" i="2"/>
  <c r="E70" i="2"/>
  <c r="D70" i="2"/>
  <c r="C70" i="2"/>
  <c r="E69" i="2"/>
  <c r="D69" i="2"/>
  <c r="C69" i="2"/>
  <c r="E68" i="2"/>
  <c r="D68" i="2"/>
  <c r="C68" i="2"/>
  <c r="E67" i="2"/>
  <c r="D67" i="2"/>
  <c r="C67" i="2"/>
  <c r="E66" i="2"/>
  <c r="D66" i="2"/>
  <c r="C66" i="2"/>
  <c r="E65" i="2"/>
  <c r="D65" i="2"/>
  <c r="C65" i="2"/>
  <c r="E64" i="2"/>
  <c r="D64" i="2"/>
  <c r="C64" i="2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D7" i="2"/>
  <c r="C7" i="2"/>
  <c r="D6" i="2"/>
  <c r="C6" i="2"/>
  <c r="D5" i="2"/>
  <c r="C5" i="2"/>
  <c r="D4" i="2"/>
  <c r="C4" i="2"/>
  <c r="D3" i="2"/>
  <c r="C3" i="2"/>
  <c r="P390" i="1"/>
  <c r="M390" i="1"/>
  <c r="K390" i="1"/>
  <c r="J390" i="1"/>
  <c r="L390" i="1" s="1"/>
  <c r="N390" i="1" s="1"/>
  <c r="P389" i="1"/>
  <c r="M389" i="1"/>
  <c r="K389" i="1"/>
  <c r="J389" i="1"/>
  <c r="L389" i="1" s="1"/>
  <c r="N389" i="1" s="1"/>
  <c r="P388" i="1"/>
  <c r="M388" i="1"/>
  <c r="K388" i="1"/>
  <c r="J388" i="1"/>
  <c r="L388" i="1" s="1"/>
  <c r="N388" i="1" s="1"/>
  <c r="P387" i="1"/>
  <c r="M387" i="1"/>
  <c r="K387" i="1"/>
  <c r="J387" i="1"/>
  <c r="L387" i="1" s="1"/>
  <c r="N387" i="1" s="1"/>
  <c r="P386" i="1"/>
  <c r="M386" i="1"/>
  <c r="K386" i="1"/>
  <c r="J386" i="1"/>
  <c r="L386" i="1" s="1"/>
  <c r="N386" i="1" s="1"/>
  <c r="P385" i="1"/>
  <c r="M385" i="1"/>
  <c r="K385" i="1"/>
  <c r="J385" i="1"/>
  <c r="L385" i="1" s="1"/>
  <c r="N385" i="1" s="1"/>
  <c r="P384" i="1"/>
  <c r="M384" i="1"/>
  <c r="K384" i="1"/>
  <c r="J384" i="1"/>
  <c r="L384" i="1" s="1"/>
  <c r="N384" i="1" s="1"/>
  <c r="P383" i="1"/>
  <c r="M383" i="1"/>
  <c r="K383" i="1"/>
  <c r="J383" i="1"/>
  <c r="L383" i="1" s="1"/>
  <c r="N383" i="1" s="1"/>
  <c r="P382" i="1"/>
  <c r="M382" i="1"/>
  <c r="K382" i="1"/>
  <c r="J382" i="1"/>
  <c r="L382" i="1" s="1"/>
  <c r="N382" i="1" s="1"/>
  <c r="P381" i="1"/>
  <c r="M381" i="1"/>
  <c r="K381" i="1"/>
  <c r="J381" i="1"/>
  <c r="L381" i="1" s="1"/>
  <c r="N381" i="1" s="1"/>
  <c r="P380" i="1"/>
  <c r="M380" i="1"/>
  <c r="K380" i="1"/>
  <c r="J380" i="1"/>
  <c r="L380" i="1" s="1"/>
  <c r="N380" i="1" s="1"/>
  <c r="P379" i="1"/>
  <c r="M379" i="1"/>
  <c r="K379" i="1"/>
  <c r="J379" i="1"/>
  <c r="L379" i="1" s="1"/>
  <c r="N379" i="1" s="1"/>
  <c r="P378" i="1"/>
  <c r="M378" i="1"/>
  <c r="K378" i="1"/>
  <c r="J378" i="1"/>
  <c r="L378" i="1" s="1"/>
  <c r="N378" i="1" s="1"/>
  <c r="P377" i="1"/>
  <c r="M377" i="1"/>
  <c r="K377" i="1"/>
  <c r="J377" i="1"/>
  <c r="L377" i="1" s="1"/>
  <c r="N377" i="1" s="1"/>
  <c r="P376" i="1"/>
  <c r="M376" i="1"/>
  <c r="K376" i="1"/>
  <c r="J376" i="1"/>
  <c r="L376" i="1" s="1"/>
  <c r="N376" i="1" s="1"/>
  <c r="P375" i="1"/>
  <c r="M375" i="1"/>
  <c r="K375" i="1"/>
  <c r="J375" i="1"/>
  <c r="L375" i="1" s="1"/>
  <c r="N375" i="1" s="1"/>
  <c r="P374" i="1"/>
  <c r="M374" i="1"/>
  <c r="K374" i="1"/>
  <c r="J374" i="1"/>
  <c r="L374" i="1" s="1"/>
  <c r="N374" i="1" s="1"/>
  <c r="P373" i="1"/>
  <c r="M373" i="1"/>
  <c r="K373" i="1"/>
  <c r="J373" i="1"/>
  <c r="L373" i="1" s="1"/>
  <c r="N373" i="1" s="1"/>
  <c r="P372" i="1"/>
  <c r="M372" i="1"/>
  <c r="K372" i="1"/>
  <c r="J372" i="1"/>
  <c r="L372" i="1" s="1"/>
  <c r="N372" i="1" s="1"/>
  <c r="P371" i="1"/>
  <c r="M371" i="1"/>
  <c r="K371" i="1"/>
  <c r="J371" i="1"/>
  <c r="L371" i="1" s="1"/>
  <c r="N371" i="1" s="1"/>
  <c r="P370" i="1"/>
  <c r="M370" i="1"/>
  <c r="K370" i="1"/>
  <c r="J370" i="1"/>
  <c r="L370" i="1" s="1"/>
  <c r="N370" i="1" s="1"/>
  <c r="P369" i="1"/>
  <c r="M369" i="1"/>
  <c r="K369" i="1"/>
  <c r="J369" i="1"/>
  <c r="L369" i="1" s="1"/>
  <c r="N369" i="1" s="1"/>
  <c r="P368" i="1"/>
  <c r="M368" i="1"/>
  <c r="K368" i="1"/>
  <c r="J368" i="1"/>
  <c r="L368" i="1" s="1"/>
  <c r="N368" i="1" s="1"/>
  <c r="M367" i="1"/>
  <c r="K367" i="1"/>
  <c r="J367" i="1"/>
  <c r="L367" i="1" s="1"/>
  <c r="M366" i="1"/>
  <c r="K366" i="1"/>
  <c r="J366" i="1"/>
  <c r="L366" i="1" s="1"/>
  <c r="M365" i="1"/>
  <c r="K365" i="1"/>
  <c r="J365" i="1"/>
  <c r="L365" i="1" s="1"/>
  <c r="M364" i="1"/>
  <c r="K364" i="1"/>
  <c r="J364" i="1"/>
  <c r="L364" i="1" s="1"/>
  <c r="M363" i="1"/>
  <c r="K363" i="1"/>
  <c r="J363" i="1"/>
  <c r="L363" i="1" s="1"/>
  <c r="M362" i="1"/>
  <c r="K362" i="1"/>
  <c r="J362" i="1"/>
  <c r="L362" i="1" s="1"/>
  <c r="M361" i="1"/>
  <c r="K361" i="1"/>
  <c r="J361" i="1"/>
  <c r="L361" i="1" s="1"/>
  <c r="M360" i="1"/>
  <c r="K360" i="1"/>
  <c r="J360" i="1"/>
  <c r="L360" i="1" s="1"/>
  <c r="M359" i="1"/>
  <c r="K359" i="1"/>
  <c r="J359" i="1"/>
  <c r="L359" i="1" s="1"/>
  <c r="M358" i="1"/>
  <c r="K358" i="1"/>
  <c r="J358" i="1"/>
  <c r="L358" i="1" s="1"/>
  <c r="M357" i="1"/>
  <c r="K357" i="1"/>
  <c r="L357" i="1" s="1"/>
  <c r="M356" i="1"/>
  <c r="K356" i="1"/>
  <c r="J356" i="1"/>
  <c r="L356" i="1" s="1"/>
  <c r="M355" i="1"/>
  <c r="K355" i="1"/>
  <c r="J355" i="1"/>
  <c r="L355" i="1" s="1"/>
  <c r="M354" i="1"/>
  <c r="K354" i="1"/>
  <c r="J354" i="1"/>
  <c r="L354" i="1" s="1"/>
  <c r="M353" i="1"/>
  <c r="K353" i="1"/>
  <c r="J353" i="1"/>
  <c r="L353" i="1" s="1"/>
  <c r="M352" i="1"/>
  <c r="K352" i="1"/>
  <c r="J352" i="1"/>
  <c r="L352" i="1" s="1"/>
  <c r="M351" i="1"/>
  <c r="K351" i="1"/>
  <c r="J351" i="1"/>
  <c r="L351" i="1" s="1"/>
  <c r="M350" i="1"/>
  <c r="K350" i="1"/>
  <c r="J350" i="1"/>
  <c r="L350" i="1" s="1"/>
  <c r="M349" i="1"/>
  <c r="K349" i="1"/>
  <c r="J349" i="1"/>
  <c r="L349" i="1" s="1"/>
  <c r="M348" i="1"/>
  <c r="K348" i="1"/>
  <c r="J348" i="1"/>
  <c r="L348" i="1" s="1"/>
  <c r="M347" i="1"/>
  <c r="K347" i="1"/>
  <c r="J347" i="1"/>
  <c r="L347" i="1" s="1"/>
  <c r="M346" i="1"/>
  <c r="K346" i="1"/>
  <c r="J346" i="1"/>
  <c r="L346" i="1" s="1"/>
  <c r="M345" i="1"/>
  <c r="K345" i="1"/>
  <c r="J345" i="1"/>
  <c r="L345" i="1" s="1"/>
  <c r="M344" i="1"/>
  <c r="K344" i="1"/>
  <c r="J344" i="1"/>
  <c r="L344" i="1" s="1"/>
  <c r="M343" i="1"/>
  <c r="K343" i="1"/>
  <c r="J343" i="1"/>
  <c r="L343" i="1" s="1"/>
  <c r="M342" i="1"/>
  <c r="K342" i="1"/>
  <c r="J342" i="1"/>
  <c r="L342" i="1" s="1"/>
  <c r="M341" i="1"/>
  <c r="K341" i="1"/>
  <c r="J341" i="1"/>
  <c r="L341" i="1" s="1"/>
  <c r="M340" i="1"/>
  <c r="K340" i="1"/>
  <c r="J340" i="1"/>
  <c r="L340" i="1" s="1"/>
  <c r="M339" i="1"/>
  <c r="K339" i="1"/>
  <c r="J339" i="1"/>
  <c r="L339" i="1" s="1"/>
  <c r="M338" i="1"/>
  <c r="K338" i="1"/>
  <c r="J338" i="1"/>
  <c r="L338" i="1" s="1"/>
  <c r="M337" i="1"/>
  <c r="K337" i="1"/>
  <c r="J337" i="1"/>
  <c r="L337" i="1" s="1"/>
  <c r="M336" i="1"/>
  <c r="K336" i="1"/>
  <c r="J336" i="1"/>
  <c r="L336" i="1" s="1"/>
  <c r="M335" i="1"/>
  <c r="K335" i="1"/>
  <c r="J335" i="1"/>
  <c r="L335" i="1" s="1"/>
  <c r="M334" i="1"/>
  <c r="K334" i="1"/>
  <c r="J334" i="1"/>
  <c r="L334" i="1" s="1"/>
  <c r="M333" i="1"/>
  <c r="K333" i="1"/>
  <c r="J333" i="1"/>
  <c r="L333" i="1" s="1"/>
  <c r="M332" i="1"/>
  <c r="K332" i="1"/>
  <c r="J332" i="1"/>
  <c r="L332" i="1" s="1"/>
  <c r="M331" i="1"/>
  <c r="K331" i="1"/>
  <c r="J331" i="1"/>
  <c r="L331" i="1" s="1"/>
  <c r="M330" i="1"/>
  <c r="K330" i="1"/>
  <c r="J330" i="1"/>
  <c r="L330" i="1" s="1"/>
  <c r="M329" i="1"/>
  <c r="K329" i="1"/>
  <c r="J329" i="1"/>
  <c r="L329" i="1" s="1"/>
  <c r="M328" i="1"/>
  <c r="K328" i="1"/>
  <c r="J328" i="1"/>
  <c r="L328" i="1" s="1"/>
  <c r="M327" i="1"/>
  <c r="K327" i="1"/>
  <c r="J327" i="1"/>
  <c r="L327" i="1" s="1"/>
  <c r="M326" i="1"/>
  <c r="K326" i="1"/>
  <c r="J326" i="1"/>
  <c r="L326" i="1" s="1"/>
  <c r="M325" i="1"/>
  <c r="K325" i="1"/>
  <c r="J325" i="1"/>
  <c r="L325" i="1" s="1"/>
  <c r="M324" i="1"/>
  <c r="K324" i="1"/>
  <c r="J324" i="1"/>
  <c r="L324" i="1" s="1"/>
  <c r="M323" i="1"/>
  <c r="K323" i="1"/>
  <c r="J323" i="1"/>
  <c r="L323" i="1" s="1"/>
  <c r="M322" i="1"/>
  <c r="K322" i="1"/>
  <c r="J322" i="1"/>
  <c r="L322" i="1" s="1"/>
  <c r="M321" i="1"/>
  <c r="K321" i="1"/>
  <c r="J321" i="1"/>
  <c r="L321" i="1" s="1"/>
  <c r="M320" i="1"/>
  <c r="K320" i="1"/>
  <c r="J320" i="1"/>
  <c r="L320" i="1" s="1"/>
  <c r="M319" i="1"/>
  <c r="K319" i="1"/>
  <c r="J319" i="1"/>
  <c r="L319" i="1" s="1"/>
  <c r="M318" i="1"/>
  <c r="K318" i="1"/>
  <c r="J318" i="1"/>
  <c r="L318" i="1" s="1"/>
  <c r="M317" i="1"/>
  <c r="K317" i="1"/>
  <c r="J317" i="1"/>
  <c r="L317" i="1" s="1"/>
  <c r="M316" i="1"/>
  <c r="K316" i="1"/>
  <c r="J316" i="1"/>
  <c r="L316" i="1" s="1"/>
  <c r="M315" i="1"/>
  <c r="K315" i="1"/>
  <c r="J315" i="1"/>
  <c r="L315" i="1" s="1"/>
  <c r="M314" i="1"/>
  <c r="K314" i="1"/>
  <c r="J314" i="1"/>
  <c r="L314" i="1" s="1"/>
  <c r="M313" i="1"/>
  <c r="K313" i="1"/>
  <c r="J313" i="1"/>
  <c r="L313" i="1" s="1"/>
  <c r="M312" i="1"/>
  <c r="K312" i="1"/>
  <c r="J312" i="1"/>
  <c r="L312" i="1" s="1"/>
  <c r="M311" i="1"/>
  <c r="K311" i="1"/>
  <c r="J311" i="1"/>
  <c r="L311" i="1" s="1"/>
  <c r="M310" i="1"/>
  <c r="K310" i="1"/>
  <c r="J310" i="1"/>
  <c r="L310" i="1" s="1"/>
  <c r="M309" i="1"/>
  <c r="K309" i="1"/>
  <c r="J309" i="1"/>
  <c r="L309" i="1" s="1"/>
  <c r="M308" i="1"/>
  <c r="K308" i="1"/>
  <c r="J308" i="1"/>
  <c r="L308" i="1" s="1"/>
  <c r="M307" i="1"/>
  <c r="K307" i="1"/>
  <c r="J307" i="1"/>
  <c r="L307" i="1" s="1"/>
  <c r="M306" i="1"/>
  <c r="K306" i="1"/>
  <c r="J306" i="1"/>
  <c r="L306" i="1" s="1"/>
  <c r="M305" i="1"/>
  <c r="K305" i="1"/>
  <c r="J305" i="1"/>
  <c r="L305" i="1" s="1"/>
  <c r="M304" i="1"/>
  <c r="K304" i="1"/>
  <c r="J304" i="1"/>
  <c r="L304" i="1" s="1"/>
  <c r="M303" i="1"/>
  <c r="K303" i="1"/>
  <c r="J303" i="1"/>
  <c r="L303" i="1" s="1"/>
  <c r="M302" i="1"/>
  <c r="K302" i="1"/>
  <c r="J302" i="1"/>
  <c r="L302" i="1" s="1"/>
  <c r="M301" i="1"/>
  <c r="K301" i="1"/>
  <c r="J301" i="1"/>
  <c r="L301" i="1" s="1"/>
  <c r="M300" i="1"/>
  <c r="K300" i="1"/>
  <c r="J300" i="1"/>
  <c r="L300" i="1" s="1"/>
  <c r="M299" i="1"/>
  <c r="K299" i="1"/>
  <c r="J299" i="1"/>
  <c r="L299" i="1" s="1"/>
  <c r="M298" i="1"/>
  <c r="K298" i="1"/>
  <c r="J298" i="1"/>
  <c r="L298" i="1" s="1"/>
  <c r="M297" i="1"/>
  <c r="K297" i="1"/>
  <c r="J297" i="1"/>
  <c r="L297" i="1" s="1"/>
  <c r="M296" i="1"/>
  <c r="K296" i="1"/>
  <c r="J296" i="1"/>
  <c r="L296" i="1" s="1"/>
  <c r="M295" i="1"/>
  <c r="K295" i="1"/>
  <c r="J295" i="1"/>
  <c r="L295" i="1" s="1"/>
  <c r="M294" i="1"/>
  <c r="K294" i="1"/>
  <c r="J294" i="1"/>
  <c r="L294" i="1" s="1"/>
  <c r="M293" i="1"/>
  <c r="K293" i="1"/>
  <c r="J293" i="1"/>
  <c r="L293" i="1" s="1"/>
  <c r="M292" i="1"/>
  <c r="K292" i="1"/>
  <c r="J292" i="1"/>
  <c r="L292" i="1" s="1"/>
  <c r="M291" i="1"/>
  <c r="K291" i="1"/>
  <c r="J291" i="1"/>
  <c r="L291" i="1" s="1"/>
  <c r="M290" i="1"/>
  <c r="K290" i="1"/>
  <c r="J290" i="1"/>
  <c r="L290" i="1" s="1"/>
  <c r="M289" i="1"/>
  <c r="K289" i="1"/>
  <c r="J289" i="1"/>
  <c r="L289" i="1" s="1"/>
  <c r="M288" i="1"/>
  <c r="K288" i="1"/>
  <c r="J288" i="1"/>
  <c r="L288" i="1" s="1"/>
  <c r="M287" i="1"/>
  <c r="K287" i="1"/>
  <c r="J287" i="1"/>
  <c r="L287" i="1" s="1"/>
  <c r="M286" i="1"/>
  <c r="K286" i="1"/>
  <c r="J286" i="1"/>
  <c r="L286" i="1" s="1"/>
  <c r="M285" i="1"/>
  <c r="K285" i="1"/>
  <c r="J285" i="1"/>
  <c r="L285" i="1" s="1"/>
  <c r="M284" i="1"/>
  <c r="K284" i="1"/>
  <c r="J284" i="1"/>
  <c r="L284" i="1" s="1"/>
  <c r="M282" i="1"/>
  <c r="K282" i="1"/>
  <c r="J282" i="1"/>
  <c r="L282" i="1" s="1"/>
  <c r="M279" i="1"/>
  <c r="K279" i="1"/>
  <c r="J279" i="1"/>
  <c r="L279" i="1" s="1"/>
  <c r="M278" i="1"/>
  <c r="K278" i="1"/>
  <c r="J278" i="1"/>
  <c r="L278" i="1" s="1"/>
  <c r="M277" i="1"/>
  <c r="K277" i="1"/>
  <c r="J277" i="1"/>
  <c r="L277" i="1" s="1"/>
  <c r="M276" i="1"/>
  <c r="K276" i="1"/>
  <c r="J276" i="1"/>
  <c r="L276" i="1" s="1"/>
  <c r="M275" i="1"/>
  <c r="K275" i="1"/>
  <c r="J275" i="1"/>
  <c r="L275" i="1" s="1"/>
  <c r="M274" i="1"/>
  <c r="K274" i="1"/>
  <c r="J274" i="1"/>
  <c r="L274" i="1" s="1"/>
  <c r="O274" i="1" s="1"/>
  <c r="P274" i="1" s="1"/>
  <c r="M273" i="1"/>
  <c r="K273" i="1"/>
  <c r="J273" i="1"/>
  <c r="L273" i="1" s="1"/>
  <c r="M272" i="1"/>
  <c r="K272" i="1"/>
  <c r="J272" i="1"/>
  <c r="L272" i="1" s="1"/>
  <c r="N271" i="1"/>
  <c r="M271" i="1"/>
  <c r="K271" i="1"/>
  <c r="J271" i="1"/>
  <c r="L271" i="1" s="1"/>
  <c r="M270" i="1"/>
  <c r="K270" i="1"/>
  <c r="J270" i="1"/>
  <c r="L270" i="1" s="1"/>
  <c r="M269" i="1"/>
  <c r="K269" i="1"/>
  <c r="J269" i="1"/>
  <c r="L269" i="1" s="1"/>
  <c r="M268" i="1"/>
  <c r="K268" i="1"/>
  <c r="J268" i="1"/>
  <c r="L268" i="1" s="1"/>
  <c r="M267" i="1"/>
  <c r="K267" i="1"/>
  <c r="J267" i="1"/>
  <c r="L267" i="1" s="1"/>
  <c r="M266" i="1"/>
  <c r="K266" i="1"/>
  <c r="J266" i="1"/>
  <c r="L266" i="1" s="1"/>
  <c r="M265" i="1"/>
  <c r="K265" i="1"/>
  <c r="J265" i="1"/>
  <c r="L265" i="1" s="1"/>
  <c r="M264" i="1"/>
  <c r="K264" i="1"/>
  <c r="J264" i="1"/>
  <c r="L264" i="1" s="1"/>
  <c r="M263" i="1"/>
  <c r="K263" i="1"/>
  <c r="J263" i="1"/>
  <c r="L263" i="1" s="1"/>
  <c r="M262" i="1"/>
  <c r="K262" i="1"/>
  <c r="J262" i="1"/>
  <c r="L262" i="1" s="1"/>
  <c r="M261" i="1"/>
  <c r="K261" i="1"/>
  <c r="J261" i="1"/>
  <c r="L261" i="1" s="1"/>
  <c r="O261" i="1" s="1"/>
  <c r="P261" i="1" s="1"/>
  <c r="M260" i="1"/>
  <c r="K260" i="1"/>
  <c r="J260" i="1"/>
  <c r="L260" i="1" s="1"/>
  <c r="O260" i="1" s="1"/>
  <c r="P260" i="1" s="1"/>
  <c r="M259" i="1"/>
  <c r="K259" i="1"/>
  <c r="J259" i="1"/>
  <c r="L259" i="1" s="1"/>
  <c r="M258" i="1"/>
  <c r="K258" i="1"/>
  <c r="J258" i="1"/>
  <c r="L258" i="1" s="1"/>
  <c r="M257" i="1"/>
  <c r="K257" i="1"/>
  <c r="J257" i="1"/>
  <c r="L257" i="1" s="1"/>
  <c r="M256" i="1"/>
  <c r="K256" i="1"/>
  <c r="J256" i="1"/>
  <c r="L256" i="1" s="1"/>
  <c r="M255" i="1"/>
  <c r="K255" i="1"/>
  <c r="J255" i="1"/>
  <c r="L255" i="1" s="1"/>
  <c r="M254" i="1"/>
  <c r="K254" i="1"/>
  <c r="J254" i="1"/>
  <c r="L254" i="1" s="1"/>
  <c r="M253" i="1"/>
  <c r="K253" i="1"/>
  <c r="J253" i="1"/>
  <c r="L253" i="1" s="1"/>
  <c r="M252" i="1"/>
  <c r="K252" i="1"/>
  <c r="J252" i="1"/>
  <c r="L252" i="1" s="1"/>
  <c r="M251" i="1"/>
  <c r="K251" i="1"/>
  <c r="J251" i="1"/>
  <c r="L251" i="1" s="1"/>
  <c r="M250" i="1"/>
  <c r="K250" i="1"/>
  <c r="J250" i="1"/>
  <c r="L250" i="1" s="1"/>
  <c r="M249" i="1"/>
  <c r="K249" i="1"/>
  <c r="J249" i="1"/>
  <c r="L249" i="1" s="1"/>
  <c r="M248" i="1"/>
  <c r="K248" i="1"/>
  <c r="J248" i="1"/>
  <c r="L248" i="1" s="1"/>
  <c r="M247" i="1"/>
  <c r="K247" i="1"/>
  <c r="J247" i="1"/>
  <c r="L247" i="1" s="1"/>
  <c r="M246" i="1"/>
  <c r="K246" i="1"/>
  <c r="J246" i="1"/>
  <c r="L246" i="1" s="1"/>
  <c r="M245" i="1"/>
  <c r="K245" i="1"/>
  <c r="J245" i="1"/>
  <c r="L245" i="1" s="1"/>
  <c r="M244" i="1"/>
  <c r="K244" i="1"/>
  <c r="J244" i="1"/>
  <c r="L244" i="1" s="1"/>
  <c r="M243" i="1"/>
  <c r="K243" i="1"/>
  <c r="J243" i="1"/>
  <c r="L243" i="1" s="1"/>
  <c r="M242" i="1"/>
  <c r="K242" i="1"/>
  <c r="J242" i="1"/>
  <c r="L242" i="1" s="1"/>
  <c r="M241" i="1"/>
  <c r="K241" i="1"/>
  <c r="J241" i="1"/>
  <c r="L241" i="1" s="1"/>
  <c r="M240" i="1"/>
  <c r="K240" i="1"/>
  <c r="J240" i="1"/>
  <c r="L240" i="1" s="1"/>
  <c r="M239" i="1"/>
  <c r="K239" i="1"/>
  <c r="J239" i="1"/>
  <c r="L239" i="1" s="1"/>
  <c r="M238" i="1"/>
  <c r="K238" i="1"/>
  <c r="J238" i="1"/>
  <c r="L238" i="1" s="1"/>
  <c r="M237" i="1"/>
  <c r="K237" i="1"/>
  <c r="J237" i="1"/>
  <c r="L237" i="1" s="1"/>
  <c r="M236" i="1"/>
  <c r="K236" i="1"/>
  <c r="J236" i="1"/>
  <c r="L236" i="1" s="1"/>
  <c r="M235" i="1"/>
  <c r="K235" i="1"/>
  <c r="J235" i="1"/>
  <c r="L235" i="1" s="1"/>
  <c r="M234" i="1"/>
  <c r="K234" i="1"/>
  <c r="J234" i="1"/>
  <c r="L234" i="1" s="1"/>
  <c r="M233" i="1"/>
  <c r="K233" i="1"/>
  <c r="J233" i="1"/>
  <c r="L233" i="1" s="1"/>
  <c r="M232" i="1"/>
  <c r="K232" i="1"/>
  <c r="J232" i="1"/>
  <c r="L232" i="1" s="1"/>
  <c r="M231" i="1"/>
  <c r="K231" i="1"/>
  <c r="J231" i="1"/>
  <c r="L231" i="1" s="1"/>
  <c r="M230" i="1"/>
  <c r="K230" i="1"/>
  <c r="J230" i="1"/>
  <c r="L230" i="1" s="1"/>
  <c r="M229" i="1"/>
  <c r="K229" i="1"/>
  <c r="J229" i="1"/>
  <c r="L229" i="1" s="1"/>
  <c r="M228" i="1"/>
  <c r="K228" i="1"/>
  <c r="J228" i="1"/>
  <c r="L228" i="1" s="1"/>
  <c r="M227" i="1"/>
  <c r="K227" i="1"/>
  <c r="J227" i="1"/>
  <c r="L227" i="1" s="1"/>
  <c r="M226" i="1"/>
  <c r="K226" i="1"/>
  <c r="J226" i="1"/>
  <c r="L226" i="1" s="1"/>
  <c r="M225" i="1"/>
  <c r="K225" i="1"/>
  <c r="J225" i="1"/>
  <c r="L225" i="1" s="1"/>
  <c r="M224" i="1"/>
  <c r="K224" i="1"/>
  <c r="J224" i="1"/>
  <c r="L224" i="1" s="1"/>
  <c r="M223" i="1"/>
  <c r="K223" i="1"/>
  <c r="J223" i="1"/>
  <c r="L223" i="1" s="1"/>
  <c r="M222" i="1"/>
  <c r="K222" i="1"/>
  <c r="J222" i="1"/>
  <c r="L222" i="1" s="1"/>
  <c r="M221" i="1"/>
  <c r="K221" i="1"/>
  <c r="J221" i="1"/>
  <c r="L221" i="1" s="1"/>
  <c r="M220" i="1"/>
  <c r="K220" i="1"/>
  <c r="J220" i="1"/>
  <c r="L220" i="1" s="1"/>
  <c r="M219" i="1"/>
  <c r="K219" i="1"/>
  <c r="J219" i="1"/>
  <c r="L219" i="1" s="1"/>
  <c r="M218" i="1"/>
  <c r="K218" i="1"/>
  <c r="J218" i="1"/>
  <c r="L218" i="1" s="1"/>
  <c r="M217" i="1"/>
  <c r="K217" i="1"/>
  <c r="J217" i="1"/>
  <c r="L217" i="1" s="1"/>
  <c r="M216" i="1"/>
  <c r="K216" i="1"/>
  <c r="J216" i="1"/>
  <c r="L216" i="1" s="1"/>
  <c r="M215" i="1"/>
  <c r="K215" i="1"/>
  <c r="J215" i="1"/>
  <c r="L215" i="1" s="1"/>
  <c r="M214" i="1"/>
  <c r="K214" i="1"/>
  <c r="J214" i="1"/>
  <c r="L214" i="1" s="1"/>
  <c r="M213" i="1"/>
  <c r="K213" i="1"/>
  <c r="J213" i="1"/>
  <c r="L213" i="1" s="1"/>
  <c r="M212" i="1"/>
  <c r="K212" i="1"/>
  <c r="J212" i="1"/>
  <c r="L212" i="1" s="1"/>
  <c r="M211" i="1"/>
  <c r="K211" i="1"/>
  <c r="J211" i="1"/>
  <c r="L211" i="1" s="1"/>
  <c r="M209" i="1"/>
  <c r="K209" i="1"/>
  <c r="J209" i="1"/>
  <c r="L209" i="1" s="1"/>
  <c r="M208" i="1"/>
  <c r="K208" i="1"/>
  <c r="J208" i="1"/>
  <c r="L208" i="1" s="1"/>
  <c r="M207" i="1"/>
  <c r="K207" i="1"/>
  <c r="J207" i="1"/>
  <c r="L207" i="1" s="1"/>
  <c r="M206" i="1"/>
  <c r="K206" i="1"/>
  <c r="J206" i="1"/>
  <c r="L206" i="1" s="1"/>
  <c r="M205" i="1"/>
  <c r="K205" i="1"/>
  <c r="J205" i="1"/>
  <c r="L205" i="1" s="1"/>
  <c r="M204" i="1"/>
  <c r="K204" i="1"/>
  <c r="J204" i="1"/>
  <c r="L204" i="1" s="1"/>
  <c r="M203" i="1"/>
  <c r="K203" i="1"/>
  <c r="J203" i="1"/>
  <c r="L203" i="1" s="1"/>
  <c r="M202" i="1"/>
  <c r="K202" i="1"/>
  <c r="J202" i="1"/>
  <c r="L202" i="1" s="1"/>
  <c r="M201" i="1"/>
  <c r="K201" i="1"/>
  <c r="J201" i="1"/>
  <c r="L201" i="1" s="1"/>
  <c r="M200" i="1"/>
  <c r="K200" i="1"/>
  <c r="J200" i="1"/>
  <c r="L200" i="1" s="1"/>
  <c r="M199" i="1"/>
  <c r="K199" i="1"/>
  <c r="J199" i="1"/>
  <c r="L199" i="1" s="1"/>
  <c r="M198" i="1"/>
  <c r="K198" i="1"/>
  <c r="J198" i="1"/>
  <c r="L198" i="1" s="1"/>
  <c r="M197" i="1"/>
  <c r="K197" i="1"/>
  <c r="J197" i="1"/>
  <c r="L197" i="1" s="1"/>
  <c r="M196" i="1"/>
  <c r="K196" i="1"/>
  <c r="J196" i="1"/>
  <c r="L196" i="1" s="1"/>
  <c r="M195" i="1"/>
  <c r="K195" i="1"/>
  <c r="J195" i="1"/>
  <c r="L195" i="1" s="1"/>
  <c r="N194" i="1"/>
  <c r="M194" i="1"/>
  <c r="K194" i="1"/>
  <c r="J194" i="1"/>
  <c r="L194" i="1" s="1"/>
  <c r="M193" i="1"/>
  <c r="K193" i="1"/>
  <c r="J193" i="1"/>
  <c r="L193" i="1" s="1"/>
  <c r="M192" i="1"/>
  <c r="K192" i="1"/>
  <c r="J192" i="1"/>
  <c r="L192" i="1" s="1"/>
  <c r="M191" i="1"/>
  <c r="K191" i="1"/>
  <c r="J191" i="1"/>
  <c r="L191" i="1" s="1"/>
  <c r="M190" i="1"/>
  <c r="K190" i="1"/>
  <c r="J190" i="1"/>
  <c r="L190" i="1" s="1"/>
  <c r="M189" i="1"/>
  <c r="K189" i="1"/>
  <c r="J189" i="1"/>
  <c r="L189" i="1" s="1"/>
  <c r="M188" i="1"/>
  <c r="K188" i="1"/>
  <c r="J188" i="1"/>
  <c r="L188" i="1" s="1"/>
  <c r="M187" i="1"/>
  <c r="K187" i="1"/>
  <c r="J187" i="1"/>
  <c r="L187" i="1" s="1"/>
  <c r="M186" i="1"/>
  <c r="K186" i="1"/>
  <c r="J186" i="1"/>
  <c r="L186" i="1" s="1"/>
  <c r="M185" i="1"/>
  <c r="K185" i="1"/>
  <c r="J185" i="1"/>
  <c r="L185" i="1" s="1"/>
  <c r="M184" i="1"/>
  <c r="K184" i="1"/>
  <c r="J184" i="1"/>
  <c r="L184" i="1" s="1"/>
  <c r="M183" i="1"/>
  <c r="K183" i="1"/>
  <c r="J183" i="1"/>
  <c r="L183" i="1" s="1"/>
  <c r="M182" i="1"/>
  <c r="K182" i="1"/>
  <c r="J182" i="1"/>
  <c r="L182" i="1" s="1"/>
  <c r="M181" i="1"/>
  <c r="K181" i="1"/>
  <c r="J181" i="1"/>
  <c r="L181" i="1" s="1"/>
  <c r="M180" i="1"/>
  <c r="K180" i="1"/>
  <c r="J180" i="1"/>
  <c r="L180" i="1" s="1"/>
  <c r="M179" i="1"/>
  <c r="K179" i="1"/>
  <c r="J179" i="1"/>
  <c r="L179" i="1" s="1"/>
  <c r="M178" i="1"/>
  <c r="K178" i="1"/>
  <c r="J178" i="1"/>
  <c r="L178" i="1" s="1"/>
  <c r="M177" i="1"/>
  <c r="K177" i="1"/>
  <c r="J177" i="1"/>
  <c r="L177" i="1" s="1"/>
  <c r="M176" i="1"/>
  <c r="K176" i="1"/>
  <c r="J176" i="1"/>
  <c r="L176" i="1" s="1"/>
  <c r="M175" i="1"/>
  <c r="K175" i="1"/>
  <c r="J175" i="1"/>
  <c r="L175" i="1" s="1"/>
  <c r="M174" i="1"/>
  <c r="K174" i="1"/>
  <c r="J174" i="1"/>
  <c r="L174" i="1" s="1"/>
  <c r="M173" i="1"/>
  <c r="K173" i="1"/>
  <c r="J173" i="1"/>
  <c r="L173" i="1" s="1"/>
  <c r="M172" i="1"/>
  <c r="K172" i="1"/>
  <c r="J172" i="1"/>
  <c r="L172" i="1" s="1"/>
  <c r="M171" i="1"/>
  <c r="K171" i="1"/>
  <c r="J171" i="1"/>
  <c r="L171" i="1" s="1"/>
  <c r="M170" i="1"/>
  <c r="K170" i="1"/>
  <c r="J170" i="1"/>
  <c r="L170" i="1" s="1"/>
  <c r="M169" i="1"/>
  <c r="K169" i="1"/>
  <c r="J169" i="1"/>
  <c r="L169" i="1" s="1"/>
  <c r="M168" i="1"/>
  <c r="K168" i="1"/>
  <c r="J168" i="1"/>
  <c r="L168" i="1" s="1"/>
  <c r="M167" i="1"/>
  <c r="K167" i="1"/>
  <c r="J167" i="1"/>
  <c r="L167" i="1" s="1"/>
  <c r="M166" i="1"/>
  <c r="K166" i="1"/>
  <c r="J166" i="1"/>
  <c r="L166" i="1" s="1"/>
  <c r="M165" i="1"/>
  <c r="K165" i="1"/>
  <c r="J165" i="1"/>
  <c r="L165" i="1" s="1"/>
  <c r="M164" i="1"/>
  <c r="K164" i="1"/>
  <c r="J164" i="1"/>
  <c r="L164" i="1" s="1"/>
  <c r="M163" i="1"/>
  <c r="K163" i="1"/>
  <c r="J163" i="1"/>
  <c r="L163" i="1" s="1"/>
  <c r="M162" i="1"/>
  <c r="K162" i="1"/>
  <c r="J162" i="1"/>
  <c r="L162" i="1" s="1"/>
  <c r="M161" i="1"/>
  <c r="K161" i="1"/>
  <c r="J161" i="1"/>
  <c r="L161" i="1" s="1"/>
  <c r="M160" i="1"/>
  <c r="K160" i="1"/>
  <c r="J160" i="1"/>
  <c r="L160" i="1" s="1"/>
  <c r="M159" i="1"/>
  <c r="K159" i="1"/>
  <c r="J159" i="1"/>
  <c r="L159" i="1" s="1"/>
  <c r="M158" i="1"/>
  <c r="K158" i="1"/>
  <c r="J158" i="1"/>
  <c r="L158" i="1" s="1"/>
  <c r="M157" i="1"/>
  <c r="K157" i="1"/>
  <c r="J157" i="1"/>
  <c r="L157" i="1" s="1"/>
  <c r="M156" i="1"/>
  <c r="K156" i="1"/>
  <c r="J156" i="1"/>
  <c r="L156" i="1" s="1"/>
  <c r="M155" i="1"/>
  <c r="K155" i="1"/>
  <c r="J155" i="1"/>
  <c r="L155" i="1" s="1"/>
  <c r="M154" i="1"/>
  <c r="K154" i="1"/>
  <c r="J154" i="1"/>
  <c r="L154" i="1" s="1"/>
  <c r="M153" i="1"/>
  <c r="K153" i="1"/>
  <c r="J153" i="1"/>
  <c r="L153" i="1" s="1"/>
  <c r="M152" i="1"/>
  <c r="K152" i="1"/>
  <c r="J152" i="1"/>
  <c r="L152" i="1" s="1"/>
  <c r="M151" i="1"/>
  <c r="K151" i="1"/>
  <c r="J151" i="1"/>
  <c r="L151" i="1" s="1"/>
  <c r="M150" i="1"/>
  <c r="K150" i="1"/>
  <c r="J150" i="1"/>
  <c r="L150" i="1" s="1"/>
  <c r="M149" i="1"/>
  <c r="K149" i="1"/>
  <c r="J149" i="1"/>
  <c r="L149" i="1" s="1"/>
  <c r="M148" i="1"/>
  <c r="K148" i="1"/>
  <c r="J148" i="1"/>
  <c r="L148" i="1" s="1"/>
  <c r="M147" i="1"/>
  <c r="K147" i="1"/>
  <c r="J147" i="1"/>
  <c r="L147" i="1" s="1"/>
  <c r="M146" i="1"/>
  <c r="K146" i="1"/>
  <c r="J146" i="1"/>
  <c r="L146" i="1" s="1"/>
  <c r="M145" i="1"/>
  <c r="K145" i="1"/>
  <c r="J145" i="1"/>
  <c r="L145" i="1" s="1"/>
  <c r="M144" i="1"/>
  <c r="K144" i="1"/>
  <c r="J144" i="1"/>
  <c r="L144" i="1" s="1"/>
  <c r="M143" i="1"/>
  <c r="K143" i="1"/>
  <c r="J143" i="1"/>
  <c r="L143" i="1" s="1"/>
  <c r="M142" i="1"/>
  <c r="K142" i="1"/>
  <c r="J142" i="1"/>
  <c r="L142" i="1" s="1"/>
  <c r="M141" i="1"/>
  <c r="K141" i="1"/>
  <c r="J141" i="1"/>
  <c r="L141" i="1" s="1"/>
  <c r="M140" i="1"/>
  <c r="K140" i="1"/>
  <c r="J140" i="1"/>
  <c r="L140" i="1" s="1"/>
  <c r="M139" i="1"/>
  <c r="K139" i="1"/>
  <c r="J139" i="1"/>
  <c r="L139" i="1" s="1"/>
  <c r="M138" i="1"/>
  <c r="K138" i="1"/>
  <c r="J138" i="1"/>
  <c r="L138" i="1" s="1"/>
  <c r="M137" i="1"/>
  <c r="K137" i="1"/>
  <c r="J137" i="1"/>
  <c r="L137" i="1" s="1"/>
  <c r="M136" i="1"/>
  <c r="K136" i="1"/>
  <c r="J136" i="1"/>
  <c r="L136" i="1" s="1"/>
  <c r="M135" i="1"/>
  <c r="L135" i="1"/>
  <c r="K135" i="1"/>
  <c r="J135" i="1"/>
  <c r="M134" i="1"/>
  <c r="K134" i="1"/>
  <c r="J134" i="1"/>
  <c r="L134" i="1" s="1"/>
  <c r="M133" i="1"/>
  <c r="K133" i="1"/>
  <c r="J133" i="1"/>
  <c r="L133" i="1" s="1"/>
  <c r="M132" i="1"/>
  <c r="K132" i="1"/>
  <c r="J132" i="1"/>
  <c r="L132" i="1" s="1"/>
  <c r="M131" i="1"/>
  <c r="K131" i="1"/>
  <c r="J131" i="1"/>
  <c r="L131" i="1" s="1"/>
  <c r="M130" i="1"/>
  <c r="K130" i="1"/>
  <c r="J130" i="1"/>
  <c r="L130" i="1" s="1"/>
  <c r="M129" i="1"/>
  <c r="K129" i="1"/>
  <c r="J129" i="1"/>
  <c r="L129" i="1" s="1"/>
  <c r="M128" i="1"/>
  <c r="K128" i="1"/>
  <c r="J128" i="1"/>
  <c r="L128" i="1" s="1"/>
  <c r="M127" i="1"/>
  <c r="K127" i="1"/>
  <c r="J127" i="1"/>
  <c r="L127" i="1" s="1"/>
  <c r="M126" i="1"/>
  <c r="K126" i="1"/>
  <c r="J126" i="1"/>
  <c r="L126" i="1" s="1"/>
  <c r="N125" i="1"/>
  <c r="M125" i="1"/>
  <c r="K125" i="1"/>
  <c r="J125" i="1"/>
  <c r="L125" i="1" s="1"/>
  <c r="N124" i="1"/>
  <c r="M124" i="1"/>
  <c r="K124" i="1"/>
  <c r="J124" i="1"/>
  <c r="L124" i="1" s="1"/>
  <c r="M123" i="1"/>
  <c r="K123" i="1"/>
  <c r="J123" i="1"/>
  <c r="L123" i="1" s="1"/>
  <c r="M122" i="1"/>
  <c r="K122" i="1"/>
  <c r="J122" i="1"/>
  <c r="L122" i="1" s="1"/>
  <c r="M121" i="1"/>
  <c r="K121" i="1"/>
  <c r="J121" i="1"/>
  <c r="L121" i="1" s="1"/>
  <c r="N120" i="1"/>
  <c r="M120" i="1"/>
  <c r="K120" i="1"/>
  <c r="J120" i="1"/>
  <c r="L120" i="1" s="1"/>
  <c r="M119" i="1"/>
  <c r="K119" i="1"/>
  <c r="J119" i="1"/>
  <c r="L119" i="1" s="1"/>
  <c r="M118" i="1"/>
  <c r="K118" i="1"/>
  <c r="J118" i="1"/>
  <c r="L118" i="1" s="1"/>
  <c r="M117" i="1"/>
  <c r="K117" i="1"/>
  <c r="J117" i="1"/>
  <c r="L117" i="1" s="1"/>
  <c r="M116" i="1"/>
  <c r="K116" i="1"/>
  <c r="J116" i="1"/>
  <c r="L116" i="1" s="1"/>
  <c r="O115" i="1"/>
  <c r="P115" i="1" s="1"/>
  <c r="M115" i="1"/>
  <c r="K115" i="1"/>
  <c r="J115" i="1"/>
  <c r="M114" i="1"/>
  <c r="K114" i="1"/>
  <c r="J114" i="1"/>
  <c r="L114" i="1" s="1"/>
  <c r="M113" i="1"/>
  <c r="K113" i="1"/>
  <c r="J113" i="1"/>
  <c r="L113" i="1" s="1"/>
  <c r="M112" i="1"/>
  <c r="K112" i="1"/>
  <c r="J112" i="1"/>
  <c r="L112" i="1" s="1"/>
  <c r="M111" i="1"/>
  <c r="K111" i="1"/>
  <c r="J111" i="1"/>
  <c r="L111" i="1" s="1"/>
  <c r="M110" i="1"/>
  <c r="K110" i="1"/>
  <c r="J110" i="1"/>
  <c r="L110" i="1" s="1"/>
  <c r="M109" i="1"/>
  <c r="K109" i="1"/>
  <c r="J109" i="1"/>
  <c r="L109" i="1" s="1"/>
  <c r="M108" i="1"/>
  <c r="K108" i="1"/>
  <c r="J108" i="1"/>
  <c r="L108" i="1" s="1"/>
  <c r="M106" i="1"/>
  <c r="K106" i="1"/>
  <c r="J106" i="1"/>
  <c r="L106" i="1" s="1"/>
  <c r="M105" i="1"/>
  <c r="K105" i="1"/>
  <c r="J105" i="1"/>
  <c r="L105" i="1" s="1"/>
  <c r="M104" i="1"/>
  <c r="K104" i="1"/>
  <c r="J104" i="1"/>
  <c r="L104" i="1" s="1"/>
  <c r="M103" i="1"/>
  <c r="K103" i="1"/>
  <c r="J103" i="1"/>
  <c r="L103" i="1" s="1"/>
  <c r="M102" i="1"/>
  <c r="K102" i="1"/>
  <c r="J102" i="1"/>
  <c r="L102" i="1" s="1"/>
  <c r="M101" i="1"/>
  <c r="K101" i="1"/>
  <c r="J101" i="1"/>
  <c r="L101" i="1" s="1"/>
  <c r="M100" i="1"/>
  <c r="K100" i="1"/>
  <c r="J100" i="1"/>
  <c r="L100" i="1" s="1"/>
  <c r="M99" i="1"/>
  <c r="K99" i="1"/>
  <c r="J99" i="1"/>
  <c r="L99" i="1" s="1"/>
  <c r="M98" i="1"/>
  <c r="K98" i="1"/>
  <c r="J98" i="1"/>
  <c r="L98" i="1" s="1"/>
  <c r="M97" i="1"/>
  <c r="K97" i="1"/>
  <c r="J97" i="1"/>
  <c r="L97" i="1" s="1"/>
  <c r="M96" i="1"/>
  <c r="K96" i="1"/>
  <c r="J96" i="1"/>
  <c r="L96" i="1" s="1"/>
  <c r="M95" i="1"/>
  <c r="K95" i="1"/>
  <c r="J95" i="1"/>
  <c r="L95" i="1" s="1"/>
  <c r="M94" i="1"/>
  <c r="K94" i="1"/>
  <c r="J94" i="1"/>
  <c r="L94" i="1" s="1"/>
  <c r="M93" i="1"/>
  <c r="K93" i="1"/>
  <c r="J93" i="1"/>
  <c r="L93" i="1" s="1"/>
  <c r="M92" i="1"/>
  <c r="K92" i="1"/>
  <c r="J92" i="1"/>
  <c r="L92" i="1" s="1"/>
  <c r="M91" i="1"/>
  <c r="K91" i="1"/>
  <c r="J91" i="1"/>
  <c r="L91" i="1" s="1"/>
  <c r="M90" i="1"/>
  <c r="K90" i="1"/>
  <c r="J90" i="1"/>
  <c r="L90" i="1" s="1"/>
  <c r="M89" i="1"/>
  <c r="K89" i="1"/>
  <c r="J89" i="1"/>
  <c r="L89" i="1" s="1"/>
  <c r="M88" i="1"/>
  <c r="K88" i="1"/>
  <c r="J88" i="1"/>
  <c r="L88" i="1" s="1"/>
  <c r="M87" i="1"/>
  <c r="K87" i="1"/>
  <c r="J87" i="1"/>
  <c r="L87" i="1" s="1"/>
  <c r="M86" i="1"/>
  <c r="K86" i="1"/>
  <c r="J86" i="1"/>
  <c r="L86" i="1" s="1"/>
  <c r="M85" i="1"/>
  <c r="K85" i="1"/>
  <c r="J85" i="1"/>
  <c r="L85" i="1" s="1"/>
  <c r="M84" i="1"/>
  <c r="K84" i="1"/>
  <c r="J84" i="1"/>
  <c r="L84" i="1" s="1"/>
  <c r="M83" i="1"/>
  <c r="K83" i="1"/>
  <c r="J83" i="1"/>
  <c r="L83" i="1" s="1"/>
  <c r="M82" i="1"/>
  <c r="K82" i="1"/>
  <c r="J82" i="1"/>
  <c r="L82" i="1" s="1"/>
  <c r="M81" i="1"/>
  <c r="K81" i="1"/>
  <c r="J81" i="1"/>
  <c r="L81" i="1" s="1"/>
  <c r="M80" i="1"/>
  <c r="K80" i="1"/>
  <c r="J80" i="1"/>
  <c r="L80" i="1" s="1"/>
  <c r="M79" i="1"/>
  <c r="K79" i="1"/>
  <c r="J79" i="1"/>
  <c r="L79" i="1" s="1"/>
  <c r="M78" i="1"/>
  <c r="K78" i="1"/>
  <c r="J78" i="1"/>
  <c r="L78" i="1" s="1"/>
  <c r="M77" i="1"/>
  <c r="K77" i="1"/>
  <c r="J77" i="1"/>
  <c r="L77" i="1" s="1"/>
  <c r="O77" i="1" s="1"/>
  <c r="P77" i="1" s="1"/>
  <c r="M76" i="1"/>
  <c r="K76" i="1"/>
  <c r="J76" i="1"/>
  <c r="L76" i="1" s="1"/>
  <c r="M75" i="1"/>
  <c r="K75" i="1"/>
  <c r="J75" i="1"/>
  <c r="L75" i="1" s="1"/>
  <c r="M74" i="1"/>
  <c r="K74" i="1"/>
  <c r="J74" i="1"/>
  <c r="L74" i="1" s="1"/>
  <c r="M73" i="1"/>
  <c r="K73" i="1"/>
  <c r="J73" i="1"/>
  <c r="L73" i="1" s="1"/>
  <c r="M72" i="1"/>
  <c r="K72" i="1"/>
  <c r="J72" i="1"/>
  <c r="L72" i="1" s="1"/>
  <c r="M71" i="1"/>
  <c r="K71" i="1"/>
  <c r="J71" i="1"/>
  <c r="L71" i="1" s="1"/>
  <c r="M70" i="1"/>
  <c r="K70" i="1"/>
  <c r="J70" i="1"/>
  <c r="L70" i="1" s="1"/>
  <c r="M69" i="1"/>
  <c r="K69" i="1"/>
  <c r="J69" i="1"/>
  <c r="L69" i="1" s="1"/>
  <c r="M68" i="1"/>
  <c r="K68" i="1"/>
  <c r="J68" i="1"/>
  <c r="L68" i="1" s="1"/>
  <c r="M67" i="1"/>
  <c r="K67" i="1"/>
  <c r="J67" i="1"/>
  <c r="L67" i="1" s="1"/>
  <c r="M66" i="1"/>
  <c r="K66" i="1"/>
  <c r="J66" i="1"/>
  <c r="L66" i="1" s="1"/>
  <c r="M65" i="1"/>
  <c r="K65" i="1"/>
  <c r="J65" i="1"/>
  <c r="L65" i="1" s="1"/>
  <c r="M64" i="1"/>
  <c r="K64" i="1"/>
  <c r="J64" i="1"/>
  <c r="L64" i="1" s="1"/>
  <c r="M63" i="1"/>
  <c r="K63" i="1"/>
  <c r="J63" i="1"/>
  <c r="L63" i="1" s="1"/>
  <c r="M62" i="1"/>
  <c r="K62" i="1"/>
  <c r="J62" i="1"/>
  <c r="L62" i="1" s="1"/>
  <c r="M61" i="1"/>
  <c r="K61" i="1"/>
  <c r="J61" i="1"/>
  <c r="L61" i="1" s="1"/>
  <c r="M60" i="1"/>
  <c r="K60" i="1"/>
  <c r="J60" i="1"/>
  <c r="L60" i="1" s="1"/>
  <c r="M59" i="1"/>
  <c r="K59" i="1"/>
  <c r="J59" i="1"/>
  <c r="L59" i="1" s="1"/>
  <c r="M58" i="1"/>
  <c r="K58" i="1"/>
  <c r="J58" i="1"/>
  <c r="L58" i="1" s="1"/>
  <c r="M57" i="1"/>
  <c r="K57" i="1"/>
  <c r="J57" i="1"/>
  <c r="L57" i="1" s="1"/>
  <c r="M56" i="1"/>
  <c r="K56" i="1"/>
  <c r="J56" i="1"/>
  <c r="L56" i="1" s="1"/>
  <c r="M55" i="1"/>
  <c r="K55" i="1"/>
  <c r="J55" i="1"/>
  <c r="L55" i="1" s="1"/>
  <c r="M54" i="1"/>
  <c r="K54" i="1"/>
  <c r="J54" i="1"/>
  <c r="L54" i="1" s="1"/>
  <c r="M52" i="1"/>
  <c r="K52" i="1"/>
  <c r="J52" i="1"/>
  <c r="L52" i="1" s="1"/>
  <c r="M51" i="1"/>
  <c r="K51" i="1"/>
  <c r="J51" i="1"/>
  <c r="L51" i="1" s="1"/>
  <c r="M50" i="1"/>
  <c r="K50" i="1"/>
  <c r="J50" i="1"/>
  <c r="L50" i="1" s="1"/>
  <c r="M49" i="1"/>
  <c r="K49" i="1"/>
  <c r="J49" i="1"/>
  <c r="L49" i="1" s="1"/>
  <c r="M47" i="1"/>
  <c r="K47" i="1"/>
  <c r="J47" i="1"/>
  <c r="L47" i="1" s="1"/>
  <c r="M46" i="1"/>
  <c r="K46" i="1"/>
  <c r="J46" i="1"/>
  <c r="L46" i="1" s="1"/>
  <c r="M45" i="1"/>
  <c r="K45" i="1"/>
  <c r="J45" i="1"/>
  <c r="L45" i="1" s="1"/>
  <c r="M44" i="1"/>
  <c r="K44" i="1"/>
  <c r="J44" i="1"/>
  <c r="L44" i="1" s="1"/>
  <c r="M43" i="1"/>
  <c r="K43" i="1"/>
  <c r="J43" i="1"/>
  <c r="L43" i="1" s="1"/>
  <c r="M42" i="1"/>
  <c r="K42" i="1"/>
  <c r="J42" i="1"/>
  <c r="L42" i="1" s="1"/>
  <c r="M41" i="1"/>
  <c r="K41" i="1"/>
  <c r="J41" i="1"/>
  <c r="L41" i="1" s="1"/>
  <c r="M40" i="1"/>
  <c r="K40" i="1"/>
  <c r="J40" i="1"/>
  <c r="L40" i="1" s="1"/>
  <c r="M39" i="1"/>
  <c r="K39" i="1"/>
  <c r="J39" i="1"/>
  <c r="L39" i="1" s="1"/>
  <c r="M38" i="1"/>
  <c r="K38" i="1"/>
  <c r="J38" i="1"/>
  <c r="L38" i="1" s="1"/>
  <c r="M37" i="1"/>
  <c r="K37" i="1"/>
  <c r="J37" i="1"/>
  <c r="L37" i="1" s="1"/>
  <c r="M36" i="1"/>
  <c r="K36" i="1"/>
  <c r="J36" i="1"/>
  <c r="L36" i="1" s="1"/>
  <c r="M35" i="1"/>
  <c r="K35" i="1"/>
  <c r="J35" i="1"/>
  <c r="L35" i="1" s="1"/>
  <c r="M34" i="1"/>
  <c r="K34" i="1"/>
  <c r="J34" i="1"/>
  <c r="L34" i="1" s="1"/>
  <c r="M33" i="1"/>
  <c r="K33" i="1"/>
  <c r="J33" i="1"/>
  <c r="L33" i="1" s="1"/>
  <c r="M32" i="1"/>
  <c r="K32" i="1"/>
  <c r="J32" i="1"/>
  <c r="L32" i="1" s="1"/>
  <c r="M31" i="1"/>
  <c r="K31" i="1"/>
  <c r="J31" i="1"/>
  <c r="L31" i="1" s="1"/>
  <c r="M30" i="1"/>
  <c r="K30" i="1"/>
  <c r="J30" i="1"/>
  <c r="L30" i="1" s="1"/>
  <c r="M29" i="1"/>
  <c r="K29" i="1"/>
  <c r="J29" i="1"/>
  <c r="L29" i="1" s="1"/>
  <c r="M28" i="1"/>
  <c r="K28" i="1"/>
  <c r="J28" i="1"/>
  <c r="L28" i="1" s="1"/>
  <c r="M27" i="1"/>
  <c r="K27" i="1"/>
  <c r="J27" i="1"/>
  <c r="L27" i="1" s="1"/>
  <c r="M26" i="1"/>
  <c r="K26" i="1"/>
  <c r="J26" i="1"/>
  <c r="L26" i="1" s="1"/>
  <c r="M25" i="1"/>
  <c r="K25" i="1"/>
  <c r="J25" i="1"/>
  <c r="L25" i="1" s="1"/>
  <c r="O25" i="1" s="1"/>
  <c r="P25" i="1" s="1"/>
  <c r="M24" i="1"/>
  <c r="K24" i="1"/>
  <c r="J24" i="1"/>
  <c r="L24" i="1" s="1"/>
  <c r="M23" i="1"/>
  <c r="K23" i="1"/>
  <c r="J23" i="1"/>
  <c r="L23" i="1" s="1"/>
  <c r="M22" i="1"/>
  <c r="K22" i="1"/>
  <c r="J22" i="1"/>
  <c r="L22" i="1" s="1"/>
  <c r="M21" i="1"/>
  <c r="K21" i="1"/>
  <c r="J21" i="1"/>
  <c r="L21" i="1" s="1"/>
  <c r="M20" i="1"/>
  <c r="K20" i="1"/>
  <c r="J20" i="1"/>
  <c r="L20" i="1" s="1"/>
  <c r="M19" i="1"/>
  <c r="K19" i="1"/>
  <c r="J19" i="1"/>
  <c r="L19" i="1" s="1"/>
  <c r="M18" i="1"/>
  <c r="K18" i="1"/>
  <c r="J18" i="1"/>
  <c r="L18" i="1" s="1"/>
  <c r="M17" i="1"/>
  <c r="K17" i="1"/>
  <c r="J17" i="1"/>
  <c r="L17" i="1" s="1"/>
  <c r="M15" i="1"/>
  <c r="K15" i="1"/>
  <c r="J15" i="1"/>
  <c r="L15" i="1" s="1"/>
  <c r="M14" i="1"/>
  <c r="K14" i="1"/>
  <c r="J14" i="1"/>
  <c r="L14" i="1" s="1"/>
  <c r="M13" i="1"/>
  <c r="K13" i="1"/>
  <c r="J13" i="1"/>
  <c r="L13" i="1" s="1"/>
  <c r="M12" i="1"/>
  <c r="K12" i="1"/>
  <c r="J12" i="1"/>
  <c r="L12" i="1" s="1"/>
  <c r="M11" i="1"/>
  <c r="K11" i="1"/>
  <c r="J11" i="1"/>
  <c r="L11" i="1" s="1"/>
  <c r="M10" i="1"/>
  <c r="K10" i="1"/>
  <c r="J10" i="1"/>
  <c r="L10" i="1" s="1"/>
  <c r="M9" i="1"/>
  <c r="K9" i="1"/>
  <c r="J9" i="1"/>
  <c r="L9" i="1" s="1"/>
  <c r="M8" i="1"/>
  <c r="K8" i="1"/>
  <c r="J8" i="1"/>
  <c r="L8" i="1" s="1"/>
  <c r="N7" i="1"/>
  <c r="M7" i="1"/>
  <c r="K7" i="1"/>
  <c r="J7" i="1"/>
  <c r="L7" i="1" s="1"/>
  <c r="M6" i="1"/>
  <c r="K6" i="1"/>
  <c r="J6" i="1"/>
  <c r="L6" i="1" s="1"/>
  <c r="M4" i="1"/>
  <c r="K4" i="1"/>
  <c r="J4" i="1"/>
  <c r="L4" i="1" s="1"/>
  <c r="M3" i="1"/>
  <c r="K3" i="1"/>
  <c r="J3" i="1"/>
  <c r="L3" i="1" s="1"/>
  <c r="J180" i="4" l="1"/>
  <c r="J175" i="4"/>
  <c r="J171" i="4"/>
  <c r="J169" i="4"/>
  <c r="J166" i="4"/>
  <c r="J164" i="4"/>
  <c r="J161" i="4"/>
  <c r="J159" i="4"/>
  <c r="J156" i="4"/>
  <c r="J153" i="4"/>
  <c r="J151" i="4"/>
  <c r="J148" i="4"/>
  <c r="J143" i="4"/>
  <c r="J140" i="4"/>
  <c r="J138" i="4"/>
  <c r="J135" i="4"/>
  <c r="J133" i="4"/>
  <c r="J130" i="4"/>
  <c r="J129" i="4"/>
  <c r="J128" i="4"/>
  <c r="J124" i="4"/>
  <c r="J121" i="4"/>
  <c r="J118" i="4"/>
  <c r="J115" i="4"/>
  <c r="J112" i="4"/>
  <c r="J109" i="4"/>
  <c r="J106" i="4"/>
  <c r="J105" i="4"/>
  <c r="J104" i="4"/>
  <c r="J101" i="4"/>
  <c r="J98" i="4"/>
  <c r="J95" i="4"/>
  <c r="J91" i="4"/>
  <c r="J88" i="4"/>
  <c r="J85" i="4"/>
  <c r="J82" i="4"/>
  <c r="J79" i="4"/>
  <c r="J76" i="4"/>
  <c r="J73" i="4"/>
  <c r="J72" i="4"/>
  <c r="J69" i="4"/>
  <c r="J66" i="4"/>
  <c r="J63" i="4"/>
  <c r="J60" i="4"/>
  <c r="J58" i="4"/>
  <c r="J56" i="4"/>
  <c r="J53" i="4"/>
  <c r="J50" i="4"/>
  <c r="J47" i="4"/>
  <c r="J45" i="4"/>
  <c r="J40" i="4"/>
  <c r="J38" i="4"/>
  <c r="J35" i="4"/>
  <c r="J32" i="4"/>
  <c r="J29" i="4"/>
  <c r="J26" i="4"/>
  <c r="J24" i="4"/>
  <c r="J21" i="4"/>
  <c r="J18" i="4"/>
  <c r="J15" i="4"/>
  <c r="J12" i="4"/>
  <c r="J8" i="4"/>
  <c r="J6" i="4"/>
  <c r="J127" i="4"/>
  <c r="J131" i="4"/>
  <c r="J134" i="4"/>
  <c r="J136" i="4"/>
  <c r="J139" i="4"/>
  <c r="J141" i="4"/>
  <c r="J145" i="4"/>
  <c r="J147" i="4"/>
  <c r="J150" i="4"/>
  <c r="J152" i="4"/>
  <c r="J154" i="4"/>
  <c r="J157" i="4"/>
  <c r="J162" i="4"/>
  <c r="J4" i="4"/>
  <c r="J5" i="4"/>
  <c r="J9" i="4"/>
  <c r="J83" i="4"/>
  <c r="J165" i="4"/>
  <c r="J168" i="4"/>
  <c r="J176" i="4"/>
  <c r="J10" i="4"/>
  <c r="J13" i="4"/>
  <c r="J16" i="4"/>
  <c r="J23" i="4"/>
  <c r="J25" i="4"/>
  <c r="J27" i="4"/>
  <c r="J30" i="4"/>
  <c r="J34" i="4"/>
  <c r="J37" i="4"/>
  <c r="J41" i="4"/>
  <c r="J44" i="4"/>
  <c r="J48" i="4"/>
  <c r="J52" i="4"/>
  <c r="J54" i="4"/>
  <c r="J59" i="4"/>
  <c r="J61" i="4"/>
  <c r="J65" i="4"/>
  <c r="J67" i="4"/>
  <c r="J70" i="4"/>
  <c r="J74" i="4"/>
  <c r="J78" i="4"/>
  <c r="J81" i="4"/>
  <c r="J177" i="4"/>
  <c r="J86" i="4"/>
  <c r="J89" i="4"/>
  <c r="J97" i="4"/>
  <c r="J99" i="4"/>
  <c r="J111" i="4"/>
  <c r="J113" i="4"/>
  <c r="J114" i="4"/>
  <c r="J116" i="4"/>
  <c r="J119" i="4"/>
  <c r="J122" i="4"/>
  <c r="J125" i="4"/>
  <c r="J132" i="4"/>
  <c r="J137" i="4"/>
  <c r="J142" i="4"/>
  <c r="J144" i="4"/>
  <c r="J146" i="4"/>
  <c r="J149" i="4"/>
  <c r="J155" i="4"/>
  <c r="J158" i="4"/>
  <c r="J160" i="4"/>
  <c r="J163" i="4"/>
  <c r="J167" i="4"/>
  <c r="J170" i="4"/>
  <c r="J172" i="4"/>
  <c r="J173" i="4"/>
  <c r="J178" i="4"/>
  <c r="J179" i="4"/>
  <c r="J174" i="4"/>
  <c r="J3" i="4"/>
  <c r="J7" i="4"/>
  <c r="J11" i="4"/>
  <c r="J14" i="4"/>
  <c r="J17" i="4"/>
  <c r="J19" i="4"/>
  <c r="J20" i="4"/>
  <c r="J22" i="4"/>
  <c r="J28" i="4"/>
  <c r="J31" i="4"/>
  <c r="J33" i="4"/>
  <c r="J36" i="4"/>
  <c r="J39" i="4"/>
  <c r="J42" i="4"/>
  <c r="J43" i="4"/>
  <c r="J46" i="4"/>
  <c r="J49" i="4"/>
  <c r="J51" i="4"/>
  <c r="J55" i="4"/>
  <c r="J57" i="4"/>
  <c r="J62" i="4"/>
  <c r="J64" i="4"/>
  <c r="J68" i="4"/>
  <c r="J71" i="4"/>
  <c r="J75" i="4"/>
  <c r="J77" i="4"/>
  <c r="J80" i="4"/>
  <c r="J84" i="4"/>
  <c r="J87" i="4"/>
  <c r="J90" i="4"/>
  <c r="J92" i="4"/>
  <c r="J93" i="4"/>
  <c r="J94" i="4"/>
  <c r="J96" i="4"/>
  <c r="J100" i="4"/>
  <c r="J102" i="4"/>
  <c r="J103" i="4"/>
  <c r="J107" i="4"/>
  <c r="J108" i="4"/>
  <c r="J110" i="4"/>
  <c r="J117" i="4"/>
  <c r="J120" i="4"/>
  <c r="J123" i="4"/>
  <c r="J126" i="4"/>
  <c r="O367" i="1"/>
  <c r="P367" i="1" s="1"/>
  <c r="N367" i="1"/>
  <c r="N366" i="1"/>
  <c r="O366" i="1"/>
  <c r="P366" i="1" s="1"/>
  <c r="N365" i="1"/>
  <c r="O365" i="1"/>
  <c r="P365" i="1" s="1"/>
  <c r="N364" i="1"/>
  <c r="O364" i="1"/>
  <c r="P364" i="1" s="1"/>
  <c r="N363" i="1"/>
  <c r="O363" i="1"/>
  <c r="P363" i="1" s="1"/>
  <c r="N362" i="1"/>
  <c r="O362" i="1"/>
  <c r="P362" i="1" s="1"/>
  <c r="N361" i="1"/>
  <c r="O361" i="1"/>
  <c r="P361" i="1" s="1"/>
  <c r="N360" i="1"/>
  <c r="O360" i="1"/>
  <c r="P360" i="1" s="1"/>
  <c r="N359" i="1"/>
  <c r="O359" i="1"/>
  <c r="P359" i="1" s="1"/>
  <c r="N358" i="1"/>
  <c r="O358" i="1"/>
  <c r="P358" i="1" s="1"/>
  <c r="N357" i="1"/>
  <c r="O357" i="1"/>
  <c r="P357" i="1" s="1"/>
  <c r="N356" i="1"/>
  <c r="O356" i="1"/>
  <c r="P356" i="1" s="1"/>
  <c r="N355" i="1"/>
  <c r="O355" i="1"/>
  <c r="P355" i="1" s="1"/>
  <c r="N354" i="1"/>
  <c r="O354" i="1"/>
  <c r="P354" i="1" s="1"/>
  <c r="N353" i="1"/>
  <c r="O353" i="1"/>
  <c r="P353" i="1" s="1"/>
  <c r="N352" i="1"/>
  <c r="O352" i="1"/>
  <c r="P352" i="1" s="1"/>
  <c r="N351" i="1"/>
  <c r="O351" i="1"/>
  <c r="P351" i="1" s="1"/>
  <c r="N350" i="1"/>
  <c r="O350" i="1"/>
  <c r="P350" i="1" s="1"/>
  <c r="N349" i="1"/>
  <c r="O349" i="1"/>
  <c r="P349" i="1" s="1"/>
  <c r="N348" i="1"/>
  <c r="O348" i="1"/>
  <c r="P348" i="1" s="1"/>
  <c r="N347" i="1"/>
  <c r="O347" i="1"/>
  <c r="P347" i="1" s="1"/>
  <c r="N346" i="1"/>
  <c r="O346" i="1"/>
  <c r="P346" i="1" s="1"/>
  <c r="N345" i="1"/>
  <c r="O345" i="1"/>
  <c r="P345" i="1" s="1"/>
  <c r="N344" i="1"/>
  <c r="O344" i="1"/>
  <c r="P344" i="1" s="1"/>
  <c r="N343" i="1"/>
  <c r="O343" i="1"/>
  <c r="P343" i="1" s="1"/>
  <c r="N342" i="1"/>
  <c r="O342" i="1"/>
  <c r="P342" i="1" s="1"/>
  <c r="N341" i="1"/>
  <c r="O341" i="1"/>
  <c r="P341" i="1" s="1"/>
  <c r="N340" i="1"/>
  <c r="O340" i="1"/>
  <c r="P340" i="1" s="1"/>
  <c r="N339" i="1"/>
  <c r="O339" i="1"/>
  <c r="P339" i="1" s="1"/>
  <c r="N338" i="1"/>
  <c r="O338" i="1"/>
  <c r="P338" i="1" s="1"/>
  <c r="N337" i="1"/>
  <c r="O337" i="1"/>
  <c r="P337" i="1" s="1"/>
  <c r="N336" i="1"/>
  <c r="O336" i="1"/>
  <c r="P336" i="1" s="1"/>
  <c r="N335" i="1"/>
  <c r="O335" i="1"/>
  <c r="P335" i="1" s="1"/>
  <c r="N334" i="1"/>
  <c r="O334" i="1"/>
  <c r="P334" i="1" s="1"/>
  <c r="N333" i="1"/>
  <c r="O333" i="1"/>
  <c r="P333" i="1" s="1"/>
  <c r="N332" i="1"/>
  <c r="O332" i="1"/>
  <c r="P332" i="1" s="1"/>
  <c r="N331" i="1"/>
  <c r="O331" i="1"/>
  <c r="P331" i="1" s="1"/>
  <c r="N330" i="1"/>
  <c r="O330" i="1"/>
  <c r="P330" i="1" s="1"/>
  <c r="N329" i="1"/>
  <c r="O329" i="1"/>
  <c r="P329" i="1" s="1"/>
  <c r="N328" i="1"/>
  <c r="O328" i="1"/>
  <c r="P328" i="1" s="1"/>
  <c r="N327" i="1"/>
  <c r="O327" i="1"/>
  <c r="P327" i="1" s="1"/>
  <c r="N326" i="1"/>
  <c r="O326" i="1"/>
  <c r="P326" i="1" s="1"/>
  <c r="N325" i="1"/>
  <c r="O325" i="1"/>
  <c r="P325" i="1" s="1"/>
  <c r="N324" i="1"/>
  <c r="O324" i="1"/>
  <c r="P324" i="1" s="1"/>
  <c r="N323" i="1"/>
  <c r="O323" i="1"/>
  <c r="P323" i="1" s="1"/>
  <c r="N322" i="1"/>
  <c r="O322" i="1"/>
  <c r="P322" i="1" s="1"/>
  <c r="N321" i="1"/>
  <c r="O321" i="1"/>
  <c r="P321" i="1" s="1"/>
  <c r="N320" i="1"/>
  <c r="O320" i="1"/>
  <c r="P320" i="1" s="1"/>
  <c r="N319" i="1"/>
  <c r="O319" i="1"/>
  <c r="P319" i="1" s="1"/>
  <c r="N318" i="1"/>
  <c r="O318" i="1"/>
  <c r="P318" i="1" s="1"/>
  <c r="N317" i="1"/>
  <c r="O317" i="1"/>
  <c r="P317" i="1" s="1"/>
  <c r="N316" i="1"/>
  <c r="O316" i="1"/>
  <c r="P316" i="1" s="1"/>
  <c r="N315" i="1"/>
  <c r="O315" i="1"/>
  <c r="P315" i="1" s="1"/>
  <c r="N314" i="1"/>
  <c r="O314" i="1"/>
  <c r="P314" i="1" s="1"/>
  <c r="N313" i="1"/>
  <c r="O313" i="1"/>
  <c r="P313" i="1" s="1"/>
  <c r="N312" i="1"/>
  <c r="O312" i="1"/>
  <c r="P312" i="1" s="1"/>
  <c r="N311" i="1"/>
  <c r="O311" i="1"/>
  <c r="P311" i="1" s="1"/>
  <c r="N310" i="1"/>
  <c r="O310" i="1"/>
  <c r="P310" i="1" s="1"/>
  <c r="O309" i="1"/>
  <c r="P309" i="1" s="1"/>
  <c r="N308" i="1"/>
  <c r="O308" i="1"/>
  <c r="P308" i="1" s="1"/>
  <c r="N309" i="1"/>
  <c r="N307" i="1"/>
  <c r="O307" i="1"/>
  <c r="P307" i="1" s="1"/>
  <c r="N306" i="1"/>
  <c r="O306" i="1"/>
  <c r="P306" i="1" s="1"/>
  <c r="N305" i="1"/>
  <c r="O305" i="1"/>
  <c r="P305" i="1" s="1"/>
  <c r="N304" i="1"/>
  <c r="O304" i="1"/>
  <c r="P304" i="1" s="1"/>
  <c r="N303" i="1"/>
  <c r="O303" i="1"/>
  <c r="P303" i="1" s="1"/>
  <c r="N302" i="1"/>
  <c r="O302" i="1"/>
  <c r="P302" i="1" s="1"/>
  <c r="O301" i="1"/>
  <c r="P301" i="1" s="1"/>
  <c r="N282" i="1"/>
  <c r="O300" i="1"/>
  <c r="P300" i="1" s="1"/>
  <c r="N286" i="1"/>
  <c r="O299" i="1"/>
  <c r="P299" i="1" s="1"/>
  <c r="N287" i="1"/>
  <c r="O298" i="1"/>
  <c r="P298" i="1" s="1"/>
  <c r="N9" i="1"/>
  <c r="O297" i="1"/>
  <c r="P297" i="1" s="1"/>
  <c r="N10" i="1"/>
  <c r="O296" i="1"/>
  <c r="P296" i="1" s="1"/>
  <c r="N13" i="1"/>
  <c r="O295" i="1"/>
  <c r="P295" i="1" s="1"/>
  <c r="N11" i="1"/>
  <c r="O294" i="1"/>
  <c r="P294" i="1" s="1"/>
  <c r="N66" i="1"/>
  <c r="O293" i="1"/>
  <c r="P293" i="1" s="1"/>
  <c r="N29" i="1"/>
  <c r="O292" i="1"/>
  <c r="P292" i="1" s="1"/>
  <c r="N272" i="1"/>
  <c r="O291" i="1"/>
  <c r="P291" i="1" s="1"/>
  <c r="N28" i="1"/>
  <c r="O290" i="1"/>
  <c r="P290" i="1" s="1"/>
  <c r="N88" i="1"/>
  <c r="O289" i="1"/>
  <c r="P289" i="1" s="1"/>
  <c r="N90" i="1"/>
  <c r="O288" i="1"/>
  <c r="P288" i="1" s="1"/>
  <c r="N290" i="1"/>
  <c r="O287" i="1"/>
  <c r="P287" i="1" s="1"/>
  <c r="N285" i="1"/>
  <c r="O286" i="1"/>
  <c r="P286" i="1" s="1"/>
  <c r="N83" i="1"/>
  <c r="O285" i="1"/>
  <c r="P285" i="1" s="1"/>
  <c r="N65" i="1"/>
  <c r="O284" i="1"/>
  <c r="P284" i="1" s="1"/>
  <c r="N257" i="1"/>
  <c r="O282" i="1"/>
  <c r="P282" i="1" s="1"/>
  <c r="N268" i="1"/>
  <c r="O279" i="1"/>
  <c r="P279" i="1" s="1"/>
  <c r="N224" i="1"/>
  <c r="O278" i="1"/>
  <c r="P278" i="1" s="1"/>
  <c r="N269" i="1"/>
  <c r="O277" i="1"/>
  <c r="P277" i="1" s="1"/>
  <c r="N3" i="1"/>
  <c r="O276" i="1"/>
  <c r="P276" i="1" s="1"/>
  <c r="N60" i="1"/>
  <c r="O275" i="1"/>
  <c r="P275" i="1" s="1"/>
  <c r="N141" i="1"/>
  <c r="O273" i="1"/>
  <c r="P273" i="1" s="1"/>
  <c r="N140" i="1"/>
  <c r="O272" i="1"/>
  <c r="P272" i="1" s="1"/>
  <c r="N139" i="1"/>
  <c r="O271" i="1"/>
  <c r="P271" i="1" s="1"/>
  <c r="N206" i="1"/>
  <c r="O270" i="1"/>
  <c r="P270" i="1" s="1"/>
  <c r="N19" i="1"/>
  <c r="O269" i="1"/>
  <c r="P269" i="1" s="1"/>
  <c r="N14" i="1"/>
  <c r="O268" i="1"/>
  <c r="P268" i="1" s="1"/>
  <c r="N198" i="1"/>
  <c r="O267" i="1"/>
  <c r="P267" i="1" s="1"/>
  <c r="N37" i="1"/>
  <c r="O266" i="1"/>
  <c r="P266" i="1" s="1"/>
  <c r="N252" i="1"/>
  <c r="O265" i="1"/>
  <c r="P265" i="1" s="1"/>
  <c r="N254" i="1"/>
  <c r="O264" i="1"/>
  <c r="P264" i="1" s="1"/>
  <c r="N25" i="1"/>
  <c r="O263" i="1"/>
  <c r="P263" i="1" s="1"/>
  <c r="N23" i="1"/>
  <c r="O262" i="1"/>
  <c r="P262" i="1" s="1"/>
  <c r="N261" i="1"/>
  <c r="O259" i="1"/>
  <c r="P259" i="1" s="1"/>
  <c r="N200" i="1"/>
  <c r="O258" i="1"/>
  <c r="P258" i="1" s="1"/>
  <c r="N221" i="1"/>
  <c r="O257" i="1"/>
  <c r="P257" i="1" s="1"/>
  <c r="N92" i="1"/>
  <c r="O256" i="1"/>
  <c r="P256" i="1" s="1"/>
  <c r="N201" i="1"/>
  <c r="O255" i="1"/>
  <c r="P255" i="1" s="1"/>
  <c r="N97" i="1"/>
  <c r="O254" i="1"/>
  <c r="P254" i="1" s="1"/>
  <c r="N155" i="1"/>
  <c r="O253" i="1"/>
  <c r="P253" i="1" s="1"/>
  <c r="N67" i="1"/>
  <c r="O252" i="1"/>
  <c r="P252" i="1" s="1"/>
  <c r="N44" i="1"/>
  <c r="O251" i="1"/>
  <c r="P251" i="1" s="1"/>
  <c r="N160" i="1"/>
  <c r="O250" i="1"/>
  <c r="P250" i="1" s="1"/>
  <c r="N69" i="1"/>
  <c r="O249" i="1"/>
  <c r="P249" i="1" s="1"/>
  <c r="N248" i="1"/>
  <c r="O248" i="1"/>
  <c r="P248" i="1" s="1"/>
  <c r="N182" i="1"/>
  <c r="O247" i="1"/>
  <c r="P247" i="1" s="1"/>
  <c r="N267" i="1"/>
  <c r="O246" i="1"/>
  <c r="P246" i="1" s="1"/>
  <c r="N100" i="1"/>
  <c r="O245" i="1"/>
  <c r="P245" i="1" s="1"/>
  <c r="N68" i="1"/>
  <c r="O244" i="1"/>
  <c r="P244" i="1" s="1"/>
  <c r="N161" i="1"/>
  <c r="O243" i="1"/>
  <c r="P243" i="1" s="1"/>
  <c r="N163" i="1"/>
  <c r="O242" i="1"/>
  <c r="P242" i="1" s="1"/>
  <c r="N222" i="1"/>
  <c r="O241" i="1"/>
  <c r="P241" i="1" s="1"/>
  <c r="N95" i="1"/>
  <c r="O240" i="1"/>
  <c r="P240" i="1" s="1"/>
  <c r="N297" i="1"/>
  <c r="O239" i="1"/>
  <c r="P239" i="1" s="1"/>
  <c r="N108" i="1"/>
  <c r="O238" i="1"/>
  <c r="P238" i="1" s="1"/>
  <c r="N147" i="1"/>
  <c r="O237" i="1"/>
  <c r="P237" i="1" s="1"/>
  <c r="N146" i="1"/>
  <c r="O236" i="1"/>
  <c r="P236" i="1" s="1"/>
  <c r="N84" i="1"/>
  <c r="O235" i="1"/>
  <c r="P235" i="1" s="1"/>
  <c r="N178" i="1"/>
  <c r="O234" i="1"/>
  <c r="P234" i="1" s="1"/>
  <c r="N143" i="1"/>
  <c r="O233" i="1"/>
  <c r="P233" i="1" s="1"/>
  <c r="N192" i="1"/>
  <c r="O232" i="1"/>
  <c r="P232" i="1" s="1"/>
  <c r="N264" i="1"/>
  <c r="O231" i="1"/>
  <c r="P231" i="1" s="1"/>
  <c r="N234" i="1"/>
  <c r="N230" i="1"/>
  <c r="O230" i="1"/>
  <c r="P230" i="1" s="1"/>
  <c r="O229" i="1"/>
  <c r="P229" i="1" s="1"/>
  <c r="N134" i="1"/>
  <c r="O228" i="1"/>
  <c r="P228" i="1" s="1"/>
  <c r="N149" i="1"/>
  <c r="O227" i="1"/>
  <c r="P227" i="1" s="1"/>
  <c r="N164" i="1"/>
  <c r="O226" i="1"/>
  <c r="P226" i="1" s="1"/>
  <c r="N218" i="1"/>
  <c r="O225" i="1"/>
  <c r="P225" i="1" s="1"/>
  <c r="N157" i="1"/>
  <c r="O224" i="1"/>
  <c r="P224" i="1" s="1"/>
  <c r="N301" i="1"/>
  <c r="O223" i="1"/>
  <c r="P223" i="1" s="1"/>
  <c r="N153" i="1"/>
  <c r="O222" i="1"/>
  <c r="P222" i="1" s="1"/>
  <c r="N148" i="1"/>
  <c r="O221" i="1"/>
  <c r="P221" i="1" s="1"/>
  <c r="N32" i="1"/>
  <c r="O220" i="1"/>
  <c r="P220" i="1" s="1"/>
  <c r="N131" i="1"/>
  <c r="O219" i="1"/>
  <c r="P219" i="1" s="1"/>
  <c r="N130" i="1"/>
  <c r="O218" i="1"/>
  <c r="P218" i="1" s="1"/>
  <c r="N123" i="1"/>
  <c r="O217" i="1"/>
  <c r="P217" i="1" s="1"/>
  <c r="N249" i="1"/>
  <c r="O216" i="1"/>
  <c r="P216" i="1" s="1"/>
  <c r="N135" i="1"/>
  <c r="O215" i="1"/>
  <c r="P215" i="1" s="1"/>
  <c r="N173" i="1"/>
  <c r="O214" i="1"/>
  <c r="P214" i="1" s="1"/>
  <c r="N236" i="1"/>
  <c r="O213" i="1"/>
  <c r="P213" i="1" s="1"/>
  <c r="N172" i="1"/>
  <c r="O212" i="1"/>
  <c r="P212" i="1" s="1"/>
  <c r="N12" i="1"/>
  <c r="O211" i="1"/>
  <c r="P211" i="1" s="1"/>
  <c r="N175" i="1"/>
  <c r="O209" i="1"/>
  <c r="P209" i="1" s="1"/>
  <c r="N174" i="1"/>
  <c r="O208" i="1"/>
  <c r="P208" i="1" s="1"/>
  <c r="N176" i="1"/>
  <c r="O207" i="1"/>
  <c r="P207" i="1" s="1"/>
  <c r="N179" i="1"/>
  <c r="O206" i="1"/>
  <c r="P206" i="1" s="1"/>
  <c r="N85" i="1"/>
  <c r="O205" i="1"/>
  <c r="P205" i="1" s="1"/>
  <c r="N233" i="1"/>
  <c r="O204" i="1"/>
  <c r="P204" i="1" s="1"/>
  <c r="N99" i="1"/>
  <c r="O203" i="1"/>
  <c r="P203" i="1" s="1"/>
  <c r="N227" i="1"/>
  <c r="O202" i="1"/>
  <c r="P202" i="1" s="1"/>
  <c r="N238" i="1"/>
  <c r="O201" i="1"/>
  <c r="P201" i="1" s="1"/>
  <c r="N103" i="1"/>
  <c r="O200" i="1"/>
  <c r="P200" i="1" s="1"/>
  <c r="N181" i="1"/>
  <c r="O199" i="1"/>
  <c r="P199" i="1" s="1"/>
  <c r="N38" i="1"/>
  <c r="O198" i="1"/>
  <c r="P198" i="1" s="1"/>
  <c r="N43" i="1"/>
  <c r="O197" i="1"/>
  <c r="P197" i="1" s="1"/>
  <c r="N41" i="1"/>
  <c r="O196" i="1"/>
  <c r="P196" i="1" s="1"/>
  <c r="N98" i="1"/>
  <c r="O195" i="1"/>
  <c r="P195" i="1" s="1"/>
  <c r="N55" i="1"/>
  <c r="O194" i="1"/>
  <c r="P194" i="1" s="1"/>
  <c r="N126" i="1"/>
  <c r="O193" i="1"/>
  <c r="P193" i="1" s="1"/>
  <c r="N110" i="1"/>
  <c r="O192" i="1"/>
  <c r="P192" i="1" s="1"/>
  <c r="N109" i="1"/>
  <c r="O191" i="1"/>
  <c r="P191" i="1" s="1"/>
  <c r="N63" i="1"/>
  <c r="O190" i="1"/>
  <c r="P190" i="1" s="1"/>
  <c r="N199" i="1"/>
  <c r="O189" i="1"/>
  <c r="P189" i="1" s="1"/>
  <c r="N96" i="1"/>
  <c r="O188" i="1"/>
  <c r="P188" i="1" s="1"/>
  <c r="N177" i="1"/>
  <c r="O187" i="1"/>
  <c r="P187" i="1" s="1"/>
  <c r="N137" i="1"/>
  <c r="O186" i="1"/>
  <c r="P186" i="1" s="1"/>
  <c r="N30" i="1"/>
  <c r="O185" i="1"/>
  <c r="P185" i="1" s="1"/>
  <c r="N106" i="1"/>
  <c r="O184" i="1"/>
  <c r="P184" i="1" s="1"/>
  <c r="N104" i="1"/>
  <c r="O183" i="1"/>
  <c r="P183" i="1" s="1"/>
  <c r="N105" i="1"/>
  <c r="O182" i="1"/>
  <c r="P182" i="1" s="1"/>
  <c r="N111" i="1"/>
  <c r="O181" i="1"/>
  <c r="P181" i="1" s="1"/>
  <c r="N223" i="1"/>
  <c r="O180" i="1"/>
  <c r="P180" i="1" s="1"/>
  <c r="N154" i="1"/>
  <c r="O179" i="1"/>
  <c r="P179" i="1" s="1"/>
  <c r="N217" i="1"/>
  <c r="O178" i="1"/>
  <c r="P178" i="1" s="1"/>
  <c r="N220" i="1"/>
  <c r="O177" i="1"/>
  <c r="P177" i="1" s="1"/>
  <c r="N71" i="1"/>
  <c r="O176" i="1"/>
  <c r="P176" i="1" s="1"/>
  <c r="N142" i="1"/>
  <c r="O175" i="1"/>
  <c r="P175" i="1" s="1"/>
  <c r="N47" i="1"/>
  <c r="O174" i="1"/>
  <c r="P174" i="1" s="1"/>
  <c r="N46" i="1"/>
  <c r="O173" i="1"/>
  <c r="P173" i="1" s="1"/>
  <c r="N266" i="1"/>
  <c r="O172" i="1"/>
  <c r="P172" i="1" s="1"/>
  <c r="N260" i="1"/>
  <c r="O171" i="1"/>
  <c r="P171" i="1" s="1"/>
  <c r="N82" i="1"/>
  <c r="O170" i="1"/>
  <c r="P170" i="1" s="1"/>
  <c r="N151" i="1"/>
  <c r="O169" i="1"/>
  <c r="P169" i="1" s="1"/>
  <c r="N4" i="1"/>
  <c r="O168" i="1"/>
  <c r="P168" i="1" s="1"/>
  <c r="N87" i="1"/>
  <c r="O167" i="1"/>
  <c r="P167" i="1" s="1"/>
  <c r="N61" i="1"/>
  <c r="O166" i="1"/>
  <c r="P166" i="1" s="1"/>
  <c r="N86" i="1"/>
  <c r="O165" i="1"/>
  <c r="P165" i="1" s="1"/>
  <c r="N31" i="1"/>
  <c r="O164" i="1"/>
  <c r="P164" i="1" s="1"/>
  <c r="N247" i="1"/>
  <c r="O163" i="1"/>
  <c r="P163" i="1" s="1"/>
  <c r="N72" i="1"/>
  <c r="O162" i="1"/>
  <c r="P162" i="1" s="1"/>
  <c r="N167" i="1"/>
  <c r="O161" i="1"/>
  <c r="P161" i="1" s="1"/>
  <c r="N64" i="1"/>
  <c r="O160" i="1"/>
  <c r="P160" i="1" s="1"/>
  <c r="N70" i="1"/>
  <c r="O159" i="1"/>
  <c r="P159" i="1" s="1"/>
  <c r="N145" i="1"/>
  <c r="O158" i="1"/>
  <c r="P158" i="1" s="1"/>
  <c r="N144" i="1"/>
  <c r="O157" i="1"/>
  <c r="P157" i="1" s="1"/>
  <c r="N21" i="1"/>
  <c r="O156" i="1"/>
  <c r="P156" i="1" s="1"/>
  <c r="N250" i="1"/>
  <c r="O155" i="1"/>
  <c r="P155" i="1" s="1"/>
  <c r="N33" i="1"/>
  <c r="O154" i="1"/>
  <c r="P154" i="1" s="1"/>
  <c r="N162" i="1"/>
  <c r="O153" i="1"/>
  <c r="P153" i="1" s="1"/>
  <c r="N22" i="1"/>
  <c r="O152" i="1"/>
  <c r="P152" i="1" s="1"/>
  <c r="N26" i="1"/>
  <c r="O151" i="1"/>
  <c r="P151" i="1" s="1"/>
  <c r="N284" i="1"/>
  <c r="O150" i="1"/>
  <c r="P150" i="1" s="1"/>
  <c r="N273" i="1"/>
  <c r="O149" i="1"/>
  <c r="P149" i="1" s="1"/>
  <c r="N42" i="1"/>
  <c r="O148" i="1"/>
  <c r="P148" i="1" s="1"/>
  <c r="N27" i="1"/>
  <c r="O147" i="1"/>
  <c r="P147" i="1" s="1"/>
  <c r="N89" i="1"/>
  <c r="O146" i="1"/>
  <c r="P146" i="1" s="1"/>
  <c r="N40" i="1"/>
  <c r="O145" i="1"/>
  <c r="P145" i="1" s="1"/>
  <c r="N39" i="1"/>
  <c r="O144" i="1"/>
  <c r="P144" i="1" s="1"/>
  <c r="N189" i="1"/>
  <c r="O143" i="1"/>
  <c r="P143" i="1" s="1"/>
  <c r="N212" i="1"/>
  <c r="O142" i="1"/>
  <c r="P142" i="1" s="1"/>
  <c r="N50" i="1"/>
  <c r="O141" i="1"/>
  <c r="P141" i="1" s="1"/>
  <c r="N49" i="1"/>
  <c r="O140" i="1"/>
  <c r="P140" i="1" s="1"/>
  <c r="N51" i="1"/>
  <c r="O139" i="1"/>
  <c r="P139" i="1" s="1"/>
  <c r="N241" i="1"/>
  <c r="O138" i="1"/>
  <c r="P138" i="1" s="1"/>
  <c r="N259" i="1"/>
  <c r="O137" i="1"/>
  <c r="P137" i="1" s="1"/>
  <c r="N265" i="1"/>
  <c r="O136" i="1"/>
  <c r="P136" i="1" s="1"/>
  <c r="N57" i="1"/>
  <c r="N231" i="1"/>
  <c r="O135" i="1"/>
  <c r="P135" i="1" s="1"/>
  <c r="O134" i="1"/>
  <c r="P134" i="1" s="1"/>
  <c r="N56" i="1"/>
  <c r="O133" i="1"/>
  <c r="P133" i="1" s="1"/>
  <c r="N54" i="1"/>
  <c r="O132" i="1"/>
  <c r="P132" i="1" s="1"/>
  <c r="N52" i="1"/>
  <c r="O131" i="1"/>
  <c r="P131" i="1" s="1"/>
  <c r="N191" i="1"/>
  <c r="O130" i="1"/>
  <c r="P130" i="1" s="1"/>
  <c r="N18" i="1"/>
  <c r="O129" i="1"/>
  <c r="P129" i="1" s="1"/>
  <c r="N183" i="1"/>
  <c r="O128" i="1"/>
  <c r="P128" i="1" s="1"/>
  <c r="N59" i="1"/>
  <c r="O127" i="1"/>
  <c r="P127" i="1" s="1"/>
  <c r="N209" i="1"/>
  <c r="O126" i="1"/>
  <c r="P126" i="1" s="1"/>
  <c r="N184" i="1"/>
  <c r="O125" i="1"/>
  <c r="P125" i="1" s="1"/>
  <c r="N263" i="1"/>
  <c r="O124" i="1"/>
  <c r="P124" i="1" s="1"/>
  <c r="N185" i="1"/>
  <c r="O123" i="1"/>
  <c r="P123" i="1" s="1"/>
  <c r="N211" i="1"/>
  <c r="O122" i="1"/>
  <c r="P122" i="1" s="1"/>
  <c r="N132" i="1"/>
  <c r="O121" i="1"/>
  <c r="P121" i="1" s="1"/>
  <c r="N278" i="1"/>
  <c r="O120" i="1"/>
  <c r="P120" i="1" s="1"/>
  <c r="N277" i="1"/>
  <c r="O119" i="1"/>
  <c r="P119" i="1" s="1"/>
  <c r="N117" i="1"/>
  <c r="O118" i="1"/>
  <c r="P118" i="1" s="1"/>
  <c r="N113" i="1"/>
  <c r="O117" i="1"/>
  <c r="P117" i="1" s="1"/>
  <c r="N114" i="1"/>
  <c r="O116" i="1"/>
  <c r="P116" i="1" s="1"/>
  <c r="N112" i="1"/>
  <c r="O114" i="1"/>
  <c r="P114" i="1" s="1"/>
  <c r="N122" i="1"/>
  <c r="O113" i="1"/>
  <c r="P113" i="1" s="1"/>
  <c r="N119" i="1"/>
  <c r="O112" i="1"/>
  <c r="P112" i="1" s="1"/>
  <c r="N118" i="1"/>
  <c r="O111" i="1"/>
  <c r="P111" i="1" s="1"/>
  <c r="N276" i="1"/>
  <c r="O110" i="1"/>
  <c r="P110" i="1" s="1"/>
  <c r="N275" i="1"/>
  <c r="O109" i="1"/>
  <c r="P109" i="1" s="1"/>
  <c r="N45" i="1"/>
  <c r="O108" i="1"/>
  <c r="P108" i="1" s="1"/>
  <c r="N138" i="1"/>
  <c r="O106" i="1"/>
  <c r="P106" i="1" s="1"/>
  <c r="N295" i="1"/>
  <c r="O105" i="1"/>
  <c r="P105" i="1" s="1"/>
  <c r="N193" i="1"/>
  <c r="O104" i="1"/>
  <c r="P104" i="1" s="1"/>
  <c r="N255" i="1"/>
  <c r="O103" i="1"/>
  <c r="P103" i="1" s="1"/>
  <c r="N116" i="1"/>
  <c r="O102" i="1"/>
  <c r="P102" i="1" s="1"/>
  <c r="N270" i="1"/>
  <c r="O101" i="1"/>
  <c r="P101" i="1" s="1"/>
  <c r="N115" i="1"/>
  <c r="O100" i="1"/>
  <c r="P100" i="1" s="1"/>
  <c r="N24" i="1"/>
  <c r="O99" i="1"/>
  <c r="P99" i="1" s="1"/>
  <c r="N101" i="1"/>
  <c r="O98" i="1"/>
  <c r="P98" i="1" s="1"/>
  <c r="N102" i="1"/>
  <c r="O97" i="1"/>
  <c r="P97" i="1" s="1"/>
  <c r="N91" i="1"/>
  <c r="O96" i="1"/>
  <c r="P96" i="1" s="1"/>
  <c r="N180" i="1"/>
  <c r="O95" i="1"/>
  <c r="P95" i="1" s="1"/>
  <c r="N36" i="1"/>
  <c r="O94" i="1"/>
  <c r="P94" i="1" s="1"/>
  <c r="N150" i="1"/>
  <c r="O93" i="1"/>
  <c r="P93" i="1" s="1"/>
  <c r="N279" i="1"/>
  <c r="O92" i="1"/>
  <c r="P92" i="1" s="1"/>
  <c r="N294" i="1"/>
  <c r="O91" i="1"/>
  <c r="P91" i="1" s="1"/>
  <c r="N293" i="1"/>
  <c r="O90" i="1"/>
  <c r="P90" i="1" s="1"/>
  <c r="N15" i="1"/>
  <c r="O89" i="1"/>
  <c r="P89" i="1" s="1"/>
  <c r="N274" i="1"/>
  <c r="O88" i="1"/>
  <c r="P88" i="1" s="1"/>
  <c r="N204" i="1"/>
  <c r="O87" i="1"/>
  <c r="P87" i="1" s="1"/>
  <c r="N292" i="1"/>
  <c r="O86" i="1"/>
  <c r="P86" i="1" s="1"/>
  <c r="N244" i="1"/>
  <c r="O85" i="1"/>
  <c r="P85" i="1" s="1"/>
  <c r="N232" i="1"/>
  <c r="O84" i="1"/>
  <c r="P84" i="1" s="1"/>
  <c r="N262" i="1"/>
  <c r="O83" i="1"/>
  <c r="P83" i="1" s="1"/>
  <c r="N81" i="1"/>
  <c r="O82" i="1"/>
  <c r="P82" i="1" s="1"/>
  <c r="N121" i="1"/>
  <c r="O81" i="1"/>
  <c r="P81" i="1" s="1"/>
  <c r="N300" i="1"/>
  <c r="O80" i="1"/>
  <c r="P80" i="1" s="1"/>
  <c r="N219" i="1"/>
  <c r="O79" i="1"/>
  <c r="P79" i="1" s="1"/>
  <c r="N203" i="1"/>
  <c r="O78" i="1"/>
  <c r="P78" i="1" s="1"/>
  <c r="N240" i="1"/>
  <c r="O76" i="1"/>
  <c r="P76" i="1" s="1"/>
  <c r="N136" i="1"/>
  <c r="O75" i="1"/>
  <c r="P75" i="1" s="1"/>
  <c r="N291" i="1"/>
  <c r="O74" i="1"/>
  <c r="P74" i="1" s="1"/>
  <c r="N289" i="1"/>
  <c r="O73" i="1"/>
  <c r="P73" i="1" s="1"/>
  <c r="N207" i="1"/>
  <c r="O72" i="1"/>
  <c r="P72" i="1" s="1"/>
  <c r="N214" i="1"/>
  <c r="O71" i="1"/>
  <c r="P71" i="1" s="1"/>
  <c r="N215" i="1"/>
  <c r="O70" i="1"/>
  <c r="P70" i="1" s="1"/>
  <c r="N213" i="1"/>
  <c r="O69" i="1"/>
  <c r="P69" i="1" s="1"/>
  <c r="N243" i="1"/>
  <c r="O68" i="1"/>
  <c r="P68" i="1" s="1"/>
  <c r="N93" i="1"/>
  <c r="O67" i="1"/>
  <c r="P67" i="1" s="1"/>
  <c r="N168" i="1"/>
  <c r="O66" i="1"/>
  <c r="P66" i="1" s="1"/>
  <c r="N299" i="1"/>
  <c r="O65" i="1"/>
  <c r="P65" i="1" s="1"/>
  <c r="N258" i="1"/>
  <c r="O64" i="1"/>
  <c r="P64" i="1" s="1"/>
  <c r="N196" i="1"/>
  <c r="O63" i="1"/>
  <c r="P63" i="1" s="1"/>
  <c r="N8" i="1"/>
  <c r="O62" i="1"/>
  <c r="P62" i="1" s="1"/>
  <c r="N288" i="1"/>
  <c r="O61" i="1"/>
  <c r="P61" i="1" s="1"/>
  <c r="N73" i="1"/>
  <c r="O60" i="1"/>
  <c r="P60" i="1" s="1"/>
  <c r="N75" i="1"/>
  <c r="O59" i="1"/>
  <c r="P59" i="1" s="1"/>
  <c r="N128" i="1"/>
  <c r="O58" i="1"/>
  <c r="P58" i="1" s="1"/>
  <c r="N74" i="1"/>
  <c r="O57" i="1"/>
  <c r="P57" i="1" s="1"/>
  <c r="N235" i="1"/>
  <c r="O56" i="1"/>
  <c r="P56" i="1" s="1"/>
  <c r="N186" i="1"/>
  <c r="O55" i="1"/>
  <c r="P55" i="1" s="1"/>
  <c r="N205" i="1"/>
  <c r="O54" i="1"/>
  <c r="P54" i="1" s="1"/>
  <c r="N187" i="1"/>
  <c r="O52" i="1"/>
  <c r="P52" i="1" s="1"/>
  <c r="N188" i="1"/>
  <c r="O51" i="1"/>
  <c r="P51" i="1" s="1"/>
  <c r="N158" i="1"/>
  <c r="O50" i="1"/>
  <c r="P50" i="1" s="1"/>
  <c r="N152" i="1"/>
  <c r="O49" i="1"/>
  <c r="P49" i="1" s="1"/>
  <c r="N17" i="1"/>
  <c r="O47" i="1"/>
  <c r="P47" i="1" s="1"/>
  <c r="N34" i="1"/>
  <c r="O46" i="1"/>
  <c r="P46" i="1" s="1"/>
  <c r="N35" i="1"/>
  <c r="O45" i="1"/>
  <c r="P45" i="1" s="1"/>
  <c r="N133" i="1"/>
  <c r="O44" i="1"/>
  <c r="P44" i="1" s="1"/>
  <c r="N251" i="1"/>
  <c r="O43" i="1"/>
  <c r="P43" i="1" s="1"/>
  <c r="N129" i="1"/>
  <c r="O42" i="1"/>
  <c r="P42" i="1" s="1"/>
  <c r="N165" i="1"/>
  <c r="O41" i="1"/>
  <c r="P41" i="1" s="1"/>
  <c r="N166" i="1"/>
  <c r="O40" i="1"/>
  <c r="P40" i="1" s="1"/>
  <c r="N253" i="1"/>
  <c r="O39" i="1"/>
  <c r="P39" i="1" s="1"/>
  <c r="N169" i="1"/>
  <c r="O38" i="1"/>
  <c r="P38" i="1" s="1"/>
  <c r="N79" i="1"/>
  <c r="O37" i="1"/>
  <c r="P37" i="1" s="1"/>
  <c r="N78" i="1"/>
  <c r="O36" i="1"/>
  <c r="P36" i="1" s="1"/>
  <c r="N208" i="1"/>
  <c r="O35" i="1"/>
  <c r="P35" i="1" s="1"/>
  <c r="N202" i="1"/>
  <c r="O34" i="1"/>
  <c r="P34" i="1" s="1"/>
  <c r="N245" i="1"/>
  <c r="O33" i="1"/>
  <c r="P33" i="1" s="1"/>
  <c r="N246" i="1"/>
  <c r="O32" i="1"/>
  <c r="P32" i="1" s="1"/>
  <c r="N58" i="1"/>
  <c r="O31" i="1"/>
  <c r="P31" i="1" s="1"/>
  <c r="N237" i="1"/>
  <c r="O30" i="1"/>
  <c r="P30" i="1" s="1"/>
  <c r="N76" i="1"/>
  <c r="O29" i="1"/>
  <c r="P29" i="1" s="1"/>
  <c r="N127" i="1"/>
  <c r="O28" i="1"/>
  <c r="P28" i="1" s="1"/>
  <c r="N298" i="1"/>
  <c r="O27" i="1"/>
  <c r="P27" i="1" s="1"/>
  <c r="N20" i="1"/>
  <c r="O26" i="1"/>
  <c r="P26" i="1" s="1"/>
  <c r="N296" i="1"/>
  <c r="O24" i="1"/>
  <c r="P24" i="1" s="1"/>
  <c r="N195" i="1"/>
  <c r="O23" i="1"/>
  <c r="P23" i="1" s="1"/>
  <c r="N190" i="1"/>
  <c r="O22" i="1"/>
  <c r="P22" i="1" s="1"/>
  <c r="N62" i="1"/>
  <c r="O21" i="1"/>
  <c r="P21" i="1" s="1"/>
  <c r="N156" i="1"/>
  <c r="O20" i="1"/>
  <c r="P20" i="1" s="1"/>
  <c r="N225" i="1"/>
  <c r="O19" i="1"/>
  <c r="P19" i="1" s="1"/>
  <c r="N242" i="1"/>
  <c r="O18" i="1"/>
  <c r="P18" i="1" s="1"/>
  <c r="N228" i="1"/>
  <c r="O17" i="1"/>
  <c r="P17" i="1" s="1"/>
  <c r="N171" i="1"/>
  <c r="O15" i="1"/>
  <c r="P15" i="1" s="1"/>
  <c r="N226" i="1"/>
  <c r="O14" i="1"/>
  <c r="P14" i="1" s="1"/>
  <c r="N80" i="1"/>
  <c r="O13" i="1"/>
  <c r="P13" i="1" s="1"/>
  <c r="N77" i="1"/>
  <c r="O12" i="1"/>
  <c r="P12" i="1" s="1"/>
  <c r="N170" i="1"/>
  <c r="O11" i="1"/>
  <c r="P11" i="1" s="1"/>
  <c r="N6" i="1"/>
  <c r="O10" i="1"/>
  <c r="P10" i="1" s="1"/>
  <c r="N94" i="1"/>
  <c r="O9" i="1"/>
  <c r="P9" i="1" s="1"/>
  <c r="N239" i="1"/>
  <c r="O8" i="1"/>
  <c r="P8" i="1" s="1"/>
  <c r="N256" i="1"/>
  <c r="O7" i="1"/>
  <c r="P7" i="1" s="1"/>
  <c r="N229" i="1"/>
  <c r="O6" i="1"/>
  <c r="P6" i="1" s="1"/>
  <c r="N159" i="1"/>
  <c r="O4" i="1"/>
  <c r="P4" i="1" s="1"/>
  <c r="N216" i="1"/>
  <c r="O3" i="1"/>
  <c r="P3" i="1" s="1"/>
  <c r="N197" i="1"/>
  <c r="P3" i="4" l="1"/>
  <c r="P4" i="4"/>
</calcChain>
</file>

<file path=xl/sharedStrings.xml><?xml version="1.0" encoding="utf-8"?>
<sst xmlns="http://schemas.openxmlformats.org/spreadsheetml/2006/main" count="1197" uniqueCount="576">
  <si>
    <t>-</t>
  </si>
  <si>
    <t>CÓD</t>
  </si>
  <si>
    <t>STATUS</t>
  </si>
  <si>
    <t>NOME DO PRODUTO</t>
  </si>
  <si>
    <t>CATEGORIA</t>
  </si>
  <si>
    <t>UNIDADE</t>
  </si>
  <si>
    <t>FABRICANTE</t>
  </si>
  <si>
    <t>VALOR UNITÁRIO</t>
  </si>
  <si>
    <t>QTD EM ESTOQUE INICIAL</t>
  </si>
  <si>
    <t>QTD MÍNIMA</t>
  </si>
  <si>
    <t>TOTAL ENTRADA</t>
  </si>
  <si>
    <t>TOTAL SAÍDA</t>
  </si>
  <si>
    <t>QTD ESTOQUE ATUAL</t>
  </si>
  <si>
    <t>VALOR ESTIMADO</t>
  </si>
  <si>
    <t>VALOR TOTAL</t>
  </si>
  <si>
    <t>SITUAÇÃO</t>
  </si>
  <si>
    <t>QTD MÍNIMA A COMPRAR</t>
  </si>
  <si>
    <t>AC. ALFA LIPOICO OPTMUS</t>
  </si>
  <si>
    <t>ATIVOS</t>
  </si>
  <si>
    <t>001 - Ampola</t>
  </si>
  <si>
    <t>OPTIMUS</t>
  </si>
  <si>
    <t>ACNE FORMULA NEAUVIA</t>
  </si>
  <si>
    <t>AGUA DESTILADA 5L</t>
  </si>
  <si>
    <t>SOLUÇÕES</t>
  </si>
  <si>
    <t>015- Galão</t>
  </si>
  <si>
    <t>AGUA MICELAR BIODERMA</t>
  </si>
  <si>
    <t>DERMOCOSMÉTICO E COSMÉTICO</t>
  </si>
  <si>
    <t>036 - Unidade</t>
  </si>
  <si>
    <t>BIODERMA</t>
  </si>
  <si>
    <t>ÁGUA PARA INJEÇÃO EQUIPLEX</t>
  </si>
  <si>
    <t>MATERIAIS DESCARTÁVEIS E APOIO</t>
  </si>
  <si>
    <t>012 - Flaconete</t>
  </si>
  <si>
    <t>EQUIPLEX</t>
  </si>
  <si>
    <t>ÁGUA TERMAL MINERAUX</t>
  </si>
  <si>
    <t>013 - Frasco</t>
  </si>
  <si>
    <t>MINERAUX</t>
  </si>
  <si>
    <t>AGULHA 32G 4MM SMART GR</t>
  </si>
  <si>
    <t>AGULHAS</t>
  </si>
  <si>
    <t>SMART GR</t>
  </si>
  <si>
    <t>AGULHA AMARELA 30G - 13X3 BD</t>
  </si>
  <si>
    <t>BD</t>
  </si>
  <si>
    <t>AGULHA CHEYENNE 27 MAGNUM</t>
  </si>
  <si>
    <t>CHEYENNE</t>
  </si>
  <si>
    <t>AH SOFIDERM 10ML</t>
  </si>
  <si>
    <t>PREENCHEDOR</t>
  </si>
  <si>
    <t>023 - Mililitro</t>
  </si>
  <si>
    <t>AESKINS</t>
  </si>
  <si>
    <t>AGULHA ROSA 18G - 40X12 UNIQMED</t>
  </si>
  <si>
    <t>UNIQMED</t>
  </si>
  <si>
    <t>AH BELOTERO BALANCE</t>
  </si>
  <si>
    <t>MERZ</t>
  </si>
  <si>
    <t>AH BELOTERO INTENSE</t>
  </si>
  <si>
    <t>AH BELOTERO VOLUME</t>
  </si>
  <si>
    <t>AH RESTYLANE LYFT LIDO</t>
  </si>
  <si>
    <t>AH RESTYLANE REFYNE</t>
  </si>
  <si>
    <t>AH RESTYLANE SHAYPE</t>
  </si>
  <si>
    <t>AH RESTYLANE SKINBOOSTER VITAL LIGHT LIDOCAINE</t>
  </si>
  <si>
    <t>AH SOFIDERM SUB-SKIN 20ML</t>
  </si>
  <si>
    <t xml:space="preserve">ALCOOL 70% 100ML CINORD        </t>
  </si>
  <si>
    <t>ALCOOL 70% 100ML RIALCOOL</t>
  </si>
  <si>
    <t>ALCOOL 70% SEPTPRO 70</t>
  </si>
  <si>
    <t>INSUMOS</t>
  </si>
  <si>
    <t>SEPTPRO</t>
  </si>
  <si>
    <t>ALCOOL ISOPROPÍLICO 1 LITRO CINORD</t>
  </si>
  <si>
    <t>CINORD</t>
  </si>
  <si>
    <t>ALGODÃO QUADRADINHO SUSSEX</t>
  </si>
  <si>
    <t>043 - Pacote</t>
  </si>
  <si>
    <t>SUSSEX</t>
  </si>
  <si>
    <t>ALLEGRA</t>
  </si>
  <si>
    <t>MEDICAMENTOS</t>
  </si>
  <si>
    <t>008 - Comprimido</t>
  </si>
  <si>
    <t>SANOFI</t>
  </si>
  <si>
    <t>ANESTÉSICO MANIPULADO TETRA E LIDO DERMOFIT</t>
  </si>
  <si>
    <t>ANESTÉSICO</t>
  </si>
  <si>
    <t>ANESTÉSICO MANIPULADO TETRA E LIDO FARMA ASSIST</t>
  </si>
  <si>
    <t>018 - Grama</t>
  </si>
  <si>
    <t xml:space="preserve"> FARMA ASSIST</t>
  </si>
  <si>
    <t>APARELHO DE BARBEAR BIC</t>
  </si>
  <si>
    <t>ATIVO HAIR COCKTAIL</t>
  </si>
  <si>
    <t>AVENTAL DESCARTÁVEL PRETO</t>
  </si>
  <si>
    <t>BABADOR</t>
  </si>
  <si>
    <t>SSPLUS</t>
  </si>
  <si>
    <t>BÁLSAMO DE LIMPEZA FACIAL OLERA</t>
  </si>
  <si>
    <t>OLERA</t>
  </si>
  <si>
    <t>BETA CALM MÁSCARA PÓS PROCEDIMENTO ADCOS</t>
  </si>
  <si>
    <t>ADCOS</t>
  </si>
  <si>
    <t>BICARBONATO DE SÓDIO EM PÓ NEEDS</t>
  </si>
  <si>
    <t>BICARBONATO DE SÓDIO SAMTEC</t>
  </si>
  <si>
    <t>BIOESTIMULADOR DIAMOND</t>
  </si>
  <si>
    <t>BIOESTIMULADORES</t>
  </si>
  <si>
    <t>BIOESTIMULADOR ELLEVA 210MG RENNOVA</t>
  </si>
  <si>
    <t>BIOESTIMULADOR ELLEVA X RENNOVA</t>
  </si>
  <si>
    <t>BIOESTIMULADOR HARMONYCA</t>
  </si>
  <si>
    <t>BIOESTIMULADOR RADIESSE</t>
  </si>
  <si>
    <t>BIOESTIMULADOR SCULPTRA</t>
  </si>
  <si>
    <t>BIOTINA HEALTH TECH</t>
  </si>
  <si>
    <t>BIOTINA OPTIMUS</t>
  </si>
  <si>
    <t>INJETAVEL</t>
  </si>
  <si>
    <t>CAMPO CIRURGICO ESTÉRIL FENESTRADO POLARFIX</t>
  </si>
  <si>
    <t>POLARFIX</t>
  </si>
  <si>
    <t>CAMPO CIRURGICO ESTÉRIL NÃO FENESTRADO POLARFIX</t>
  </si>
  <si>
    <t>CANULA 18G - 70MM AESKINS</t>
  </si>
  <si>
    <t>CANULA 18G DRA CALU</t>
  </si>
  <si>
    <t>CANULAS</t>
  </si>
  <si>
    <t>CANULA 22G - 50 MM 70x50 SMART GR</t>
  </si>
  <si>
    <t>CANULA 22G - 70 MM 70x70 SMART GR</t>
  </si>
  <si>
    <t>CANULA 22G - 70MM UNIQMED</t>
  </si>
  <si>
    <t>CANULA 22G 50MM - 0,7x50 FABINJECT</t>
  </si>
  <si>
    <t>FABINJECT</t>
  </si>
  <si>
    <t>CANULA 25G 50MM x 50MM FABINJECT</t>
  </si>
  <si>
    <t>CANULA 27G - 40MM UNIQMED</t>
  </si>
  <si>
    <t>CANULA 27G 50MM SMART GR</t>
  </si>
  <si>
    <t>CANULA D3 - 18G X 100MM TAB</t>
  </si>
  <si>
    <t>CLARINFUSION CLAREADOR INTEGRAL ADCOS</t>
  </si>
  <si>
    <t>CLOB-X</t>
  </si>
  <si>
    <t>003 - Bisnaga</t>
  </si>
  <si>
    <t>GALDERMA</t>
  </si>
  <si>
    <t>CLORETO DE MAGNESIO OPTMUS</t>
  </si>
  <si>
    <t>001- Ampola</t>
  </si>
  <si>
    <t>CLOREX 2% DEGERMANTE RIOHEX</t>
  </si>
  <si>
    <t>RIOHEX</t>
  </si>
  <si>
    <t>CLOREX ALCOOLICA 0,5% 100ML RIOHEX</t>
  </si>
  <si>
    <t>CLOREX AQUOSO 0,2% 100ML RIOHEX</t>
  </si>
  <si>
    <t>COLETOR PERFUROCORTANTE 3L DESCARPACK</t>
  </si>
  <si>
    <t>DESCARPACK</t>
  </si>
  <si>
    <t>COLINA OPTIMUS</t>
  </si>
  <si>
    <t>COLÍRIO ANESTÉSICO NEUVYE</t>
  </si>
  <si>
    <t>COMPLEXO VITAMÍNICO CENTRO PAULISTA</t>
  </si>
  <si>
    <t>COMPRESSA GAZE 13 FIOS C/ 500 UNID CLEAN</t>
  </si>
  <si>
    <t>COMPRESSA GAZE 13 FIOS C/ 500 UNID MEDI HOUSE</t>
  </si>
  <si>
    <t>MEDI HOUSE</t>
  </si>
  <si>
    <t>COMPRESSA GAZE 13 FIOS C/ 500 UNID ULTRACOTTON</t>
  </si>
  <si>
    <t>CONECTOR LUER LOCK</t>
  </si>
  <si>
    <t>SMD</t>
  </si>
  <si>
    <t>COTONETES CREMER</t>
  </si>
  <si>
    <t>CREMER</t>
  </si>
  <si>
    <t>CREME 1 CALMANTE IMEDIATO INC BEAUTY</t>
  </si>
  <si>
    <t>MANIPULADOS</t>
  </si>
  <si>
    <t>FARMA ASSIST</t>
  </si>
  <si>
    <t>CREME 3 CLAREADOR MANUTENÇÃO INC BEAUTY</t>
  </si>
  <si>
    <t>CREME 2 CLAREADOR INTENSO INC BEAUTY</t>
  </si>
  <si>
    <t>CREME CALMANTE NIACINAMIDA INC BEAUTY</t>
  </si>
  <si>
    <t>CREME CICABIO BIODERMA</t>
  </si>
  <si>
    <t>CREME COM NUTRI OMEGA + ASSOCIAÇÕES INC BEAUTY</t>
  </si>
  <si>
    <t>CREME EMOLIENTE DC ADCOS</t>
  </si>
  <si>
    <t>CREME HIDRAMAIS DRENAGEM LINFÁTICA</t>
  </si>
  <si>
    <t>030 - Quilograma</t>
  </si>
  <si>
    <t>HIDRAMAIS</t>
  </si>
  <si>
    <t>CRIOGENIO DENSITY</t>
  </si>
  <si>
    <t>JEISYS</t>
  </si>
  <si>
    <t>CURATIVO BLOOD STOP</t>
  </si>
  <si>
    <t>005 - Caixa</t>
  </si>
  <si>
    <t>AMP</t>
  </si>
  <si>
    <t>D PANTENOL OPTIMUS</t>
  </si>
  <si>
    <t>D-PANTENOL HEALTH TECH</t>
  </si>
  <si>
    <t>D-PANTENOL VICTA</t>
  </si>
  <si>
    <t>DETERGENTE ENZIMÁTICO IV NEUTRO RIOQUÍMICA</t>
  </si>
  <si>
    <t>DETERGENTE ENZIMÁTICO ZYMEDET GOLD</t>
  </si>
  <si>
    <t>DIPIRONA</t>
  </si>
  <si>
    <t>ANTI-INFLAMATÓRIO</t>
  </si>
  <si>
    <t>DIPROPINATO DE BETAMETASONA</t>
  </si>
  <si>
    <t>DIPROSPAN</t>
  </si>
  <si>
    <t>DUTASTERIDE HEALTH TECH</t>
  </si>
  <si>
    <t>ELETRODO DENSITY</t>
  </si>
  <si>
    <t>EMOLIENTE FACIAL NUTRATOPIC ISDN</t>
  </si>
  <si>
    <t>ESPONJA MARCLORHEX</t>
  </si>
  <si>
    <t>ESTERELIZAÇÃO</t>
  </si>
  <si>
    <t>CRISTÁLIA</t>
  </si>
  <si>
    <t>ESPONJA RIOHEX 2% RIOQUÍMICA</t>
  </si>
  <si>
    <t>EXO ONE HAIR EVO</t>
  </si>
  <si>
    <t>EXO OX REGENERATIVE/POWER SKYMEDIC</t>
  </si>
  <si>
    <t>EXOCUBE</t>
  </si>
  <si>
    <t>TECNOLOGIA E INTRUMENTOS</t>
  </si>
  <si>
    <t>ENDEAVOR AESTETHHICS</t>
  </si>
  <si>
    <t>FATOR DE CRESCIMENTO (IBV) VICTA</t>
  </si>
  <si>
    <t>FATOR DE CRESCIMENTO ALOPÉCIA - HEALTH TECH</t>
  </si>
  <si>
    <t>FATOR DE CRESCIMENTO HEALTH TECH</t>
  </si>
  <si>
    <t>FINASTERIDE HEALTH TECH</t>
  </si>
  <si>
    <t>FINASTERIDE VICTA</t>
  </si>
  <si>
    <t>FIO APTOS LIGHT LIFT NEEDLE 25CM</t>
  </si>
  <si>
    <t>FIOS</t>
  </si>
  <si>
    <t>FIO APTOS LIGHT LIFT NEEDLE 50CM</t>
  </si>
  <si>
    <t>FIO APTOS VISAGE EXCELLENCE EV</t>
  </si>
  <si>
    <t>FIO DE NYLON 4-0 BIOLINE</t>
  </si>
  <si>
    <t>FIO DE NYLON 5-0 BIOLINE</t>
  </si>
  <si>
    <t>FIO DE SUTURA NYLON 4-0 (45CM) SHALON</t>
  </si>
  <si>
    <t>FIO DE SUTURA NYLON 5-0 (45CM) SHALON</t>
  </si>
  <si>
    <t>FIO EVO 30G 12MM - 4 PCS</t>
  </si>
  <si>
    <t>FIO FILLER 21G/38MM MEDBEAUTY</t>
  </si>
  <si>
    <t>FIO LISO 27G 70MM</t>
  </si>
  <si>
    <t>FIO LISO 30G 15MM EVO</t>
  </si>
  <si>
    <t>FIO LISO 30G 25MM EVO</t>
  </si>
  <si>
    <t>FIO LISO 30G 30MM EVO</t>
  </si>
  <si>
    <t>FIO MOLDADO 19G EVO</t>
  </si>
  <si>
    <t>FIO PDO ESPICULADO 19G 70MM 04 P/PCTE EVO</t>
  </si>
  <si>
    <t>FIO PDO EYEBAG MONO 30G MEDBEAUTY</t>
  </si>
  <si>
    <t>FIO PDO LISO MONO 29G MEDBEAUTY</t>
  </si>
  <si>
    <t>FIO PDO LISO MONO 30G 38X50 MEDBEAUTY</t>
  </si>
  <si>
    <t>FIO PDO PARAFUSO 27G MEDBEAUTY</t>
  </si>
  <si>
    <t>FITA MICROPORADA MISSNER</t>
  </si>
  <si>
    <t>FLUIDO DE ACOPLAMENTO DENSITY</t>
  </si>
  <si>
    <t>GAZE ESTÉRIL MEDI HOUSE</t>
  </si>
  <si>
    <t>GAZE ESTÉRIL ULTRA COTTON</t>
  </si>
  <si>
    <t>GEL DE TRATAMENTO NEAUVIA</t>
  </si>
  <si>
    <t>GEL PARA ULTRASSOM CARBOGEL</t>
  </si>
  <si>
    <t>GEL PARA ULTRASSOM MULTIGEL</t>
  </si>
  <si>
    <t>GELO PÓS PROCEDIMENTO G</t>
  </si>
  <si>
    <t>GELO PÓS PROCEDIMENTO P</t>
  </si>
  <si>
    <t>GLICERINA BIDESTILADA NEEDS</t>
  </si>
  <si>
    <t>GLICERINA BIDESTILADA QUIMIDROL</t>
  </si>
  <si>
    <t>HA SKIN HEALTH NEAUVIA</t>
  </si>
  <si>
    <t>HAIR NOURISHMENT NEAUVIA</t>
  </si>
  <si>
    <t>011-ENVELOPE</t>
  </si>
  <si>
    <t xml:space="preserve">FARMA ASSIST </t>
  </si>
  <si>
    <t>HIALURONATO SODIO HEALTH TECH</t>
  </si>
  <si>
    <t>HIALURONIDASE VICTA</t>
  </si>
  <si>
    <t>INOSITOL OPTIMUS</t>
  </si>
  <si>
    <t>KIT PONTEIRA HAIR D&amp;D EVO</t>
  </si>
  <si>
    <t>PONTEIRA</t>
  </si>
  <si>
    <t>036-Unidades</t>
  </si>
  <si>
    <t>EVO</t>
  </si>
  <si>
    <t>KIT PONTEIRA SKIN D&amp;D EVO</t>
  </si>
  <si>
    <t>L GLUTATIONA OPTMUS</t>
  </si>
  <si>
    <t>LAPIS DE MARCAÇÃO</t>
  </si>
  <si>
    <t>LATANOPROSTA HEALTH TECH</t>
  </si>
  <si>
    <t>LENÇOL COM ELÁSTICO</t>
  </si>
  <si>
    <t>LENÇOL SEM ELÁSTICO CLEAN</t>
  </si>
  <si>
    <t>LENÇOL SEM ELÁSTICO DEJAMARO</t>
  </si>
  <si>
    <t>LENÇOL SEM ELÁSTICO DEXCAR</t>
  </si>
  <si>
    <t>DEXCAR</t>
  </si>
  <si>
    <t>LENÇOL TNT PRETO</t>
  </si>
  <si>
    <t>LIDOCAÍNA HEALTH TECH</t>
  </si>
  <si>
    <t>LIPOCUBE BIO CREAM</t>
  </si>
  <si>
    <t>ENDEADOR AESTITHCS</t>
  </si>
  <si>
    <t>LUVA CIRURGICA P SEM PÓ MEDIX</t>
  </si>
  <si>
    <t>LUVA CIRURGICA P SEM PÓ SAFE MAX</t>
  </si>
  <si>
    <t>LUVA DESCARTÁVEL PRETA</t>
  </si>
  <si>
    <t>LUVA ESTÉRIL 6,5 MUCAMBO</t>
  </si>
  <si>
    <t>LUVA ESTÉRIL 7,5 MUCAMBO</t>
  </si>
  <si>
    <t>LUVA P SEM PÓ DESCARPACK</t>
  </si>
  <si>
    <t>005- Caixa</t>
  </si>
  <si>
    <t xml:space="preserve">DESCARPACK </t>
  </si>
  <si>
    <t>MANGUITO PRETO</t>
  </si>
  <si>
    <t>MASCARA ARGILA INC BEAUTY</t>
  </si>
  <si>
    <t>MASCARA BRANCA COM ELASTICO DESCARPACK</t>
  </si>
  <si>
    <t>MÁSCARA BRANCA VENKURI</t>
  </si>
  <si>
    <t>MÁSCARA C/ ELÁSTICO BRANCA INOVEN</t>
  </si>
  <si>
    <t>MÁSCARA C/ ELÁSTICO BRANCA MEDIX</t>
  </si>
  <si>
    <t>MÁSCARA C/ ELÁSTICO BRANCA SPK</t>
  </si>
  <si>
    <t>MÁSCARA C/ ELÁSTICO BRANCA UNIQMED</t>
  </si>
  <si>
    <t>MÁSCARA CP ANTIOXIDANTE E ANTI-INFLAMATORIO</t>
  </si>
  <si>
    <t>MÁSCARA CP DETOX</t>
  </si>
  <si>
    <t>MÁSCARA DESIDRATADA</t>
  </si>
  <si>
    <t>MÁSCARA EGYPTIAN ROSE</t>
  </si>
  <si>
    <t>MÁSCARA POS LASER CALMANTE CLAREADOR INC BEAUTY</t>
  </si>
  <si>
    <t>MÁSCARA SKINGLOW</t>
  </si>
  <si>
    <t>MÁSCARA VITAMINA C ADCOS</t>
  </si>
  <si>
    <t>MESO EXO OX SKYMEDIC</t>
  </si>
  <si>
    <t>MESO OX ANTIAGING SKYMEDIC</t>
  </si>
  <si>
    <t>MESO OX ENZYMES COLAGENASE SKYMEDIC</t>
  </si>
  <si>
    <t>EXO OX HAIR SKYMEDIC</t>
  </si>
  <si>
    <t>MESO OX HYBRID SKYMEDIC</t>
  </si>
  <si>
    <t>MESO OX HYDRALIGHT SKYMEDIC</t>
  </si>
  <si>
    <t>MESO OX PDRN + NIACINAMIDA SKYMEDIC</t>
  </si>
  <si>
    <t>MESO OX PPC SKYMEDIC</t>
  </si>
  <si>
    <t>MINOXIDIL HEALTH TECH</t>
  </si>
  <si>
    <t>MINOXIDIL VICTA</t>
  </si>
  <si>
    <t>NCPR/NCTF TOSKANI</t>
  </si>
  <si>
    <t>NEBACETIN</t>
  </si>
  <si>
    <t>003- Bisnaga</t>
  </si>
  <si>
    <t>TAKEDA PHARMA</t>
  </si>
  <si>
    <t>NEOSALDINA</t>
  </si>
  <si>
    <t>008- Comprimido</t>
  </si>
  <si>
    <t>PALITO ABAIXADOR DE LÍNGUA</t>
  </si>
  <si>
    <t>036 -Unidade</t>
  </si>
  <si>
    <t>PANCAKE FPS 50 PEACH INC BEAUTY</t>
  </si>
  <si>
    <t>036-Unidade</t>
  </si>
  <si>
    <t>PANCAKE FPS 50 SUMMER INC BEAUTY</t>
  </si>
  <si>
    <t>PANCAKE NUDE INC BEAUTY</t>
  </si>
  <si>
    <t>PARACETAMOL</t>
  </si>
  <si>
    <t>PDRN EVO</t>
  </si>
  <si>
    <t>PDRN</t>
  </si>
  <si>
    <t>PDRN OPTIMUS</t>
  </si>
  <si>
    <t>014- Frasco Ampola</t>
  </si>
  <si>
    <t>PDRN TRIPLE EVO</t>
  </si>
  <si>
    <t>PDRN TRIPLE EVO - 5 AMPOLAS</t>
  </si>
  <si>
    <t>PEELING ATA 30%</t>
  </si>
  <si>
    <t>PEELING</t>
  </si>
  <si>
    <t>PEELING ATA 80%</t>
  </si>
  <si>
    <t>PEELING DE HORTELÃ ILUMINADOR ADCOS</t>
  </si>
  <si>
    <t>PEELING JESSNER MODIFICADO</t>
  </si>
  <si>
    <t>PEELING RETINÓICO</t>
  </si>
  <si>
    <t>PEELING SALICÍLICO 30%</t>
  </si>
  <si>
    <t>PEELING SALICÍLICO 80%</t>
  </si>
  <si>
    <t>PILL FOOD HEALTH TECH</t>
  </si>
  <si>
    <t>PILL FOOD PLUS HEALTH TECH</t>
  </si>
  <si>
    <t>PONTEIRA B TIP DENSITY</t>
  </si>
  <si>
    <t>PONTEIRA E TIP DENSITY</t>
  </si>
  <si>
    <t>PONTEIRA F TIP DENSITY</t>
  </si>
  <si>
    <t>PONTEIRA PLASMA NEAUVIA</t>
  </si>
  <si>
    <t>NEAUVIA</t>
  </si>
  <si>
    <t>PONTEIRA ZAFFIRO</t>
  </si>
  <si>
    <t>PÓS LASER INICIAL INC BEAUTY</t>
  </si>
  <si>
    <t>PRATIPRAZOL</t>
  </si>
  <si>
    <t>PREDNISONA</t>
  </si>
  <si>
    <t>008-Comprimido</t>
  </si>
  <si>
    <t>GERMED</t>
  </si>
  <si>
    <t>PREDSIM</t>
  </si>
  <si>
    <t>PROFHILO</t>
  </si>
  <si>
    <t>BIORREMODULADOR</t>
  </si>
  <si>
    <t>031- Seringa</t>
  </si>
  <si>
    <t>PROTETOR SOLAR CLARA ISDIN</t>
  </si>
  <si>
    <t>036- Unidade</t>
  </si>
  <si>
    <t>ISDIN</t>
  </si>
  <si>
    <t>PROTETOR SOLAR ESCURA ISDIN</t>
  </si>
  <si>
    <t>PROTETOR SOLAR MEDIA ISDIN</t>
  </si>
  <si>
    <t>PUNCH 3.0 UNIQMED</t>
  </si>
  <si>
    <t xml:space="preserve">005- Caixa </t>
  </si>
  <si>
    <t>PUNCH Nº 3 KAI MEDICAL</t>
  </si>
  <si>
    <t>PUNCH Nº 3 KOLPLAST</t>
  </si>
  <si>
    <t>PUNCH Nº 4 KOLPLAST</t>
  </si>
  <si>
    <t>PUNCH 4mm UNIQMED</t>
  </si>
  <si>
    <t>RESVERASROL OPTIMUS</t>
  </si>
  <si>
    <t xml:space="preserve">ROLO PARA ESTERILIZAÇÃO </t>
  </si>
  <si>
    <t>ESTERIL CARE</t>
  </si>
  <si>
    <t>SCALP PARA INFUSÃO 23G MEDIX</t>
  </si>
  <si>
    <t>SELENIO OPTIMUS</t>
  </si>
  <si>
    <t>SERINGA 10ML C/ ROSCA DESCARPACK</t>
  </si>
  <si>
    <t>SERINGA</t>
  </si>
  <si>
    <t>SERINGA 10ML C/ ROSCA INJEX</t>
  </si>
  <si>
    <t>SERINGA 1ML BD</t>
  </si>
  <si>
    <t>SERINGA 30G 50U AG 08x0,25 BD</t>
  </si>
  <si>
    <t>SERINGA 3ML LOCK - ROSCA BD</t>
  </si>
  <si>
    <t>SERINGA 3ML LOCK - ROSCA DESCARPACK</t>
  </si>
  <si>
    <t>SERINGA 3ML LOCK - ROSCA PRO CARE</t>
  </si>
  <si>
    <t>SERINGA 3ML LOCK - ROSCA SR PRODUCTOS</t>
  </si>
  <si>
    <t>SERINGA 3ML SEM ROSCA DESCARPACK</t>
  </si>
  <si>
    <t>SERINGA 5ML LOCK - ROSCA BD</t>
  </si>
  <si>
    <t>SERINGA 5ML LOCK - ROSCA DESCARPACK</t>
  </si>
  <si>
    <t>SERINGA DE CRISTAL 1ML</t>
  </si>
  <si>
    <t>SERINGA PARA INSULINA 0,5ML 5MMX0,23 UNIQMED</t>
  </si>
  <si>
    <t>SERINGA PARA INSULINA 0,5ML 8MMX0,30 UNIQMED</t>
  </si>
  <si>
    <t>SERINGA PARA INSULINA 100UI 6MM - CEPALAB</t>
  </si>
  <si>
    <t>SERINGA PARA INSULINA 50UI 6MM - CEPALAB</t>
  </si>
  <si>
    <t>SERINGA ULTRA FINE 0,3ML 0,8x0,30 BD</t>
  </si>
  <si>
    <t>043- Pacotes</t>
  </si>
  <si>
    <t>SERINGA ULTRA FINE 0,3ML 6MMX0,25 BD</t>
  </si>
  <si>
    <t>SERINGA ULTRA FINE 0,5ML 6X0,25 BD</t>
  </si>
  <si>
    <t xml:space="preserve">SERINGA ULTRA FINE 0,5ML 8X0,30 BD	</t>
  </si>
  <si>
    <t xml:space="preserve">SÉRUM ÁCIDO HIALURONICO + GF ADCOS	</t>
  </si>
  <si>
    <t>SÉRUM NIACINAMIDA + PEPTÍDEO PRÓ COLAGENO ADCOS</t>
  </si>
  <si>
    <t>SILICIO HEALTH TECH</t>
  </si>
  <si>
    <t>SKIN BRIGHTENING NEAUVIA</t>
  </si>
  <si>
    <t>SOOTHING SKIN FORMULA NEAUVIA</t>
  </si>
  <si>
    <t>SORO ESTÉRIL 10 ML ISOFARMA</t>
  </si>
  <si>
    <t>012- Floconete</t>
  </si>
  <si>
    <t>ISOFARMA</t>
  </si>
  <si>
    <t>SORO FISIOLÓGICO 100ML FARMAX</t>
  </si>
  <si>
    <t>SORO FISIOLÓGICO ESTÉRIL EQUIPLEX</t>
  </si>
  <si>
    <t>SORO FISIOLÓGICO ESTÉRIL FARMACE</t>
  </si>
  <si>
    <t>SORO FISIOLÓGICO NÃO ESTÉRIL 250ML FARMAX</t>
  </si>
  <si>
    <t>SULF . DE ZINCO OPTIMUS</t>
  </si>
  <si>
    <t xml:space="preserve">TESTE INDICADOR BIOLÓGICO </t>
  </si>
  <si>
    <t>BIOLOGICAL</t>
  </si>
  <si>
    <t>TIMOMODULINA OPTIMUS</t>
  </si>
  <si>
    <t>TÔNICO ANTISSÉPTICO COM CLOREXIDINA ADCOS</t>
  </si>
  <si>
    <t>TORAGESIC 10MG</t>
  </si>
  <si>
    <t>TOUCA TNT DESCARPACK</t>
  </si>
  <si>
    <t>TOXINA BOTULÍNICA DYSPORT 300U</t>
  </si>
  <si>
    <t>TOXINA</t>
  </si>
  <si>
    <t>037 - Unidade Internacional</t>
  </si>
  <si>
    <t>TOXINA BOTULÍNICA XEOMIN 100UI</t>
  </si>
  <si>
    <t>TRIANCIL</t>
  </si>
  <si>
    <t>TRIANCINOLONA HEALTH TECH</t>
  </si>
  <si>
    <t>TROK-G</t>
  </si>
  <si>
    <t>TUBO DE COLETA DE SANGUE GEL SEPARADOR VERMELHO</t>
  </si>
  <si>
    <t>035  Tubo</t>
  </si>
  <si>
    <t>VACUETTE</t>
  </si>
  <si>
    <t>TUBO PRP ARE EXOCUBE</t>
  </si>
  <si>
    <t>ENDEAVOR AESTETHICS</t>
  </si>
  <si>
    <t>VITAMINA B12 OPTIMUS</t>
  </si>
  <si>
    <t xml:space="preserve">001- Ampola </t>
  </si>
  <si>
    <t>VITAMINA C OPTIMUS</t>
  </si>
  <si>
    <t>VONAU</t>
  </si>
  <si>
    <t>XYLESTESIN 2% C/ VASO</t>
  </si>
  <si>
    <t>XYLESTESIN 2% S/ VASO</t>
  </si>
  <si>
    <t>NOVALGINA</t>
  </si>
  <si>
    <t>ADIPOMETRO</t>
  </si>
  <si>
    <t>ITEM OPERACIONAL</t>
  </si>
  <si>
    <t>CREME DRENAGEM DAGUA NATURAL</t>
  </si>
  <si>
    <t xml:space="preserve">029- Pote </t>
  </si>
  <si>
    <t xml:space="preserve">DAGUA NATURAL </t>
  </si>
  <si>
    <t>HYALUCREAM MASSAGEM ADCOS</t>
  </si>
  <si>
    <t>018- Grama</t>
  </si>
  <si>
    <t>MASCARA DE MAÇA VERMELHA ADCOS</t>
  </si>
  <si>
    <t>GEL DE LIMPEZA ANTISSÉPTICOS ADCOS</t>
  </si>
  <si>
    <t>FONE DE OUVIDO RÁDIO</t>
  </si>
  <si>
    <t>SCALP 23G</t>
  </si>
  <si>
    <t xml:space="preserve">036- Unidade </t>
  </si>
  <si>
    <t>EQUIPO TKL</t>
  </si>
  <si>
    <t>TKL</t>
  </si>
  <si>
    <t>JELCO 22G BD</t>
  </si>
  <si>
    <t>SORO  EV 250ML</t>
  </si>
  <si>
    <t>JP</t>
  </si>
  <si>
    <t>NORIPURUM</t>
  </si>
  <si>
    <t>NADH (PÓ LIOFILIZADO) OPTIMUS</t>
  </si>
  <si>
    <t>AGULHA 22G - 25X0,70 DESCARPACK</t>
  </si>
  <si>
    <t>AGULHA 22G - 30x70MM ESCARPACK</t>
  </si>
  <si>
    <t>HIALURONIDASE OPTIMUS</t>
  </si>
  <si>
    <t>ALFA LIPÓICO 600mg OPTIMUS</t>
  </si>
  <si>
    <t>023- Mililitro</t>
  </si>
  <si>
    <t>D PANTENOL</t>
  </si>
  <si>
    <t>FINASTERIDA OPTIMUS</t>
  </si>
  <si>
    <t>ACIDO RETINOICO OPTIMUS</t>
  </si>
  <si>
    <t>PASSADEIRA A VAPOR</t>
  </si>
  <si>
    <t>FILTRO DE AGUA</t>
  </si>
  <si>
    <t>NAC-N-ACETIL OPTIMUS</t>
  </si>
  <si>
    <t>GARROTE</t>
  </si>
  <si>
    <t>FIO ESPICULADO 19G MEDBEAUTY</t>
  </si>
  <si>
    <t>TOUCA TNT DEXCAR</t>
  </si>
  <si>
    <t>FIO PDO LISO MONO 27G MEDBEAUTY</t>
  </si>
  <si>
    <t>SERINGA 10ML C/ ROSCA BD</t>
  </si>
  <si>
    <t>GILLETTE</t>
  </si>
  <si>
    <t>HOME SPRAY</t>
  </si>
  <si>
    <t>STUDIO BERGAMIN</t>
  </si>
  <si>
    <t>MINOXIDIL OPTIMUS</t>
  </si>
  <si>
    <t xml:space="preserve">COENZIMA Q10  OPTIMUS </t>
  </si>
  <si>
    <t xml:space="preserve">018- Grama </t>
  </si>
  <si>
    <t>TESTE INDICADOR QUÍMICO</t>
  </si>
  <si>
    <t>TERRAGENE</t>
  </si>
  <si>
    <t>000010</t>
  </si>
  <si>
    <t>MINI INCUBADORA</t>
  </si>
  <si>
    <t>CRISTÓFOLI</t>
  </si>
  <si>
    <t>000011</t>
  </si>
  <si>
    <t>SELADORA</t>
  </si>
  <si>
    <t>PROTECT SEAL</t>
  </si>
  <si>
    <t>000021</t>
  </si>
  <si>
    <t>SMARTPHONE SAMSUNG GALAXY A06 - RECEPÇÃO</t>
  </si>
  <si>
    <t>SMARTPHONE</t>
  </si>
  <si>
    <t>SAMSUNG</t>
  </si>
  <si>
    <t>PILLOW</t>
  </si>
  <si>
    <t>MIXER PHILCO</t>
  </si>
  <si>
    <t>COPA</t>
  </si>
  <si>
    <t>PHILCO</t>
  </si>
  <si>
    <t>FORMA DE GELO</t>
  </si>
  <si>
    <t>LENÇOL TECIDO SOLTEIRO</t>
  </si>
  <si>
    <t>FRONHA BRANCA</t>
  </si>
  <si>
    <t>MINI VENTILADOR SOPRADOR</t>
  </si>
  <si>
    <t>BLUSA CANELADA MANGA COMPRIDA OFF WHITE</t>
  </si>
  <si>
    <t>UNIFORME</t>
  </si>
  <si>
    <t>HERING</t>
  </si>
  <si>
    <t>BLUSA TRICÔ OFF WHITE</t>
  </si>
  <si>
    <t>COTONETES</t>
  </si>
  <si>
    <t>005 - CAIXA</t>
  </si>
  <si>
    <t>ÓLEO ESSENCIAL LAVANDA</t>
  </si>
  <si>
    <t>013 - FRASCO</t>
  </si>
  <si>
    <t>VIA AROMA</t>
  </si>
  <si>
    <t>394</t>
  </si>
  <si>
    <t xml:space="preserve">BLUSA PRETA MANGA CURTA HERING </t>
  </si>
  <si>
    <t>395</t>
  </si>
  <si>
    <t>JALECO NGA/INC OFF WHITE FARCOO</t>
  </si>
  <si>
    <t>FARCOO</t>
  </si>
  <si>
    <t>396</t>
  </si>
  <si>
    <t>VITAMINA D3 OPTIMUS</t>
  </si>
  <si>
    <t>397</t>
  </si>
  <si>
    <t>L LISINA 300mg  OPTIMUS</t>
  </si>
  <si>
    <t>398</t>
  </si>
  <si>
    <t xml:space="preserve">CURCUMINA OPTIMUS </t>
  </si>
  <si>
    <t>399</t>
  </si>
  <si>
    <t>UMIIFICADOR - CARINHO DE PARADA</t>
  </si>
  <si>
    <t>ROMED</t>
  </si>
  <si>
    <t>400</t>
  </si>
  <si>
    <t>REANIMADOR MANUAL - CARRINHO DE PARADA</t>
  </si>
  <si>
    <t>401</t>
  </si>
  <si>
    <t>MÁSCARA REANIMADORA - CARRINHO DE PARADA</t>
  </si>
  <si>
    <t>402</t>
  </si>
  <si>
    <t>EXTENSÃO DO REANIMADOR - CARRINHO DE PARADA</t>
  </si>
  <si>
    <t>403</t>
  </si>
  <si>
    <t>CILINDRO DE OXIGÊNIO - CARRINHO DE PARADA</t>
  </si>
  <si>
    <t>019 - Litro</t>
  </si>
  <si>
    <t>404</t>
  </si>
  <si>
    <t>VALVULA PARA CILINDRO - CARRINHO DE PARADA</t>
  </si>
  <si>
    <t>405</t>
  </si>
  <si>
    <t>CANULA DE GUEDEL 3- CARRINHO DE PARADA</t>
  </si>
  <si>
    <t>406</t>
  </si>
  <si>
    <t>CANULADE GUEDEL 4 - CARRINHO DE PARADA</t>
  </si>
  <si>
    <t>CANULA DE GUEDEL 5 - CARRINHO DE PARADA</t>
  </si>
  <si>
    <t>MASCARA ALTA CONCENTRAÇÃO - CARRINHO DE PARADA</t>
  </si>
  <si>
    <t>MALETA NYLON - CARRINHO DE PARADA</t>
  </si>
  <si>
    <t>ALCOOL 70% NOVA VIDA</t>
  </si>
  <si>
    <t>NOVA VIDA</t>
  </si>
  <si>
    <t>AROMATIZADOR DE AR</t>
  </si>
  <si>
    <t>BOM AR</t>
  </si>
  <si>
    <t xml:space="preserve">AGUA OXIGENADA 30 VOL ITALLIAN </t>
  </si>
  <si>
    <t>ITALLIAN</t>
  </si>
  <si>
    <t>SERINGA PARA INSULINA 1 ML - MEDIX</t>
  </si>
  <si>
    <t>MEDIX</t>
  </si>
  <si>
    <t>LAMINAS DESCARTÁVEIS PARA BISTURI - UNIQMED</t>
  </si>
  <si>
    <t>BANDEJA INOX</t>
  </si>
  <si>
    <t>MÁSCARA DE CARVÃO ESTHEMAX</t>
  </si>
  <si>
    <t>MÁSCARA LARÍNGEA 4.0</t>
  </si>
  <si>
    <t>MD</t>
  </si>
  <si>
    <t>MÁSCARA LARÍNGEA 5.0</t>
  </si>
  <si>
    <t>TUBO ENDOTRAQUEAL 6.5mm</t>
  </si>
  <si>
    <t>SOLIDQR</t>
  </si>
  <si>
    <t xml:space="preserve">TUBO ENDOTRAQUEAL 8.0mm </t>
  </si>
  <si>
    <t xml:space="preserve">TUBO ENDOTRAQUEAL 7.0mm </t>
  </si>
  <si>
    <t xml:space="preserve">TUBO ENDOTRAQUEAL 7.5mm </t>
  </si>
  <si>
    <t>CANULA DE GUEDEL TRANSPARENTE Nº4</t>
  </si>
  <si>
    <t>PROTEC</t>
  </si>
  <si>
    <t>CANULA DE GUEDEL TRANSPARENTE Nº3</t>
  </si>
  <si>
    <t xml:space="preserve">MARTELO </t>
  </si>
  <si>
    <t>FERRAMENTAS</t>
  </si>
  <si>
    <t>MEVI IMPORTS LTDA</t>
  </si>
  <si>
    <t>FITA ISOLANTE</t>
  </si>
  <si>
    <t>J7 PRODUTOS</t>
  </si>
  <si>
    <t>KIT JOGO DE CHAVE FENDA E PHILIPS 6 PEÇAS TRAMONTINA</t>
  </si>
  <si>
    <t>ELETROFER</t>
  </si>
  <si>
    <t>TRENA ACO10M</t>
  </si>
  <si>
    <t>LEAO COMERCIAL</t>
  </si>
  <si>
    <t>CHIP VIVO</t>
  </si>
  <si>
    <t>CHIP</t>
  </si>
  <si>
    <t>VIVO</t>
  </si>
  <si>
    <t>FRASCO BICO CURVO - PISSETA | CAPACIDADE: 500ML</t>
  </si>
  <si>
    <t>SULINK</t>
  </si>
  <si>
    <t>SERINGA DESCARTAVEL 20ML SEM AGULHA</t>
  </si>
  <si>
    <t>LD HOSPITALAR</t>
  </si>
  <si>
    <t>MIXER AMPLIFICADO SELETOR LL AUDIO</t>
  </si>
  <si>
    <t>EQUIPAMENTO</t>
  </si>
  <si>
    <t>VS SOM</t>
  </si>
  <si>
    <t xml:space="preserve">APARELHO MEDIDOR DE GLICOSE </t>
  </si>
  <si>
    <t>ACCU-CHEK</t>
  </si>
  <si>
    <t>FITA MEDIDOR DE GLICOSE</t>
  </si>
  <si>
    <t xml:space="preserve">ESPARADRAPO </t>
  </si>
  <si>
    <t>CABO METAL LARINGOSCÓPIO</t>
  </si>
  <si>
    <t>LÂMINA DE AÇO N4º</t>
  </si>
  <si>
    <t>MIKATOS</t>
  </si>
  <si>
    <t>LÂMINA DE AÇO N5º</t>
  </si>
  <si>
    <t>SERINGA 20ml</t>
  </si>
  <si>
    <t xml:space="preserve">EQUIPO 2 VIAS </t>
  </si>
  <si>
    <t>MEDSONA</t>
  </si>
  <si>
    <t>CATETER 20G</t>
  </si>
  <si>
    <t>CATETER 18G</t>
  </si>
  <si>
    <t>LUVA ESTERIL 8.0</t>
  </si>
  <si>
    <t>MUCAMBO</t>
  </si>
  <si>
    <t>SMARTPHONE SAMSUNG GALAXY A07</t>
  </si>
  <si>
    <t>CELULAR</t>
  </si>
  <si>
    <t>OK</t>
  </si>
  <si>
    <t>CREME HIDRATANTE ANTIMANCHAS NIACINAMIDA CAUDALIE</t>
  </si>
  <si>
    <t>CAUDALIE</t>
  </si>
  <si>
    <t>ELIXIR DE BELEZA CAUDALIE</t>
  </si>
  <si>
    <t>SÉRUM PRIMER CRU CAUDALIE</t>
  </si>
  <si>
    <t>SÉRUM RESPLENDOR ANTIMANCHAS CAUDALIE</t>
  </si>
  <si>
    <t>ENTRADA</t>
  </si>
  <si>
    <t>DATA</t>
  </si>
  <si>
    <t>CÓDIGO</t>
  </si>
  <si>
    <t>QTD COMPRADA</t>
  </si>
  <si>
    <t>QTD UTILIZADA</t>
  </si>
  <si>
    <t>CONTROLE DE VALIDADE</t>
  </si>
  <si>
    <t>FORNECEDOR</t>
  </si>
  <si>
    <t>LOTE</t>
  </si>
  <si>
    <t>QTD</t>
  </si>
  <si>
    <t>VALIDADE</t>
  </si>
  <si>
    <t>DISPOBILIDADE (DIAS)</t>
  </si>
  <si>
    <t>DIAS</t>
  </si>
  <si>
    <t>LEGENDA</t>
  </si>
  <si>
    <t>TOTAL DE PRODUTOS</t>
  </si>
  <si>
    <t>VERMELHO</t>
  </si>
  <si>
    <t>LARANJA</t>
  </si>
  <si>
    <t>CAM28052402S</t>
  </si>
  <si>
    <t>A79142</t>
  </si>
  <si>
    <t>A59153</t>
  </si>
  <si>
    <t>CAM03062407S</t>
  </si>
  <si>
    <t>21611-1</t>
  </si>
  <si>
    <t>INATIVO</t>
  </si>
  <si>
    <t>21274-1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</si>
</sst>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dd&quot;/&quot;mm&quot;/&quot;yyyy"/>
  </numFmts>
  <fonts count="21">
    <font>
      <sz val="11"/>
      <color rgb="FF000000"/>
      <name val="Calibri"/>
      <scheme val="minor"/>
    </font>
    <font>
      <b/>
      <sz val="20"/>
      <color theme="1"/>
      <name val="Calibri"/>
    </font>
    <font>
      <sz val="11"/>
      <name val="Calibri"/>
    </font>
    <font>
      <sz val="9"/>
      <color rgb="FF000000"/>
      <name val="Lustria"/>
    </font>
    <font>
      <b/>
      <sz val="11"/>
      <color theme="0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1"/>
      <color rgb="FF525F6E"/>
      <name val="&quot;Inter var&quot;"/>
    </font>
    <font>
      <b/>
      <sz val="20"/>
      <color rgb="FF000000"/>
      <name val="Calibri"/>
    </font>
    <font>
      <sz val="9"/>
      <color rgb="FF000000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b/>
      <sz val="9"/>
      <color theme="1"/>
      <name val="Calibri"/>
    </font>
    <font>
      <b/>
      <sz val="9"/>
      <color theme="0"/>
      <name val="Calibri"/>
    </font>
    <font>
      <b/>
      <sz val="10"/>
      <color rgb="FFFF0000"/>
      <name val="Calibri"/>
    </font>
    <font>
      <b/>
      <sz val="10"/>
      <color theme="5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/>
      <right/>
      <top style="thin">
        <color rgb="FFF3F3F3"/>
      </top>
      <bottom style="thin">
        <color rgb="FFF3F3F3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F3F3F3"/>
      </left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/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 style="thin">
        <color rgb="FF000000"/>
      </right>
      <top style="thin">
        <color rgb="FFF3F3F3"/>
      </top>
      <bottom style="thin">
        <color rgb="FFF3F3F3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/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FFFFFF"/>
      </right>
      <top style="thin">
        <color rgb="FFF3F3F3"/>
      </top>
      <bottom/>
      <diagonal/>
    </border>
    <border>
      <left/>
      <right/>
      <top/>
      <bottom style="thin">
        <color rgb="FFF3F3F3"/>
      </bottom>
      <diagonal/>
    </border>
    <border>
      <left/>
      <right/>
      <top style="thin">
        <color rgb="FFF3F3F3"/>
      </top>
      <bottom style="thin">
        <color rgb="FFF3F3F3"/>
      </bottom>
      <diagonal/>
    </border>
    <border>
      <left/>
      <right/>
      <top style="thin">
        <color rgb="FFF3F3F3"/>
      </top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/>
      <right/>
      <top/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F3F3F3"/>
      </top>
      <bottom style="thin">
        <color rgb="FFF3F3F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F3F3F3"/>
      </right>
      <top/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 style="thin">
        <color rgb="FFF3F3F3"/>
      </bottom>
      <diagonal/>
    </border>
    <border>
      <left style="thin">
        <color rgb="FFF3F3F3"/>
      </left>
      <right style="thin">
        <color rgb="FF000000"/>
      </right>
      <top/>
      <bottom style="thin">
        <color rgb="FFF3F3F3"/>
      </bottom>
      <diagonal/>
    </border>
    <border>
      <left style="thin">
        <color rgb="FF000000"/>
      </left>
      <right style="thin">
        <color rgb="FFF3F3F3"/>
      </right>
      <top style="thin">
        <color rgb="FFF3F3F3"/>
      </top>
      <bottom style="thin">
        <color rgb="FF000000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000000"/>
      </bottom>
      <diagonal/>
    </border>
    <border>
      <left style="thin">
        <color rgb="FFF3F3F3"/>
      </left>
      <right style="thin">
        <color rgb="FF000000"/>
      </right>
      <top style="thin">
        <color rgb="FFF3F3F3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Font="1" applyAlignment="1">
      <alignment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164" fontId="6" fillId="4" borderId="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vertical="center"/>
    </xf>
    <xf numFmtId="164" fontId="9" fillId="4" borderId="9" xfId="0" applyNumberFormat="1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vertical="center"/>
    </xf>
    <xf numFmtId="0" fontId="9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 wrapText="1"/>
    </xf>
    <xf numFmtId="49" fontId="9" fillId="4" borderId="8" xfId="0" applyNumberFormat="1" applyFont="1" applyFill="1" applyBorder="1" applyAlignment="1">
      <alignment horizontal="center" vertical="center"/>
    </xf>
    <xf numFmtId="164" fontId="11" fillId="4" borderId="0" xfId="0" applyNumberFormat="1" applyFont="1" applyFill="1" applyAlignment="1">
      <alignment horizontal="right"/>
    </xf>
    <xf numFmtId="0" fontId="8" fillId="4" borderId="9" xfId="0" applyFont="1" applyFill="1" applyBorder="1" applyAlignment="1">
      <alignment horizontal="left" vertical="center"/>
    </xf>
    <xf numFmtId="0" fontId="13" fillId="0" borderId="0" xfId="0" applyFont="1"/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165" fontId="9" fillId="4" borderId="13" xfId="0" applyNumberFormat="1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/>
    </xf>
    <xf numFmtId="165" fontId="9" fillId="4" borderId="20" xfId="0" applyNumberFormat="1" applyFont="1" applyFill="1" applyBorder="1" applyAlignment="1">
      <alignment horizontal="center" vertical="center" wrapText="1"/>
    </xf>
    <xf numFmtId="165" fontId="9" fillId="4" borderId="21" xfId="0" applyNumberFormat="1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9" fillId="4" borderId="23" xfId="0" applyNumberFormat="1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165" fontId="9" fillId="4" borderId="24" xfId="0" applyNumberFormat="1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5" fillId="5" borderId="11" xfId="0" applyFont="1" applyFill="1" applyBorder="1" applyAlignment="1">
      <alignment horizontal="center" vertical="center" wrapText="1"/>
    </xf>
    <xf numFmtId="49" fontId="4" fillId="5" borderId="27" xfId="0" applyNumberFormat="1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vertical="center"/>
    </xf>
    <xf numFmtId="165" fontId="9" fillId="4" borderId="13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9" fillId="4" borderId="28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4" borderId="10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/>
    </xf>
    <xf numFmtId="0" fontId="8" fillId="4" borderId="28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4" fontId="9" fillId="4" borderId="1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/>
    <xf numFmtId="0" fontId="4" fillId="5" borderId="2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14" fontId="4" fillId="5" borderId="30" xfId="0" applyNumberFormat="1" applyFont="1" applyFill="1" applyBorder="1" applyAlignment="1">
      <alignment horizontal="center" vertical="center" wrapText="1"/>
    </xf>
    <xf numFmtId="1" fontId="6" fillId="4" borderId="12" xfId="0" applyNumberFormat="1" applyFont="1" applyFill="1" applyBorder="1" applyAlignment="1">
      <alignment horizontal="center" vertical="center" wrapText="1"/>
    </xf>
    <xf numFmtId="0" fontId="16" fillId="2" borderId="31" xfId="0" applyFont="1" applyFill="1" applyBorder="1" applyAlignment="1">
      <alignment horizontal="center" vertical="center" wrapText="1"/>
    </xf>
    <xf numFmtId="14" fontId="17" fillId="5" borderId="32" xfId="0" applyNumberFormat="1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14" fontId="9" fillId="4" borderId="28" xfId="0" applyNumberFormat="1" applyFont="1" applyFill="1" applyBorder="1" applyAlignment="1">
      <alignment horizontal="center" vertical="center"/>
    </xf>
    <xf numFmtId="1" fontId="9" fillId="4" borderId="3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2" borderId="26" xfId="0" applyFont="1" applyFill="1" applyBorder="1"/>
    <xf numFmtId="0" fontId="9" fillId="0" borderId="42" xfId="0" applyFont="1" applyBorder="1" applyAlignment="1">
      <alignment horizontal="center" vertical="center"/>
    </xf>
    <xf numFmtId="0" fontId="19" fillId="2" borderId="43" xfId="0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14" fontId="7" fillId="4" borderId="2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14" fontId="9" fillId="4" borderId="16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9" fillId="4" borderId="38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/>
        <color rgb="FFFF0000"/>
      </font>
      <fill>
        <patternFill patternType="none"/>
      </fill>
    </dxf>
    <dxf>
      <fill>
        <patternFill patternType="solid">
          <fgColor rgb="FFF4B083"/>
          <bgColor rgb="FFF4B083"/>
        </patternFill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0000"/>
          <bgColor rgb="FF000000"/>
        </patternFill>
      </fill>
    </dxf>
  </dxfs>
  <tableStyles count="2">
    <tableStyle name="SAÍDA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VALIDADES-style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57150</xdr:rowOff>
    </xdr:from>
    <xdr:ext cx="69532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19050</xdr:rowOff>
    </xdr:from>
    <xdr:ext cx="923925" cy="4953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47625</xdr:rowOff>
    </xdr:from>
    <xdr:ext cx="923925" cy="4953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47625</xdr:rowOff>
    </xdr:from>
    <xdr:ext cx="923925" cy="4953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1001">
  <tableColumns count="6">
    <tableColumn id="1" xr3:uid="{00000000-0010-0000-0000-000001000000}" name="DATA"/>
    <tableColumn id="2" xr3:uid="{00000000-0010-0000-0000-000002000000}" name="CÓD"/>
    <tableColumn id="3" xr3:uid="{00000000-0010-0000-0000-000003000000}" name="NOME DO PRODUTO"/>
    <tableColumn id="4" xr3:uid="{00000000-0010-0000-0000-000004000000}" name="CATEGORIA"/>
    <tableColumn id="5" xr3:uid="{00000000-0010-0000-0000-000005000000}" name="UNIDADE"/>
    <tableColumn id="6" xr3:uid="{00000000-0010-0000-0000-000006000000}" name="QTD UTILIZADA"/>
  </tableColumns>
  <tableStyleInfo name="SAÍD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J180">
  <tableColumns count="10">
    <tableColumn id="1" xr3:uid="{00000000-0010-0000-0100-000001000000}" name="CÓD"/>
    <tableColumn id="2" xr3:uid="{00000000-0010-0000-0100-000002000000}" name="SITUAÇÃO"/>
    <tableColumn id="3" xr3:uid="{00000000-0010-0000-0100-000003000000}" name="NOME DO PRODUTO"/>
    <tableColumn id="4" xr3:uid="{00000000-0010-0000-0100-000004000000}" name="CATEGORIA"/>
    <tableColumn id="5" xr3:uid="{00000000-0010-0000-0100-000005000000}" name="UNIDADE"/>
    <tableColumn id="6" xr3:uid="{00000000-0010-0000-0100-000006000000}" name="FORNECEDOR"/>
    <tableColumn id="7" xr3:uid="{00000000-0010-0000-0100-000007000000}" name="LOTE"/>
    <tableColumn id="8" xr3:uid="{00000000-0010-0000-0100-000008000000}" name="QTD"/>
    <tableColumn id="9" xr3:uid="{00000000-0010-0000-0100-000009000000}" name="VALIDADE"/>
    <tableColumn id="10" xr3:uid="{00000000-0010-0000-0100-00000A000000}" name="DISPOBILIDADE (DIAS)"/>
  </tableColumns>
  <tableStyleInfo name="VALIDAD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5"/>
  <sheetViews>
    <sheetView showGridLines="0" tabSelected="1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2" customWidth="1"/>
    <col min="2" max="2" width="14.5703125" customWidth="1"/>
    <col min="3" max="3" width="46.7109375" customWidth="1"/>
    <col min="4" max="4" width="29.85546875" customWidth="1"/>
    <col min="5" max="5" width="26" customWidth="1"/>
    <col min="6" max="6" width="17.7109375" customWidth="1"/>
    <col min="7" max="7" width="20.7109375" customWidth="1"/>
    <col min="8" max="8" width="28.28515625" customWidth="1"/>
    <col min="9" max="9" width="17.28515625" customWidth="1"/>
    <col min="10" max="10" width="18.140625" customWidth="1"/>
    <col min="11" max="11" width="16" customWidth="1"/>
    <col min="12" max="12" width="31.28515625" customWidth="1"/>
    <col min="13" max="13" width="18.7109375" customWidth="1"/>
    <col min="14" max="14" width="15.42578125" customWidth="1"/>
    <col min="15" max="15" width="17.85546875" customWidth="1"/>
    <col min="16" max="16" width="31.85546875" customWidth="1"/>
    <col min="17" max="26" width="9.140625" customWidth="1"/>
  </cols>
  <sheetData>
    <row r="1" spans="1:26" ht="40.5" customHeight="1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5" t="s">
        <v>7</v>
      </c>
      <c r="H2" s="3" t="s">
        <v>8</v>
      </c>
      <c r="I2" s="6" t="s">
        <v>9</v>
      </c>
      <c r="J2" s="7" t="s">
        <v>10</v>
      </c>
      <c r="K2" s="7" t="s">
        <v>11</v>
      </c>
      <c r="L2" s="7" t="s">
        <v>12</v>
      </c>
      <c r="M2" s="8" t="s">
        <v>13</v>
      </c>
      <c r="N2" s="8" t="s">
        <v>14</v>
      </c>
      <c r="O2" s="7" t="s">
        <v>15</v>
      </c>
      <c r="P2" s="7" t="s">
        <v>16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4" customHeight="1">
      <c r="A3" s="10">
        <v>1</v>
      </c>
      <c r="B3" s="11"/>
      <c r="C3" s="12" t="s">
        <v>17</v>
      </c>
      <c r="D3" s="12" t="s">
        <v>18</v>
      </c>
      <c r="E3" s="11" t="s">
        <v>19</v>
      </c>
      <c r="F3" s="11" t="s">
        <v>20</v>
      </c>
      <c r="G3" s="13"/>
      <c r="H3" s="14">
        <v>2</v>
      </c>
      <c r="I3" s="14">
        <v>4</v>
      </c>
      <c r="J3" s="14">
        <f>SUMIF(ENTRADAS!B:B,A:A,ENTRADAS!F:F)</f>
        <v>6</v>
      </c>
      <c r="K3" s="14">
        <f>SUMIF(SAÍDAS!B:B,A:A,SAÍDAS!F:F)</f>
        <v>5</v>
      </c>
      <c r="L3" s="14">
        <f t="shared" ref="L3:L4" si="0">H3+J3-K3</f>
        <v>3</v>
      </c>
      <c r="M3" s="13">
        <f>'SALDO ATUAL'!$G277*'SALDO ATUAL'!$I277</f>
        <v>0</v>
      </c>
      <c r="N3" s="13">
        <f>'SALDO ATUAL'!$G277*'SALDO ATUAL'!$L277</f>
        <v>0</v>
      </c>
      <c r="O3" s="14" t="str">
        <f t="shared" ref="O3:O4" si="1">IF(L3&gt;=I3,"OK","COMPRAR")</f>
        <v>COMPRAR</v>
      </c>
      <c r="P3" s="15">
        <f t="shared" ref="P3:P4" si="2">IF(O3="COMPRAR",I3-L3,0)</f>
        <v>1</v>
      </c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4" customHeight="1">
      <c r="A4" s="10">
        <v>2</v>
      </c>
      <c r="B4" s="11"/>
      <c r="C4" s="12" t="s">
        <v>21</v>
      </c>
      <c r="D4" s="12" t="s">
        <v>18</v>
      </c>
      <c r="E4" s="11"/>
      <c r="F4" s="11"/>
      <c r="G4" s="13"/>
      <c r="H4" s="14"/>
      <c r="I4" s="14"/>
      <c r="J4" s="14">
        <f>SUMIF(ENTRADAS!B:B,A:A,ENTRADAS!F:F)</f>
        <v>0</v>
      </c>
      <c r="K4" s="14">
        <f>SUMIF(SAÍDAS!B:B,A:A,SAÍDAS!F:F)</f>
        <v>0</v>
      </c>
      <c r="L4" s="14">
        <f t="shared" si="0"/>
        <v>0</v>
      </c>
      <c r="M4" s="13">
        <f>'SALDO ATUAL'!$G169*'SALDO ATUAL'!$I169</f>
        <v>0</v>
      </c>
      <c r="N4" s="13">
        <f>'SALDO ATUAL'!$G169*'SALDO ATUAL'!$L169</f>
        <v>0</v>
      </c>
      <c r="O4" s="14" t="str">
        <f t="shared" si="1"/>
        <v>OK</v>
      </c>
      <c r="P4" s="15">
        <f t="shared" si="2"/>
        <v>0</v>
      </c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4" customHeight="1">
      <c r="A5" s="10">
        <v>5</v>
      </c>
      <c r="B5" s="11"/>
      <c r="C5" s="12" t="s">
        <v>22</v>
      </c>
      <c r="D5" s="12" t="s">
        <v>23</v>
      </c>
      <c r="E5" s="11" t="s">
        <v>24</v>
      </c>
      <c r="F5" s="11"/>
      <c r="G5" s="13"/>
      <c r="H5" s="14">
        <v>1</v>
      </c>
      <c r="I5" s="14"/>
      <c r="J5" s="14"/>
      <c r="K5" s="14"/>
      <c r="L5" s="14"/>
      <c r="M5" s="13"/>
      <c r="N5" s="13"/>
      <c r="O5" s="14"/>
      <c r="P5" s="15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4" customHeight="1">
      <c r="A6" s="10">
        <v>6</v>
      </c>
      <c r="B6" s="11"/>
      <c r="C6" s="12" t="s">
        <v>25</v>
      </c>
      <c r="D6" s="12" t="s">
        <v>26</v>
      </c>
      <c r="E6" s="11" t="s">
        <v>27</v>
      </c>
      <c r="F6" s="11" t="s">
        <v>28</v>
      </c>
      <c r="G6" s="13"/>
      <c r="H6" s="14">
        <v>4</v>
      </c>
      <c r="I6" s="14">
        <v>4</v>
      </c>
      <c r="J6" s="14">
        <f>SUMIF(ENTRADAS!B:B,A:A,ENTRADAS!F:F)</f>
        <v>0</v>
      </c>
      <c r="K6" s="14">
        <f>SUMIF(SAÍDAS!B:B,A:A,SAÍDAS!F:F)</f>
        <v>5</v>
      </c>
      <c r="L6" s="14">
        <f t="shared" ref="L6:L15" si="3">H6+J6-K6</f>
        <v>-1</v>
      </c>
      <c r="M6" s="13">
        <f>'SALDO ATUAL'!$G11*'SALDO ATUAL'!$I11</f>
        <v>521</v>
      </c>
      <c r="N6" s="13">
        <f>'SALDO ATUAL'!$G11*'SALDO ATUAL'!$L11</f>
        <v>1042</v>
      </c>
      <c r="O6" s="14" t="str">
        <f t="shared" ref="O6:O15" si="4">IF(L6&gt;=I6,"OK","COMPRAR")</f>
        <v>COMPRAR</v>
      </c>
      <c r="P6" s="15">
        <f t="shared" ref="P6:P15" si="5">IF(O6="COMPRAR",I6-L6,0)</f>
        <v>5</v>
      </c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4" customHeight="1">
      <c r="A7" s="10">
        <v>8</v>
      </c>
      <c r="B7" s="11"/>
      <c r="C7" s="12" t="s">
        <v>29</v>
      </c>
      <c r="D7" s="12" t="s">
        <v>30</v>
      </c>
      <c r="E7" s="11" t="s">
        <v>31</v>
      </c>
      <c r="F7" s="11" t="s">
        <v>32</v>
      </c>
      <c r="G7" s="13">
        <v>4.75</v>
      </c>
      <c r="H7" s="14">
        <v>20</v>
      </c>
      <c r="I7" s="14">
        <v>5</v>
      </c>
      <c r="J7" s="14">
        <f>SUMIF(ENTRADAS!B:B,A:A,ENTRADAS!F:F)</f>
        <v>0</v>
      </c>
      <c r="K7" s="14">
        <f>SUMIF(SAÍDAS!B:B,A:A,SAÍDAS!F:F)</f>
        <v>0</v>
      </c>
      <c r="L7" s="14">
        <f t="shared" si="3"/>
        <v>20</v>
      </c>
      <c r="M7" s="13" t="e">
        <f t="shared" ref="M7:N7" si="6">#REF!*#REF!</f>
        <v>#REF!</v>
      </c>
      <c r="N7" s="13" t="e">
        <f t="shared" si="6"/>
        <v>#REF!</v>
      </c>
      <c r="O7" s="14" t="str">
        <f t="shared" si="4"/>
        <v>OK</v>
      </c>
      <c r="P7" s="15">
        <f t="shared" si="5"/>
        <v>0</v>
      </c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4" customHeight="1">
      <c r="A8" s="10">
        <v>11</v>
      </c>
      <c r="B8" s="11"/>
      <c r="C8" s="12" t="s">
        <v>33</v>
      </c>
      <c r="D8" s="12" t="s">
        <v>26</v>
      </c>
      <c r="E8" s="11" t="s">
        <v>34</v>
      </c>
      <c r="F8" s="11" t="s">
        <v>35</v>
      </c>
      <c r="G8" s="13">
        <v>72.64</v>
      </c>
      <c r="H8" s="14">
        <v>72</v>
      </c>
      <c r="I8" s="14">
        <v>20</v>
      </c>
      <c r="J8" s="14">
        <f>SUMIF(ENTRADAS!B:B,A:A,ENTRADAS!F:F)</f>
        <v>1</v>
      </c>
      <c r="K8" s="14">
        <f>SUMIF(SAÍDAS!B:B,A:A,SAÍDAS!F:F)</f>
        <v>7</v>
      </c>
      <c r="L8" s="14">
        <f t="shared" si="3"/>
        <v>66</v>
      </c>
      <c r="M8" s="13">
        <f>'SALDO ATUAL'!$G63*'SALDO ATUAL'!$I63</f>
        <v>32.5</v>
      </c>
      <c r="N8" s="13">
        <f>'SALDO ATUAL'!$G63*'SALDO ATUAL'!$L63</f>
        <v>26</v>
      </c>
      <c r="O8" s="14" t="str">
        <f t="shared" si="4"/>
        <v>OK</v>
      </c>
      <c r="P8" s="15">
        <f t="shared" si="5"/>
        <v>0</v>
      </c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4" customHeight="1">
      <c r="A9" s="10">
        <v>12</v>
      </c>
      <c r="B9" s="11"/>
      <c r="C9" s="12" t="s">
        <v>36</v>
      </c>
      <c r="D9" s="12" t="s">
        <v>37</v>
      </c>
      <c r="E9" s="11" t="s">
        <v>27</v>
      </c>
      <c r="F9" s="11" t="s">
        <v>38</v>
      </c>
      <c r="G9" s="13">
        <v>302.89999999999998</v>
      </c>
      <c r="H9" s="14">
        <v>2</v>
      </c>
      <c r="I9" s="14">
        <v>1</v>
      </c>
      <c r="J9" s="14">
        <f>SUMIF(ENTRADAS!B:B,A:A,ENTRADAS!F:F)</f>
        <v>0</v>
      </c>
      <c r="K9" s="14">
        <f>SUMIF(SAÍDAS!B:B,A:A,SAÍDAS!F:F)</f>
        <v>0</v>
      </c>
      <c r="L9" s="14">
        <f t="shared" si="3"/>
        <v>2</v>
      </c>
      <c r="M9" s="13">
        <f>'SALDO ATUAL'!$G298*'SALDO ATUAL'!$I298</f>
        <v>17</v>
      </c>
      <c r="N9" s="13">
        <f>'SALDO ATUAL'!$G298*'SALDO ATUAL'!$L298</f>
        <v>34</v>
      </c>
      <c r="O9" s="14" t="str">
        <f t="shared" si="4"/>
        <v>OK</v>
      </c>
      <c r="P9" s="15">
        <f t="shared" si="5"/>
        <v>0</v>
      </c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4" customHeight="1">
      <c r="A10" s="10">
        <v>13</v>
      </c>
      <c r="B10" s="11"/>
      <c r="C10" s="12" t="s">
        <v>39</v>
      </c>
      <c r="D10" s="12" t="s">
        <v>37</v>
      </c>
      <c r="E10" s="11" t="s">
        <v>27</v>
      </c>
      <c r="F10" s="11" t="s">
        <v>40</v>
      </c>
      <c r="G10" s="13">
        <v>24.12</v>
      </c>
      <c r="H10" s="14">
        <v>2</v>
      </c>
      <c r="I10" s="14">
        <v>1</v>
      </c>
      <c r="J10" s="14">
        <f>SUMIF(ENTRADAS!B:B,A:A,ENTRADAS!F:F)</f>
        <v>0</v>
      </c>
      <c r="K10" s="14">
        <f>SUMIF(SAÍDAS!B:B,A:A,SAÍDAS!F:F)</f>
        <v>0</v>
      </c>
      <c r="L10" s="14">
        <f t="shared" si="3"/>
        <v>2</v>
      </c>
      <c r="M10" s="13">
        <f>'SALDO ATUAL'!$G297*'SALDO ATUAL'!$I297</f>
        <v>0</v>
      </c>
      <c r="N10" s="13">
        <f>'SALDO ATUAL'!$G297*'SALDO ATUAL'!$L297</f>
        <v>0</v>
      </c>
      <c r="O10" s="14" t="str">
        <f t="shared" si="4"/>
        <v>OK</v>
      </c>
      <c r="P10" s="15">
        <f t="shared" si="5"/>
        <v>0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4" customHeight="1">
      <c r="A11" s="10">
        <v>15</v>
      </c>
      <c r="B11" s="11"/>
      <c r="C11" s="12" t="s">
        <v>41</v>
      </c>
      <c r="D11" s="12" t="s">
        <v>37</v>
      </c>
      <c r="E11" s="11" t="s">
        <v>27</v>
      </c>
      <c r="F11" s="11" t="s">
        <v>42</v>
      </c>
      <c r="G11" s="13">
        <v>521</v>
      </c>
      <c r="H11" s="14">
        <v>2</v>
      </c>
      <c r="I11" s="14">
        <v>1</v>
      </c>
      <c r="J11" s="14">
        <f>SUMIF(ENTRADAS!B:B,A:A,ENTRADAS!F:F)</f>
        <v>0</v>
      </c>
      <c r="K11" s="14">
        <f>SUMIF(SAÍDAS!B:B,A:A,SAÍDAS!F:F)</f>
        <v>0</v>
      </c>
      <c r="L11" s="14">
        <f t="shared" si="3"/>
        <v>2</v>
      </c>
      <c r="M11" s="13">
        <f>'SALDO ATUAL'!$G295*'SALDO ATUAL'!$I295</f>
        <v>27.18</v>
      </c>
      <c r="N11" s="13">
        <f>'SALDO ATUAL'!$G295*'SALDO ATUAL'!$L295</f>
        <v>27.18</v>
      </c>
      <c r="O11" s="14" t="str">
        <f t="shared" si="4"/>
        <v>OK</v>
      </c>
      <c r="P11" s="15">
        <f t="shared" si="5"/>
        <v>0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4" customHeight="1">
      <c r="A12" s="10">
        <v>19</v>
      </c>
      <c r="B12" s="11"/>
      <c r="C12" s="12" t="s">
        <v>43</v>
      </c>
      <c r="D12" s="12" t="s">
        <v>44</v>
      </c>
      <c r="E12" s="11" t="s">
        <v>45</v>
      </c>
      <c r="F12" s="11" t="s">
        <v>46</v>
      </c>
      <c r="G12" s="13"/>
      <c r="H12" s="14">
        <v>4</v>
      </c>
      <c r="I12" s="14">
        <v>2</v>
      </c>
      <c r="J12" s="14">
        <f>SUMIF(ENTRADAS!B:B,A:A,ENTRADAS!F:F)</f>
        <v>0</v>
      </c>
      <c r="K12" s="14">
        <f>SUMIF(SAÍDAS!B:B,A:A,SAÍDAS!F:F)</f>
        <v>0</v>
      </c>
      <c r="L12" s="14">
        <f t="shared" si="3"/>
        <v>4</v>
      </c>
      <c r="M12" s="13">
        <f>'SALDO ATUAL'!$G212*'SALDO ATUAL'!$I212</f>
        <v>18110.099999999999</v>
      </c>
      <c r="N12" s="13">
        <f>'SALDO ATUAL'!$G212*'SALDO ATUAL'!$L212</f>
        <v>18110.099999999999</v>
      </c>
      <c r="O12" s="14" t="str">
        <f t="shared" si="4"/>
        <v>OK</v>
      </c>
      <c r="P12" s="15">
        <f t="shared" si="5"/>
        <v>0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4" customHeight="1">
      <c r="A13" s="10">
        <v>20</v>
      </c>
      <c r="B13" s="11"/>
      <c r="C13" s="12" t="s">
        <v>47</v>
      </c>
      <c r="D13" s="12" t="s">
        <v>37</v>
      </c>
      <c r="E13" s="11" t="s">
        <v>27</v>
      </c>
      <c r="F13" s="11" t="s">
        <v>48</v>
      </c>
      <c r="G13" s="13">
        <v>10.87</v>
      </c>
      <c r="H13" s="14">
        <v>3</v>
      </c>
      <c r="I13" s="14">
        <v>2</v>
      </c>
      <c r="J13" s="14">
        <f>SUMIF(ENTRADAS!B:B,A:A,ENTRADAS!F:F)</f>
        <v>0</v>
      </c>
      <c r="K13" s="14">
        <f>SUMIF(SAÍDAS!B:B,A:A,SAÍDAS!F:F)</f>
        <v>2</v>
      </c>
      <c r="L13" s="14">
        <f t="shared" si="3"/>
        <v>1</v>
      </c>
      <c r="M13" s="13">
        <f>'SALDO ATUAL'!$G296*'SALDO ATUAL'!$I296</f>
        <v>0</v>
      </c>
      <c r="N13" s="13">
        <f>'SALDO ATUAL'!$G296*'SALDO ATUAL'!$L296</f>
        <v>0</v>
      </c>
      <c r="O13" s="14" t="str">
        <f t="shared" si="4"/>
        <v>COMPRAR</v>
      </c>
      <c r="P13" s="15">
        <f t="shared" si="5"/>
        <v>1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4" customHeight="1">
      <c r="A14" s="10">
        <v>24</v>
      </c>
      <c r="B14" s="11"/>
      <c r="C14" s="12" t="s">
        <v>49</v>
      </c>
      <c r="D14" s="12" t="s">
        <v>44</v>
      </c>
      <c r="E14" s="11" t="s">
        <v>45</v>
      </c>
      <c r="F14" s="11" t="s">
        <v>50</v>
      </c>
      <c r="G14" s="13">
        <v>193.1</v>
      </c>
      <c r="H14" s="14">
        <v>51</v>
      </c>
      <c r="I14" s="14">
        <v>30</v>
      </c>
      <c r="J14" s="14">
        <f>SUMIF(ENTRADAS!B:B,A:A,ENTRADAS!F:F)</f>
        <v>0</v>
      </c>
      <c r="K14" s="14">
        <f>SUMIF(SAÍDAS!B:B,A:A,SAÍDAS!F:F)</f>
        <v>22</v>
      </c>
      <c r="L14" s="14">
        <f t="shared" si="3"/>
        <v>29</v>
      </c>
      <c r="M14" s="13">
        <f>'SALDO ATUAL'!$G269*'SALDO ATUAL'!$I269</f>
        <v>180.84</v>
      </c>
      <c r="N14" s="13">
        <f>'SALDO ATUAL'!$G269*'SALDO ATUAL'!$L269</f>
        <v>813.78</v>
      </c>
      <c r="O14" s="14" t="str">
        <f t="shared" si="4"/>
        <v>COMPRAR</v>
      </c>
      <c r="P14" s="15">
        <f t="shared" si="5"/>
        <v>1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4" customHeight="1">
      <c r="A15" s="10">
        <v>25</v>
      </c>
      <c r="B15" s="11"/>
      <c r="C15" s="12" t="s">
        <v>51</v>
      </c>
      <c r="D15" s="12" t="s">
        <v>44</v>
      </c>
      <c r="E15" s="11" t="s">
        <v>45</v>
      </c>
      <c r="F15" s="11" t="s">
        <v>50</v>
      </c>
      <c r="G15" s="13">
        <v>210</v>
      </c>
      <c r="H15" s="14">
        <v>99</v>
      </c>
      <c r="I15" s="14">
        <v>30</v>
      </c>
      <c r="J15" s="14">
        <f>SUMIF(ENTRADAS!B:B,A:A,ENTRADAS!F:F)</f>
        <v>2</v>
      </c>
      <c r="K15" s="14">
        <f>SUMIF(SAÍDAS!B:B,A:A,SAÍDAS!F:F)</f>
        <v>34</v>
      </c>
      <c r="L15" s="14">
        <f t="shared" si="3"/>
        <v>67</v>
      </c>
      <c r="M15" s="13">
        <f>'SALDO ATUAL'!$G90*'SALDO ATUAL'!$I90</f>
        <v>0</v>
      </c>
      <c r="N15" s="13">
        <f>'SALDO ATUAL'!$G90*'SALDO ATUAL'!$L90</f>
        <v>0</v>
      </c>
      <c r="O15" s="14" t="str">
        <f t="shared" si="4"/>
        <v>OK</v>
      </c>
      <c r="P15" s="15">
        <f t="shared" si="5"/>
        <v>0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4" customHeight="1">
      <c r="A16" s="10">
        <v>26</v>
      </c>
      <c r="B16" s="11"/>
      <c r="C16" s="12" t="s">
        <v>52</v>
      </c>
      <c r="D16" s="12" t="s">
        <v>44</v>
      </c>
      <c r="E16" s="11" t="s">
        <v>45</v>
      </c>
      <c r="F16" s="11" t="s">
        <v>50</v>
      </c>
      <c r="G16" s="13">
        <v>437</v>
      </c>
      <c r="H16" s="14">
        <v>18</v>
      </c>
      <c r="I16" s="14">
        <v>30</v>
      </c>
      <c r="J16" s="14"/>
      <c r="K16" s="14"/>
      <c r="L16" s="14"/>
      <c r="M16" s="13"/>
      <c r="N16" s="13"/>
      <c r="O16" s="14"/>
      <c r="P16" s="15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4" customHeight="1">
      <c r="A17" s="10">
        <v>31</v>
      </c>
      <c r="B17" s="11"/>
      <c r="C17" s="12" t="s">
        <v>53</v>
      </c>
      <c r="D17" s="12" t="s">
        <v>44</v>
      </c>
      <c r="E17" s="11"/>
      <c r="F17" s="11"/>
      <c r="G17" s="13"/>
      <c r="H17" s="14">
        <v>0</v>
      </c>
      <c r="I17" s="14"/>
      <c r="J17" s="14">
        <f>SUMIF(ENTRADAS!B:B,A:A,ENTRADAS!F:F)</f>
        <v>0</v>
      </c>
      <c r="K17" s="14">
        <f>SUMIF(SAÍDAS!B:B,A:A,SAÍDAS!F:F)</f>
        <v>0</v>
      </c>
      <c r="L17" s="14">
        <f t="shared" ref="L17:L47" si="7">H17+J17-K17</f>
        <v>0</v>
      </c>
      <c r="M17" s="13">
        <f>'SALDO ATUAL'!$G49*'SALDO ATUAL'!$I49</f>
        <v>0</v>
      </c>
      <c r="N17" s="13">
        <f>'SALDO ATUAL'!$G49*'SALDO ATUAL'!$L49</f>
        <v>0</v>
      </c>
      <c r="O17" s="14" t="str">
        <f t="shared" ref="O17:O47" si="8">IF(L17&gt;=I17,"OK","COMPRAR")</f>
        <v>OK</v>
      </c>
      <c r="P17" s="15">
        <f t="shared" ref="P17:P47" si="9">IF(O17="COMPRAR",I17-L17,0)</f>
        <v>0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4" customHeight="1">
      <c r="A18" s="10">
        <v>32</v>
      </c>
      <c r="B18" s="11"/>
      <c r="C18" s="12" t="s">
        <v>54</v>
      </c>
      <c r="D18" s="12" t="s">
        <v>44</v>
      </c>
      <c r="E18" s="11"/>
      <c r="F18" s="11"/>
      <c r="G18" s="13"/>
      <c r="H18" s="14">
        <v>0</v>
      </c>
      <c r="I18" s="14"/>
      <c r="J18" s="14">
        <f>SUMIF(ENTRADAS!B:B,A:A,ENTRADAS!F:F)</f>
        <v>0</v>
      </c>
      <c r="K18" s="14">
        <f>SUMIF(SAÍDAS!B:B,A:A,SAÍDAS!F:F)</f>
        <v>0</v>
      </c>
      <c r="L18" s="14">
        <f t="shared" si="7"/>
        <v>0</v>
      </c>
      <c r="M18" s="13">
        <f>'SALDO ATUAL'!$G130*'SALDO ATUAL'!$I130</f>
        <v>0</v>
      </c>
      <c r="N18" s="13">
        <f>'SALDO ATUAL'!$G130*'SALDO ATUAL'!$L130</f>
        <v>0</v>
      </c>
      <c r="O18" s="14" t="str">
        <f t="shared" si="8"/>
        <v>OK</v>
      </c>
      <c r="P18" s="15">
        <f t="shared" si="9"/>
        <v>0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4" customHeight="1">
      <c r="A19" s="10">
        <v>33</v>
      </c>
      <c r="B19" s="11"/>
      <c r="C19" s="12" t="s">
        <v>55</v>
      </c>
      <c r="D19" s="12" t="s">
        <v>44</v>
      </c>
      <c r="E19" s="11"/>
      <c r="F19" s="11"/>
      <c r="G19" s="13"/>
      <c r="H19" s="14">
        <v>0</v>
      </c>
      <c r="I19" s="14"/>
      <c r="J19" s="14">
        <f>SUMIF(ENTRADAS!B:B,A:A,ENTRADAS!F:F)</f>
        <v>0</v>
      </c>
      <c r="K19" s="14">
        <f>SUMIF(SAÍDAS!B:B,A:A,SAÍDAS!F:F)</f>
        <v>0</v>
      </c>
      <c r="L19" s="14">
        <f t="shared" si="7"/>
        <v>0</v>
      </c>
      <c r="M19" s="13">
        <f>'SALDO ATUAL'!$G270*'SALDO ATUAL'!$I270</f>
        <v>0</v>
      </c>
      <c r="N19" s="13">
        <f>'SALDO ATUAL'!$G270*'SALDO ATUAL'!$L270</f>
        <v>0</v>
      </c>
      <c r="O19" s="14" t="str">
        <f t="shared" si="8"/>
        <v>OK</v>
      </c>
      <c r="P19" s="15">
        <f t="shared" si="9"/>
        <v>0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4" customHeight="1">
      <c r="A20" s="10">
        <v>34</v>
      </c>
      <c r="B20" s="11"/>
      <c r="C20" s="12" t="s">
        <v>56</v>
      </c>
      <c r="D20" s="12" t="s">
        <v>44</v>
      </c>
      <c r="E20" s="11"/>
      <c r="F20" s="11"/>
      <c r="G20" s="13"/>
      <c r="H20" s="14">
        <v>0</v>
      </c>
      <c r="I20" s="14"/>
      <c r="J20" s="14">
        <f>SUMIF(ENTRADAS!B:B,A:A,ENTRADAS!F:F)</f>
        <v>0</v>
      </c>
      <c r="K20" s="14">
        <f>SUMIF(SAÍDAS!B:B,A:A,SAÍDAS!F:F)</f>
        <v>0</v>
      </c>
      <c r="L20" s="14">
        <f t="shared" si="7"/>
        <v>0</v>
      </c>
      <c r="M20" s="13">
        <f>'SALDO ATUAL'!$G27*'SALDO ATUAL'!$I27</f>
        <v>53.54</v>
      </c>
      <c r="N20" s="13">
        <f>'SALDO ATUAL'!$G27*'SALDO ATUAL'!$L27</f>
        <v>53.54</v>
      </c>
      <c r="O20" s="14" t="str">
        <f t="shared" si="8"/>
        <v>OK</v>
      </c>
      <c r="P20" s="15">
        <f t="shared" si="9"/>
        <v>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" customHeight="1">
      <c r="A21" s="10">
        <v>35</v>
      </c>
      <c r="B21" s="11"/>
      <c r="C21" s="12" t="s">
        <v>57</v>
      </c>
      <c r="D21" s="12" t="s">
        <v>44</v>
      </c>
      <c r="E21" s="11" t="s">
        <v>45</v>
      </c>
      <c r="F21" s="11" t="s">
        <v>46</v>
      </c>
      <c r="G21" s="13">
        <v>1315.82</v>
      </c>
      <c r="H21" s="14">
        <v>11</v>
      </c>
      <c r="I21" s="14">
        <v>20</v>
      </c>
      <c r="J21" s="14">
        <f>SUMIF(ENTRADAS!B:B,A:A,ENTRADAS!F:F)</f>
        <v>0</v>
      </c>
      <c r="K21" s="14">
        <f>SUMIF(SAÍDAS!B:B,A:A,SAÍDAS!F:F)</f>
        <v>0</v>
      </c>
      <c r="L21" s="14">
        <f t="shared" si="7"/>
        <v>11</v>
      </c>
      <c r="M21" s="13">
        <f>'SALDO ATUAL'!$G157*'SALDO ATUAL'!$I157</f>
        <v>0</v>
      </c>
      <c r="N21" s="13">
        <f>'SALDO ATUAL'!$G157*'SALDO ATUAL'!$L157</f>
        <v>0</v>
      </c>
      <c r="O21" s="14" t="str">
        <f t="shared" si="8"/>
        <v>COMPRAR</v>
      </c>
      <c r="P21" s="15">
        <f t="shared" si="9"/>
        <v>9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4" customHeight="1">
      <c r="A22" s="10">
        <v>36</v>
      </c>
      <c r="B22" s="11"/>
      <c r="C22" s="12" t="s">
        <v>58</v>
      </c>
      <c r="D22" s="12" t="s">
        <v>23</v>
      </c>
      <c r="E22" s="11"/>
      <c r="F22" s="11"/>
      <c r="G22" s="13"/>
      <c r="H22" s="14">
        <v>0</v>
      </c>
      <c r="I22" s="14"/>
      <c r="J22" s="14">
        <f>SUMIF(ENTRADAS!B:B,A:A,ENTRADAS!F:F)</f>
        <v>0</v>
      </c>
      <c r="K22" s="14">
        <f>SUMIF(SAÍDAS!B:B,A:A,SAÍDAS!F:F)</f>
        <v>0</v>
      </c>
      <c r="L22" s="14">
        <f t="shared" si="7"/>
        <v>0</v>
      </c>
      <c r="M22" s="13">
        <f>'SALDO ATUAL'!$G153*'SALDO ATUAL'!$I153</f>
        <v>0</v>
      </c>
      <c r="N22" s="13">
        <f>'SALDO ATUAL'!$G153*'SALDO ATUAL'!$L153</f>
        <v>0</v>
      </c>
      <c r="O22" s="14" t="str">
        <f t="shared" si="8"/>
        <v>OK</v>
      </c>
      <c r="P22" s="15">
        <f t="shared" si="9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" customHeight="1">
      <c r="A23" s="10">
        <v>37</v>
      </c>
      <c r="B23" s="11"/>
      <c r="C23" s="12" t="s">
        <v>59</v>
      </c>
      <c r="D23" s="12" t="s">
        <v>23</v>
      </c>
      <c r="E23" s="11"/>
      <c r="F23" s="11"/>
      <c r="G23" s="13"/>
      <c r="H23" s="14">
        <v>0</v>
      </c>
      <c r="I23" s="14"/>
      <c r="J23" s="14">
        <f>SUMIF(ENTRADAS!B:B,A:A,ENTRADAS!F:F)</f>
        <v>0</v>
      </c>
      <c r="K23" s="14">
        <f>SUMIF(SAÍDAS!B:B,A:A,SAÍDAS!F:F)</f>
        <v>0</v>
      </c>
      <c r="L23" s="14">
        <f t="shared" si="7"/>
        <v>0</v>
      </c>
      <c r="M23" s="13">
        <f>'SALDO ATUAL'!$G263*'SALDO ATUAL'!$I263</f>
        <v>0</v>
      </c>
      <c r="N23" s="13">
        <f>'SALDO ATUAL'!$G263*'SALDO ATUAL'!$L263</f>
        <v>0</v>
      </c>
      <c r="O23" s="14" t="str">
        <f t="shared" si="8"/>
        <v>OK</v>
      </c>
      <c r="P23" s="15">
        <f t="shared" si="9"/>
        <v>0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4" customHeight="1">
      <c r="A24" s="10">
        <v>38</v>
      </c>
      <c r="B24" s="11"/>
      <c r="C24" s="12" t="s">
        <v>60</v>
      </c>
      <c r="D24" s="12" t="s">
        <v>61</v>
      </c>
      <c r="E24" s="11" t="s">
        <v>45</v>
      </c>
      <c r="F24" s="11" t="s">
        <v>62</v>
      </c>
      <c r="G24" s="13"/>
      <c r="H24" s="14">
        <v>5</v>
      </c>
      <c r="I24" s="14">
        <v>5</v>
      </c>
      <c r="J24" s="14">
        <f>SUMIF(ENTRADAS!B:B,A:A,ENTRADAS!F:F)</f>
        <v>15</v>
      </c>
      <c r="K24" s="14">
        <f>SUMIF(SAÍDAS!B:B,A:A,SAÍDAS!F:F)</f>
        <v>7</v>
      </c>
      <c r="L24" s="14">
        <f t="shared" si="7"/>
        <v>13</v>
      </c>
      <c r="M24" s="13">
        <f>'SALDO ATUAL'!$G100*'SALDO ATUAL'!$I100</f>
        <v>0</v>
      </c>
      <c r="N24" s="13">
        <f>'SALDO ATUAL'!$G100*'SALDO ATUAL'!$L100</f>
        <v>0</v>
      </c>
      <c r="O24" s="14" t="str">
        <f t="shared" si="8"/>
        <v>OK</v>
      </c>
      <c r="P24" s="15">
        <f t="shared" si="9"/>
        <v>0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4" customHeight="1">
      <c r="A25" s="10">
        <v>39</v>
      </c>
      <c r="B25" s="11"/>
      <c r="C25" s="12" t="s">
        <v>63</v>
      </c>
      <c r="D25" s="12" t="s">
        <v>23</v>
      </c>
      <c r="E25" s="11" t="s">
        <v>34</v>
      </c>
      <c r="F25" s="11" t="s">
        <v>64</v>
      </c>
      <c r="G25" s="13">
        <v>45.5</v>
      </c>
      <c r="H25" s="14">
        <v>1</v>
      </c>
      <c r="I25" s="14">
        <v>1</v>
      </c>
      <c r="J25" s="14">
        <f>SUMIF(ENTRADAS!B:B,A:A,ENTRADAS!F:F)</f>
        <v>0</v>
      </c>
      <c r="K25" s="14">
        <f>SUMIF(SAÍDAS!B:B,A:A,SAÍDAS!F:F)</f>
        <v>0</v>
      </c>
      <c r="L25" s="14">
        <f t="shared" si="7"/>
        <v>1</v>
      </c>
      <c r="M25" s="13">
        <f>'SALDO ATUAL'!$G264*'SALDO ATUAL'!$I264</f>
        <v>0</v>
      </c>
      <c r="N25" s="13">
        <f>'SALDO ATUAL'!$G264*'SALDO ATUAL'!$L264</f>
        <v>0</v>
      </c>
      <c r="O25" s="14" t="str">
        <f t="shared" si="8"/>
        <v>OK</v>
      </c>
      <c r="P25" s="15">
        <f t="shared" si="9"/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4" customHeight="1">
      <c r="A26" s="10">
        <v>40</v>
      </c>
      <c r="B26" s="11"/>
      <c r="C26" s="12" t="s">
        <v>65</v>
      </c>
      <c r="D26" s="12" t="s">
        <v>30</v>
      </c>
      <c r="E26" s="11" t="s">
        <v>66</v>
      </c>
      <c r="F26" s="11" t="s">
        <v>67</v>
      </c>
      <c r="G26" s="13">
        <v>8.65</v>
      </c>
      <c r="H26" s="14">
        <v>1</v>
      </c>
      <c r="I26" s="14">
        <v>2</v>
      </c>
      <c r="J26" s="14">
        <f>SUMIF(ENTRADAS!B:B,A:A,ENTRADAS!F:F)</f>
        <v>5</v>
      </c>
      <c r="K26" s="14">
        <f>SUMIF(SAÍDAS!B:B,A:A,SAÍDAS!F:F)</f>
        <v>3</v>
      </c>
      <c r="L26" s="14">
        <f t="shared" si="7"/>
        <v>3</v>
      </c>
      <c r="M26" s="13">
        <f>'SALDO ATUAL'!$G152*'SALDO ATUAL'!$I152</f>
        <v>0</v>
      </c>
      <c r="N26" s="13">
        <f>'SALDO ATUAL'!$G152*'SALDO ATUAL'!$L152</f>
        <v>0</v>
      </c>
      <c r="O26" s="14" t="str">
        <f t="shared" si="8"/>
        <v>OK</v>
      </c>
      <c r="P26" s="15">
        <f t="shared" si="9"/>
        <v>0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4" customHeight="1">
      <c r="A27" s="10">
        <v>41</v>
      </c>
      <c r="B27" s="11"/>
      <c r="C27" s="12" t="s">
        <v>68</v>
      </c>
      <c r="D27" s="12" t="s">
        <v>69</v>
      </c>
      <c r="E27" s="11" t="s">
        <v>70</v>
      </c>
      <c r="F27" s="11" t="s">
        <v>71</v>
      </c>
      <c r="G27" s="13">
        <v>53.54</v>
      </c>
      <c r="H27" s="14">
        <v>1</v>
      </c>
      <c r="I27" s="14">
        <v>1</v>
      </c>
      <c r="J27" s="14">
        <f>SUMIF(ENTRADAS!B:B,A:A,ENTRADAS!F:F)</f>
        <v>0</v>
      </c>
      <c r="K27" s="14">
        <f>SUMIF(SAÍDAS!B:B,A:A,SAÍDAS!F:F)</f>
        <v>0</v>
      </c>
      <c r="L27" s="14">
        <f t="shared" si="7"/>
        <v>1</v>
      </c>
      <c r="M27" s="13">
        <f>'SALDO ATUAL'!$G148*'SALDO ATUAL'!$I148</f>
        <v>0</v>
      </c>
      <c r="N27" s="13">
        <f>'SALDO ATUAL'!$G148*'SALDO ATUAL'!$L148</f>
        <v>0</v>
      </c>
      <c r="O27" s="14" t="str">
        <f t="shared" si="8"/>
        <v>OK</v>
      </c>
      <c r="P27" s="15">
        <f t="shared" si="9"/>
        <v>0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4" customHeight="1">
      <c r="A28" s="10">
        <v>42</v>
      </c>
      <c r="B28" s="11"/>
      <c r="C28" s="12" t="s">
        <v>72</v>
      </c>
      <c r="D28" s="12" t="s">
        <v>73</v>
      </c>
      <c r="E28" s="11"/>
      <c r="F28" s="11"/>
      <c r="G28" s="13"/>
      <c r="H28" s="14">
        <v>0</v>
      </c>
      <c r="I28" s="14"/>
      <c r="J28" s="14">
        <f>SUMIF(ENTRADAS!B:B,A:A,ENTRADAS!F:F)</f>
        <v>0</v>
      </c>
      <c r="K28" s="14">
        <f>SUMIF(SAÍDAS!B:B,A:A,SAÍDAS!F:F)</f>
        <v>0</v>
      </c>
      <c r="L28" s="14">
        <f t="shared" si="7"/>
        <v>0</v>
      </c>
      <c r="M28" s="13">
        <f>'SALDO ATUAL'!$G291*'SALDO ATUAL'!$I291</f>
        <v>41.4</v>
      </c>
      <c r="N28" s="13">
        <f>'SALDO ATUAL'!$G291*'SALDO ATUAL'!$L291</f>
        <v>41.4</v>
      </c>
      <c r="O28" s="14" t="str">
        <f t="shared" si="8"/>
        <v>OK</v>
      </c>
      <c r="P28" s="15">
        <f t="shared" si="9"/>
        <v>0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4" customHeight="1">
      <c r="A29" s="10">
        <v>43</v>
      </c>
      <c r="B29" s="11"/>
      <c r="C29" s="12" t="s">
        <v>74</v>
      </c>
      <c r="D29" s="12" t="s">
        <v>73</v>
      </c>
      <c r="E29" s="11" t="s">
        <v>75</v>
      </c>
      <c r="F29" s="11" t="s">
        <v>76</v>
      </c>
      <c r="G29" s="13">
        <v>90.37</v>
      </c>
      <c r="H29" s="14">
        <v>4</v>
      </c>
      <c r="I29" s="14">
        <v>2</v>
      </c>
      <c r="J29" s="14">
        <f>SUMIF(ENTRADAS!B:B,A:A,ENTRADAS!F:F)</f>
        <v>0</v>
      </c>
      <c r="K29" s="14">
        <f>SUMIF(SAÍDAS!B:B,A:A,SAÍDAS!F:F)</f>
        <v>2</v>
      </c>
      <c r="L29" s="14">
        <f t="shared" si="7"/>
        <v>2</v>
      </c>
      <c r="M29" s="13">
        <f>'SALDO ATUAL'!$G293*'SALDO ATUAL'!$I293</f>
        <v>0</v>
      </c>
      <c r="N29" s="13">
        <f>'SALDO ATUAL'!$G293*'SALDO ATUAL'!$L293</f>
        <v>0</v>
      </c>
      <c r="O29" s="14" t="str">
        <f t="shared" si="8"/>
        <v>OK</v>
      </c>
      <c r="P29" s="15">
        <f t="shared" si="9"/>
        <v>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4" customHeight="1">
      <c r="A30" s="10">
        <v>44</v>
      </c>
      <c r="B30" s="11"/>
      <c r="C30" s="12" t="s">
        <v>77</v>
      </c>
      <c r="D30" s="12" t="s">
        <v>30</v>
      </c>
      <c r="E30" s="11"/>
      <c r="F30" s="11"/>
      <c r="G30" s="13"/>
      <c r="H30" s="14">
        <v>0</v>
      </c>
      <c r="I30" s="14"/>
      <c r="J30" s="14">
        <f>SUMIF(ENTRADAS!B:B,A:A,ENTRADAS!F:F)</f>
        <v>0</v>
      </c>
      <c r="K30" s="14">
        <f>SUMIF(SAÍDAS!B:B,A:A,SAÍDAS!F:F)</f>
        <v>0</v>
      </c>
      <c r="L30" s="14">
        <f t="shared" si="7"/>
        <v>0</v>
      </c>
      <c r="M30" s="13">
        <f>'SALDO ATUAL'!$G186*'SALDO ATUAL'!$I186</f>
        <v>3425</v>
      </c>
      <c r="N30" s="13">
        <f>'SALDO ATUAL'!$G186*'SALDO ATUAL'!$L186</f>
        <v>7398</v>
      </c>
      <c r="O30" s="14" t="str">
        <f t="shared" si="8"/>
        <v>OK</v>
      </c>
      <c r="P30" s="15">
        <f t="shared" si="9"/>
        <v>0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4" customHeight="1">
      <c r="A31" s="10">
        <v>46</v>
      </c>
      <c r="B31" s="11"/>
      <c r="C31" s="12" t="s">
        <v>78</v>
      </c>
      <c r="D31" s="12" t="s">
        <v>18</v>
      </c>
      <c r="E31" s="11"/>
      <c r="F31" s="11"/>
      <c r="G31" s="13"/>
      <c r="H31" s="14"/>
      <c r="I31" s="14"/>
      <c r="J31" s="14">
        <f>SUMIF(ENTRADAS!B:B,A:A,ENTRADAS!F:F)</f>
        <v>0</v>
      </c>
      <c r="K31" s="14">
        <f>SUMIF(SAÍDAS!B:B,A:A,SAÍDAS!F:F)</f>
        <v>0</v>
      </c>
      <c r="L31" s="14">
        <f t="shared" si="7"/>
        <v>0</v>
      </c>
      <c r="M31" s="13">
        <f>'SALDO ATUAL'!$G165*'SALDO ATUAL'!$I165</f>
        <v>0</v>
      </c>
      <c r="N31" s="13">
        <f>'SALDO ATUAL'!$G165*'SALDO ATUAL'!$L165</f>
        <v>0</v>
      </c>
      <c r="O31" s="14" t="str">
        <f t="shared" si="8"/>
        <v>OK</v>
      </c>
      <c r="P31" s="15">
        <f t="shared" si="9"/>
        <v>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4" customHeight="1">
      <c r="A32" s="10">
        <v>48</v>
      </c>
      <c r="B32" s="11"/>
      <c r="C32" s="12" t="s">
        <v>79</v>
      </c>
      <c r="D32" s="12" t="s">
        <v>30</v>
      </c>
      <c r="E32" s="11"/>
      <c r="F32" s="11"/>
      <c r="G32" s="13"/>
      <c r="H32" s="14">
        <v>1</v>
      </c>
      <c r="I32" s="14"/>
      <c r="J32" s="14">
        <f>SUMIF(ENTRADAS!B:B,A:A,ENTRADAS!F:F)</f>
        <v>0</v>
      </c>
      <c r="K32" s="14">
        <f>SUMIF(SAÍDAS!B:B,A:A,SAÍDAS!F:F)</f>
        <v>0</v>
      </c>
      <c r="L32" s="14">
        <f t="shared" si="7"/>
        <v>1</v>
      </c>
      <c r="M32" s="13">
        <f>'SALDO ATUAL'!$G221*'SALDO ATUAL'!$I221</f>
        <v>0</v>
      </c>
      <c r="N32" s="13">
        <f>'SALDO ATUAL'!$G221*'SALDO ATUAL'!$L221</f>
        <v>0</v>
      </c>
      <c r="O32" s="14" t="str">
        <f t="shared" si="8"/>
        <v>OK</v>
      </c>
      <c r="P32" s="15">
        <f t="shared" si="9"/>
        <v>0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4" customHeight="1">
      <c r="A33" s="10">
        <v>49</v>
      </c>
      <c r="B33" s="11"/>
      <c r="C33" s="12" t="s">
        <v>80</v>
      </c>
      <c r="D33" s="12" t="s">
        <v>30</v>
      </c>
      <c r="E33" s="11" t="s">
        <v>27</v>
      </c>
      <c r="F33" s="11" t="s">
        <v>81</v>
      </c>
      <c r="G33" s="13">
        <v>21.05</v>
      </c>
      <c r="H33" s="14">
        <v>4</v>
      </c>
      <c r="I33" s="14">
        <v>2</v>
      </c>
      <c r="J33" s="14">
        <f>SUMIF(ENTRADAS!B:B,A:A,ENTRADAS!F:F)</f>
        <v>0</v>
      </c>
      <c r="K33" s="14">
        <f>SUMIF(SAÍDAS!B:B,A:A,SAÍDAS!F:F)</f>
        <v>1</v>
      </c>
      <c r="L33" s="14">
        <f t="shared" si="7"/>
        <v>3</v>
      </c>
      <c r="M33" s="13">
        <f>'SALDO ATUAL'!$G155*'SALDO ATUAL'!$I155</f>
        <v>0</v>
      </c>
      <c r="N33" s="13">
        <f>'SALDO ATUAL'!$G155*'SALDO ATUAL'!$L155</f>
        <v>0</v>
      </c>
      <c r="O33" s="14" t="str">
        <f t="shared" si="8"/>
        <v>OK</v>
      </c>
      <c r="P33" s="15">
        <f t="shared" si="9"/>
        <v>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4" customHeight="1">
      <c r="A34" s="10">
        <v>50</v>
      </c>
      <c r="B34" s="11"/>
      <c r="C34" s="12" t="s">
        <v>82</v>
      </c>
      <c r="D34" s="12" t="s">
        <v>26</v>
      </c>
      <c r="E34" s="11" t="s">
        <v>34</v>
      </c>
      <c r="F34" s="11" t="s">
        <v>83</v>
      </c>
      <c r="G34" s="13">
        <v>127</v>
      </c>
      <c r="H34" s="14">
        <v>35</v>
      </c>
      <c r="I34" s="14">
        <v>10</v>
      </c>
      <c r="J34" s="14">
        <f>SUMIF(ENTRADAS!B:B,A:A,ENTRADAS!F:F)</f>
        <v>0</v>
      </c>
      <c r="K34" s="14">
        <f>SUMIF(SAÍDAS!B:B,A:A,SAÍDAS!F:F)</f>
        <v>22</v>
      </c>
      <c r="L34" s="14">
        <f t="shared" si="7"/>
        <v>13</v>
      </c>
      <c r="M34" s="13">
        <f>'SALDO ATUAL'!$G47*'SALDO ATUAL'!$I47</f>
        <v>15.649999999999999</v>
      </c>
      <c r="N34" s="13">
        <f>'SALDO ATUAL'!$G47*'SALDO ATUAL'!$L47</f>
        <v>25.04</v>
      </c>
      <c r="O34" s="14" t="str">
        <f t="shared" si="8"/>
        <v>OK</v>
      </c>
      <c r="P34" s="15">
        <f t="shared" si="9"/>
        <v>0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4" customHeight="1">
      <c r="A35" s="10">
        <v>51</v>
      </c>
      <c r="B35" s="11"/>
      <c r="C35" s="12" t="s">
        <v>84</v>
      </c>
      <c r="D35" s="12" t="s">
        <v>26</v>
      </c>
      <c r="E35" s="11" t="s">
        <v>75</v>
      </c>
      <c r="F35" s="11" t="s">
        <v>85</v>
      </c>
      <c r="G35" s="13">
        <v>117.18</v>
      </c>
      <c r="H35" s="14">
        <v>1</v>
      </c>
      <c r="I35" s="14">
        <v>1</v>
      </c>
      <c r="J35" s="14">
        <f>SUMIF(ENTRADAS!B:B,A:A,ENTRADAS!F:F)</f>
        <v>0</v>
      </c>
      <c r="K35" s="14">
        <f>SUMIF(SAÍDAS!B:B,A:A,SAÍDAS!F:F)</f>
        <v>1</v>
      </c>
      <c r="L35" s="14">
        <f t="shared" si="7"/>
        <v>0</v>
      </c>
      <c r="M35" s="13">
        <f>'SALDO ATUAL'!$G46*'SALDO ATUAL'!$I46</f>
        <v>15.649999999999999</v>
      </c>
      <c r="N35" s="13">
        <f>'SALDO ATUAL'!$G46*'SALDO ATUAL'!$L46</f>
        <v>21.91</v>
      </c>
      <c r="O35" s="14" t="str">
        <f t="shared" si="8"/>
        <v>COMPRAR</v>
      </c>
      <c r="P35" s="15">
        <f t="shared" si="9"/>
        <v>1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4" customHeight="1">
      <c r="A36" s="10">
        <v>52</v>
      </c>
      <c r="B36" s="11"/>
      <c r="C36" s="12" t="s">
        <v>86</v>
      </c>
      <c r="D36" s="12" t="s">
        <v>61</v>
      </c>
      <c r="E36" s="11">
        <v>0</v>
      </c>
      <c r="F36" s="11">
        <v>0</v>
      </c>
      <c r="G36" s="11">
        <v>0</v>
      </c>
      <c r="H36" s="14">
        <v>0</v>
      </c>
      <c r="I36" s="14">
        <v>0</v>
      </c>
      <c r="J36" s="14">
        <f>SUMIF(ENTRADAS!B:B,A:A,ENTRADAS!F:F)</f>
        <v>0</v>
      </c>
      <c r="K36" s="14">
        <f>SUMIF(SAÍDAS!B:B,A:A,SAÍDAS!F:F)</f>
        <v>0</v>
      </c>
      <c r="L36" s="14">
        <f t="shared" si="7"/>
        <v>0</v>
      </c>
      <c r="M36" s="13">
        <f>'SALDO ATUAL'!$G95*'SALDO ATUAL'!$I95</f>
        <v>0</v>
      </c>
      <c r="N36" s="13">
        <f>'SALDO ATUAL'!$G95*'SALDO ATUAL'!$L95</f>
        <v>0</v>
      </c>
      <c r="O36" s="14" t="str">
        <f t="shared" si="8"/>
        <v>OK</v>
      </c>
      <c r="P36" s="15">
        <f t="shared" si="9"/>
        <v>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4" customHeight="1">
      <c r="A37" s="10">
        <v>53</v>
      </c>
      <c r="B37" s="11"/>
      <c r="C37" s="12" t="s">
        <v>87</v>
      </c>
      <c r="D37" s="12" t="s">
        <v>23</v>
      </c>
      <c r="E37" s="11">
        <v>0</v>
      </c>
      <c r="F37" s="11">
        <v>0</v>
      </c>
      <c r="G37" s="11">
        <v>0</v>
      </c>
      <c r="H37" s="14">
        <v>0</v>
      </c>
      <c r="I37" s="14">
        <v>0</v>
      </c>
      <c r="J37" s="14">
        <f>SUMIF(ENTRADAS!B:B,A:A,ENTRADAS!F:F)</f>
        <v>0</v>
      </c>
      <c r="K37" s="14">
        <f>SUMIF(SAÍDAS!B:B,A:A,SAÍDAS!F:F)</f>
        <v>0</v>
      </c>
      <c r="L37" s="14">
        <f t="shared" si="7"/>
        <v>0</v>
      </c>
      <c r="M37" s="13">
        <f>'SALDO ATUAL'!$G267*'SALDO ATUAL'!$I267</f>
        <v>0</v>
      </c>
      <c r="N37" s="13">
        <f>'SALDO ATUAL'!$G267*'SALDO ATUAL'!$L267</f>
        <v>0</v>
      </c>
      <c r="O37" s="14" t="str">
        <f t="shared" si="8"/>
        <v>OK</v>
      </c>
      <c r="P37" s="15">
        <f t="shared" si="9"/>
        <v>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4" customHeight="1">
      <c r="A38" s="10">
        <v>54</v>
      </c>
      <c r="B38" s="11"/>
      <c r="C38" s="12" t="s">
        <v>88</v>
      </c>
      <c r="D38" s="12" t="s">
        <v>89</v>
      </c>
      <c r="E38" s="11">
        <v>0</v>
      </c>
      <c r="F38" s="11">
        <v>0</v>
      </c>
      <c r="G38" s="11">
        <v>0</v>
      </c>
      <c r="H38" s="14">
        <v>0</v>
      </c>
      <c r="I38" s="14">
        <v>0</v>
      </c>
      <c r="J38" s="14">
        <f>SUMIF(ENTRADAS!B:B,A:A,ENTRADAS!F:F)</f>
        <v>0</v>
      </c>
      <c r="K38" s="14">
        <f>SUMIF(SAÍDAS!B:B,A:A,SAÍDAS!F:F)</f>
        <v>0</v>
      </c>
      <c r="L38" s="14">
        <f t="shared" si="7"/>
        <v>0</v>
      </c>
      <c r="M38" s="13">
        <f>'SALDO ATUAL'!$G199*'SALDO ATUAL'!$I199</f>
        <v>0</v>
      </c>
      <c r="N38" s="13">
        <f>'SALDO ATUAL'!$G199*'SALDO ATUAL'!$L199</f>
        <v>0</v>
      </c>
      <c r="O38" s="14" t="str">
        <f t="shared" si="8"/>
        <v>OK</v>
      </c>
      <c r="P38" s="15">
        <f t="shared" si="9"/>
        <v>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4" customHeight="1">
      <c r="A39" s="10">
        <v>55</v>
      </c>
      <c r="B39" s="11"/>
      <c r="C39" s="12" t="s">
        <v>90</v>
      </c>
      <c r="D39" s="12" t="s">
        <v>89</v>
      </c>
      <c r="E39" s="11">
        <v>0</v>
      </c>
      <c r="F39" s="11">
        <v>0</v>
      </c>
      <c r="G39" s="11">
        <v>0</v>
      </c>
      <c r="H39" s="14">
        <v>0</v>
      </c>
      <c r="I39" s="14">
        <v>0</v>
      </c>
      <c r="J39" s="14">
        <f>SUMIF(ENTRADAS!B:B,A:A,ENTRADAS!F:F)</f>
        <v>0</v>
      </c>
      <c r="K39" s="14">
        <f>SUMIF(SAÍDAS!B:B,A:A,SAÍDAS!F:F)</f>
        <v>0</v>
      </c>
      <c r="L39" s="14">
        <f t="shared" si="7"/>
        <v>0</v>
      </c>
      <c r="M39" s="13">
        <f>'SALDO ATUAL'!$G145*'SALDO ATUAL'!$I145</f>
        <v>0</v>
      </c>
      <c r="N39" s="13">
        <f>'SALDO ATUAL'!$G145*'SALDO ATUAL'!$L145</f>
        <v>0</v>
      </c>
      <c r="O39" s="14" t="str">
        <f t="shared" si="8"/>
        <v>OK</v>
      </c>
      <c r="P39" s="15">
        <f t="shared" si="9"/>
        <v>0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4" customHeight="1">
      <c r="A40" s="10">
        <v>56</v>
      </c>
      <c r="B40" s="11"/>
      <c r="C40" s="12" t="s">
        <v>91</v>
      </c>
      <c r="D40" s="12" t="s">
        <v>89</v>
      </c>
      <c r="E40" s="11">
        <v>0</v>
      </c>
      <c r="F40" s="11">
        <v>0</v>
      </c>
      <c r="G40" s="11">
        <v>0</v>
      </c>
      <c r="H40" s="14">
        <v>0</v>
      </c>
      <c r="I40" s="14">
        <v>0</v>
      </c>
      <c r="J40" s="14">
        <f>SUMIF(ENTRADAS!B:B,A:A,ENTRADAS!F:F)</f>
        <v>0</v>
      </c>
      <c r="K40" s="14">
        <f>SUMIF(SAÍDAS!B:B,A:A,SAÍDAS!F:F)</f>
        <v>0</v>
      </c>
      <c r="L40" s="14">
        <f t="shared" si="7"/>
        <v>0</v>
      </c>
      <c r="M40" s="13">
        <f>'SALDO ATUAL'!$G146*'SALDO ATUAL'!$I146</f>
        <v>0</v>
      </c>
      <c r="N40" s="13">
        <f>'SALDO ATUAL'!$G146*'SALDO ATUAL'!$L146</f>
        <v>0</v>
      </c>
      <c r="O40" s="14" t="str">
        <f t="shared" si="8"/>
        <v>OK</v>
      </c>
      <c r="P40" s="15">
        <f t="shared" si="9"/>
        <v>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4" customHeight="1">
      <c r="A41" s="10">
        <v>57</v>
      </c>
      <c r="B41" s="11"/>
      <c r="C41" s="12" t="s">
        <v>92</v>
      </c>
      <c r="D41" s="12" t="s">
        <v>89</v>
      </c>
      <c r="E41" s="11">
        <v>0</v>
      </c>
      <c r="F41" s="11">
        <v>0</v>
      </c>
      <c r="G41" s="11">
        <v>0</v>
      </c>
      <c r="H41" s="14">
        <v>0</v>
      </c>
      <c r="I41" s="14">
        <v>0</v>
      </c>
      <c r="J41" s="14">
        <f>SUMIF(ENTRADAS!B:B,A:A,ENTRADAS!F:F)</f>
        <v>0</v>
      </c>
      <c r="K41" s="14">
        <f>SUMIF(SAÍDAS!B:B,A:A,SAÍDAS!F:F)</f>
        <v>0</v>
      </c>
      <c r="L41" s="14">
        <f t="shared" si="7"/>
        <v>0</v>
      </c>
      <c r="M41" s="13">
        <f>'SALDO ATUAL'!$G197*'SALDO ATUAL'!$I197</f>
        <v>0</v>
      </c>
      <c r="N41" s="13">
        <f>'SALDO ATUAL'!$G197*'SALDO ATUAL'!$L197</f>
        <v>0</v>
      </c>
      <c r="O41" s="14" t="str">
        <f t="shared" si="8"/>
        <v>OK</v>
      </c>
      <c r="P41" s="15">
        <f t="shared" si="9"/>
        <v>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4" customHeight="1">
      <c r="A42" s="10">
        <v>58</v>
      </c>
      <c r="B42" s="11"/>
      <c r="C42" s="12" t="s">
        <v>93</v>
      </c>
      <c r="D42" s="12" t="s">
        <v>89</v>
      </c>
      <c r="E42" s="11" t="s">
        <v>45</v>
      </c>
      <c r="F42" s="11" t="s">
        <v>50</v>
      </c>
      <c r="G42" s="13">
        <v>1086</v>
      </c>
      <c r="H42" s="14">
        <v>48</v>
      </c>
      <c r="I42" s="14">
        <v>20</v>
      </c>
      <c r="J42" s="14">
        <f>SUMIF(ENTRADAS!B:B,A:A,ENTRADAS!F:F)</f>
        <v>0</v>
      </c>
      <c r="K42" s="14">
        <f>SUMIF(SAÍDAS!B:B,A:A,SAÍDAS!F:F)</f>
        <v>6</v>
      </c>
      <c r="L42" s="14">
        <f t="shared" si="7"/>
        <v>42</v>
      </c>
      <c r="M42" s="13">
        <f>'SALDO ATUAL'!$G149*'SALDO ATUAL'!$I149</f>
        <v>0</v>
      </c>
      <c r="N42" s="13">
        <f>'SALDO ATUAL'!$G149*'SALDO ATUAL'!$L149</f>
        <v>0</v>
      </c>
      <c r="O42" s="14" t="str">
        <f t="shared" si="8"/>
        <v>OK</v>
      </c>
      <c r="P42" s="15">
        <f t="shared" si="9"/>
        <v>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4" customHeight="1">
      <c r="A43" s="10">
        <v>60</v>
      </c>
      <c r="B43" s="11"/>
      <c r="C43" s="12" t="s">
        <v>94</v>
      </c>
      <c r="D43" s="12" t="s">
        <v>89</v>
      </c>
      <c r="E43" s="11">
        <v>0</v>
      </c>
      <c r="F43" s="11">
        <v>0</v>
      </c>
      <c r="G43" s="13">
        <v>0</v>
      </c>
      <c r="H43" s="14">
        <v>0</v>
      </c>
      <c r="I43" s="14">
        <v>0</v>
      </c>
      <c r="J43" s="14">
        <f>SUMIF(ENTRADAS!B:B,A:A,ENTRADAS!F:F)</f>
        <v>0</v>
      </c>
      <c r="K43" s="14">
        <f>SUMIF(SAÍDAS!B:B,A:A,SAÍDAS!F:F)</f>
        <v>0</v>
      </c>
      <c r="L43" s="14">
        <f t="shared" si="7"/>
        <v>0</v>
      </c>
      <c r="M43" s="13">
        <f>'SALDO ATUAL'!$G198*'SALDO ATUAL'!$I198</f>
        <v>0</v>
      </c>
      <c r="N43" s="13">
        <f>'SALDO ATUAL'!$G198*'SALDO ATUAL'!$L198</f>
        <v>0</v>
      </c>
      <c r="O43" s="14" t="str">
        <f t="shared" si="8"/>
        <v>OK</v>
      </c>
      <c r="P43" s="15">
        <f t="shared" si="9"/>
        <v>0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4" customHeight="1">
      <c r="A44" s="10">
        <v>62</v>
      </c>
      <c r="B44" s="11"/>
      <c r="C44" s="12" t="s">
        <v>95</v>
      </c>
      <c r="D44" s="12" t="s">
        <v>18</v>
      </c>
      <c r="E44" s="11">
        <v>0</v>
      </c>
      <c r="F44" s="11">
        <v>0</v>
      </c>
      <c r="G44" s="13">
        <v>0</v>
      </c>
      <c r="H44" s="14">
        <v>0</v>
      </c>
      <c r="I44" s="14">
        <v>0</v>
      </c>
      <c r="J44" s="14">
        <f>SUMIF(ENTRADAS!B:B,A:A,ENTRADAS!F:F)</f>
        <v>0</v>
      </c>
      <c r="K44" s="14">
        <f>SUMIF(SAÍDAS!B:B,A:A,SAÍDAS!F:F)</f>
        <v>0</v>
      </c>
      <c r="L44" s="14">
        <f t="shared" si="7"/>
        <v>0</v>
      </c>
      <c r="M44" s="13">
        <f>'SALDO ATUAL'!$G252*'SALDO ATUAL'!$I252</f>
        <v>0</v>
      </c>
      <c r="N44" s="13">
        <f>'SALDO ATUAL'!$G252*'SALDO ATUAL'!$L252</f>
        <v>0</v>
      </c>
      <c r="O44" s="14" t="str">
        <f t="shared" si="8"/>
        <v>OK</v>
      </c>
      <c r="P44" s="15">
        <f t="shared" si="9"/>
        <v>0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4" customHeight="1">
      <c r="A45" s="10">
        <v>63</v>
      </c>
      <c r="B45" s="11"/>
      <c r="C45" s="12" t="s">
        <v>96</v>
      </c>
      <c r="D45" s="12" t="s">
        <v>97</v>
      </c>
      <c r="E45" s="11" t="s">
        <v>19</v>
      </c>
      <c r="F45" s="11" t="s">
        <v>20</v>
      </c>
      <c r="G45" s="13">
        <v>42.3</v>
      </c>
      <c r="H45" s="14">
        <v>20</v>
      </c>
      <c r="I45" s="14">
        <v>4</v>
      </c>
      <c r="J45" s="14">
        <f>SUMIF(ENTRADAS!B:B,A:A,ENTRADAS!F:F)</f>
        <v>0</v>
      </c>
      <c r="K45" s="14">
        <f>SUMIF(SAÍDAS!B:B,A:A,SAÍDAS!F:F)</f>
        <v>4</v>
      </c>
      <c r="L45" s="14">
        <f t="shared" si="7"/>
        <v>16</v>
      </c>
      <c r="M45" s="13">
        <f>'SALDO ATUAL'!$G109*'SALDO ATUAL'!$I109</f>
        <v>0</v>
      </c>
      <c r="N45" s="13">
        <f>'SALDO ATUAL'!$G109*'SALDO ATUAL'!$L109</f>
        <v>0</v>
      </c>
      <c r="O45" s="14" t="str">
        <f t="shared" si="8"/>
        <v>OK</v>
      </c>
      <c r="P45" s="15">
        <f t="shared" si="9"/>
        <v>0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4" customHeight="1">
      <c r="A46" s="10">
        <v>65</v>
      </c>
      <c r="B46" s="11"/>
      <c r="C46" s="12" t="s">
        <v>98</v>
      </c>
      <c r="D46" s="12" t="s">
        <v>30</v>
      </c>
      <c r="E46" s="11" t="s">
        <v>27</v>
      </c>
      <c r="F46" s="11" t="s">
        <v>99</v>
      </c>
      <c r="G46" s="13">
        <v>3.13</v>
      </c>
      <c r="H46" s="14">
        <v>7</v>
      </c>
      <c r="I46" s="14">
        <v>5</v>
      </c>
      <c r="J46" s="14">
        <f>SUMIF(ENTRADAS!B:B,A:A,ENTRADAS!F:F)</f>
        <v>0</v>
      </c>
      <c r="K46" s="14">
        <f>SUMIF(SAÍDAS!B:B,A:A,SAÍDAS!F:F)</f>
        <v>0</v>
      </c>
      <c r="L46" s="14">
        <f t="shared" si="7"/>
        <v>7</v>
      </c>
      <c r="M46" s="13">
        <f>'SALDO ATUAL'!$G174*'SALDO ATUAL'!$I174</f>
        <v>0</v>
      </c>
      <c r="N46" s="13">
        <f>'SALDO ATUAL'!$G174*'SALDO ATUAL'!$L174</f>
        <v>0</v>
      </c>
      <c r="O46" s="14" t="str">
        <f t="shared" si="8"/>
        <v>OK</v>
      </c>
      <c r="P46" s="15">
        <f t="shared" si="9"/>
        <v>0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4" customHeight="1">
      <c r="A47" s="10">
        <v>66</v>
      </c>
      <c r="B47" s="11"/>
      <c r="C47" s="12" t="s">
        <v>100</v>
      </c>
      <c r="D47" s="12" t="s">
        <v>30</v>
      </c>
      <c r="E47" s="11" t="s">
        <v>27</v>
      </c>
      <c r="F47" s="11" t="s">
        <v>99</v>
      </c>
      <c r="G47" s="13">
        <v>3.13</v>
      </c>
      <c r="H47" s="14">
        <v>8</v>
      </c>
      <c r="I47" s="14">
        <v>5</v>
      </c>
      <c r="J47" s="14">
        <f>SUMIF(ENTRADAS!B:B,A:A,ENTRADAS!F:F)</f>
        <v>0</v>
      </c>
      <c r="K47" s="14">
        <f>SUMIF(SAÍDAS!B:B,A:A,SAÍDAS!F:F)</f>
        <v>0</v>
      </c>
      <c r="L47" s="14">
        <f t="shared" si="7"/>
        <v>8</v>
      </c>
      <c r="M47" s="13">
        <f>'SALDO ATUAL'!$G175*'SALDO ATUAL'!$I175</f>
        <v>0</v>
      </c>
      <c r="N47" s="13">
        <f>'SALDO ATUAL'!$G175*'SALDO ATUAL'!$L175</f>
        <v>0</v>
      </c>
      <c r="O47" s="14" t="str">
        <f t="shared" si="8"/>
        <v>OK</v>
      </c>
      <c r="P47" s="15">
        <f t="shared" si="9"/>
        <v>0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4" customHeight="1">
      <c r="A48" s="10">
        <v>67</v>
      </c>
      <c r="B48" s="11"/>
      <c r="C48" s="12" t="s">
        <v>101</v>
      </c>
      <c r="D48" s="12" t="s">
        <v>30</v>
      </c>
      <c r="E48" s="11" t="s">
        <v>27</v>
      </c>
      <c r="F48" s="11" t="s">
        <v>46</v>
      </c>
      <c r="G48" s="13"/>
      <c r="H48" s="14">
        <v>2</v>
      </c>
      <c r="I48" s="14">
        <v>2</v>
      </c>
      <c r="J48" s="14"/>
      <c r="K48" s="14"/>
      <c r="L48" s="14"/>
      <c r="M48" s="13"/>
      <c r="N48" s="13"/>
      <c r="O48" s="14"/>
      <c r="P48" s="15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4" customHeight="1">
      <c r="A49" s="10">
        <v>68</v>
      </c>
      <c r="B49" s="11"/>
      <c r="C49" s="12" t="s">
        <v>102</v>
      </c>
      <c r="D49" s="12" t="s">
        <v>103</v>
      </c>
      <c r="E49" s="11"/>
      <c r="F49" s="11"/>
      <c r="G49" s="13"/>
      <c r="H49" s="14">
        <v>0</v>
      </c>
      <c r="I49" s="14"/>
      <c r="J49" s="14">
        <f>SUMIF(ENTRADAS!B:B,A:A,ENTRADAS!F:F)</f>
        <v>0</v>
      </c>
      <c r="K49" s="14">
        <f>SUMIF(SAÍDAS!B:B,A:A,SAÍDAS!F:F)</f>
        <v>0</v>
      </c>
      <c r="L49" s="14">
        <f t="shared" ref="L49:L52" si="10">H49+J49-K49</f>
        <v>0</v>
      </c>
      <c r="M49" s="13">
        <f>'SALDO ATUAL'!$G141*'SALDO ATUAL'!$I141</f>
        <v>720</v>
      </c>
      <c r="N49" s="13">
        <f>'SALDO ATUAL'!$G141*'SALDO ATUAL'!$L141</f>
        <v>1980</v>
      </c>
      <c r="O49" s="14" t="str">
        <f t="shared" ref="O49:O52" si="11">IF(L49&gt;=I49,"OK","COMPRAR")</f>
        <v>OK</v>
      </c>
      <c r="P49" s="15">
        <f t="shared" ref="P49:P52" si="12">IF(O49="COMPRAR",I49-L49,0)</f>
        <v>0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4" customHeight="1">
      <c r="A50" s="10">
        <v>69</v>
      </c>
      <c r="B50" s="11"/>
      <c r="C50" s="12" t="s">
        <v>104</v>
      </c>
      <c r="D50" s="12" t="s">
        <v>103</v>
      </c>
      <c r="E50" s="11"/>
      <c r="F50" s="11"/>
      <c r="G50" s="13"/>
      <c r="H50" s="14">
        <v>0</v>
      </c>
      <c r="I50" s="14"/>
      <c r="J50" s="14">
        <f>SUMIF(ENTRADAS!B:B,A:A,ENTRADAS!F:F)</f>
        <v>0</v>
      </c>
      <c r="K50" s="14">
        <f>SUMIF(SAÍDAS!B:B,A:A,SAÍDAS!F:F)</f>
        <v>0</v>
      </c>
      <c r="L50" s="14">
        <f t="shared" si="10"/>
        <v>0</v>
      </c>
      <c r="M50" s="13">
        <f>'SALDO ATUAL'!$G142*'SALDO ATUAL'!$I142</f>
        <v>0</v>
      </c>
      <c r="N50" s="13">
        <f>'SALDO ATUAL'!$G142*'SALDO ATUAL'!$L142</f>
        <v>0</v>
      </c>
      <c r="O50" s="14" t="str">
        <f t="shared" si="11"/>
        <v>OK</v>
      </c>
      <c r="P50" s="15">
        <f t="shared" si="12"/>
        <v>0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4" customHeight="1">
      <c r="A51" s="10">
        <v>70</v>
      </c>
      <c r="B51" s="11"/>
      <c r="C51" s="12" t="s">
        <v>105</v>
      </c>
      <c r="D51" s="12" t="s">
        <v>103</v>
      </c>
      <c r="E51" s="11"/>
      <c r="F51" s="11"/>
      <c r="G51" s="13"/>
      <c r="H51" s="14">
        <v>0</v>
      </c>
      <c r="I51" s="14"/>
      <c r="J51" s="14">
        <f>SUMIF(ENTRADAS!B:B,A:A,ENTRADAS!F:F)</f>
        <v>0</v>
      </c>
      <c r="K51" s="14">
        <f>SUMIF(SAÍDAS!B:B,A:A,SAÍDAS!F:F)</f>
        <v>0</v>
      </c>
      <c r="L51" s="14">
        <f t="shared" si="10"/>
        <v>0</v>
      </c>
      <c r="M51" s="13">
        <f>'SALDO ATUAL'!$G140*'SALDO ATUAL'!$I140</f>
        <v>1292.7</v>
      </c>
      <c r="N51" s="13">
        <f>'SALDO ATUAL'!$G140*'SALDO ATUAL'!$L140</f>
        <v>1292.7</v>
      </c>
      <c r="O51" s="14" t="str">
        <f t="shared" si="11"/>
        <v>OK</v>
      </c>
      <c r="P51" s="15">
        <f t="shared" si="12"/>
        <v>0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4" customHeight="1">
      <c r="A52" s="10">
        <v>71</v>
      </c>
      <c r="B52" s="11"/>
      <c r="C52" s="12" t="s">
        <v>106</v>
      </c>
      <c r="D52" s="12" t="s">
        <v>103</v>
      </c>
      <c r="E52" s="11"/>
      <c r="F52" s="11"/>
      <c r="G52" s="13"/>
      <c r="H52" s="14">
        <v>0</v>
      </c>
      <c r="I52" s="14"/>
      <c r="J52" s="14">
        <f>SUMIF(ENTRADAS!B:B,A:A,ENTRADAS!F:F)</f>
        <v>0</v>
      </c>
      <c r="K52" s="14">
        <f>SUMIF(SAÍDAS!B:B,A:A,SAÍDAS!F:F)</f>
        <v>0</v>
      </c>
      <c r="L52" s="14">
        <f t="shared" si="10"/>
        <v>0</v>
      </c>
      <c r="M52" s="13">
        <f>'SALDO ATUAL'!$G132*'SALDO ATUAL'!$I132</f>
        <v>0</v>
      </c>
      <c r="N52" s="13">
        <f>'SALDO ATUAL'!$G132*'SALDO ATUAL'!$L132</f>
        <v>0</v>
      </c>
      <c r="O52" s="14" t="str">
        <f t="shared" si="11"/>
        <v>OK</v>
      </c>
      <c r="P52" s="15">
        <f t="shared" si="12"/>
        <v>0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4" customHeight="1">
      <c r="A53" s="10">
        <v>72</v>
      </c>
      <c r="B53" s="11"/>
      <c r="C53" s="12" t="s">
        <v>107</v>
      </c>
      <c r="D53" s="12" t="s">
        <v>103</v>
      </c>
      <c r="E53" s="11" t="s">
        <v>27</v>
      </c>
      <c r="F53" s="11" t="s">
        <v>108</v>
      </c>
      <c r="G53" s="13">
        <v>13.99</v>
      </c>
      <c r="H53" s="14">
        <v>5</v>
      </c>
      <c r="I53" s="14">
        <v>3</v>
      </c>
      <c r="J53" s="14"/>
      <c r="K53" s="14"/>
      <c r="L53" s="14"/>
      <c r="M53" s="13"/>
      <c r="N53" s="13"/>
      <c r="O53" s="14"/>
      <c r="P53" s="15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4" customHeight="1">
      <c r="A54" s="10">
        <v>73</v>
      </c>
      <c r="B54" s="11"/>
      <c r="C54" s="12" t="s">
        <v>109</v>
      </c>
      <c r="D54" s="12" t="s">
        <v>103</v>
      </c>
      <c r="E54" s="11" t="s">
        <v>27</v>
      </c>
      <c r="F54" s="11" t="s">
        <v>108</v>
      </c>
      <c r="G54" s="13">
        <v>13.99</v>
      </c>
      <c r="H54" s="14">
        <v>6</v>
      </c>
      <c r="I54" s="14">
        <v>3</v>
      </c>
      <c r="J54" s="14">
        <f>SUMIF(ENTRADAS!B:B,A:A,ENTRADAS!F:F)</f>
        <v>0</v>
      </c>
      <c r="K54" s="14">
        <f>SUMIF(SAÍDAS!B:B,A:A,SAÍDAS!F:F)</f>
        <v>2</v>
      </c>
      <c r="L54" s="14">
        <f t="shared" ref="L54:L106" si="13">H54+J54-K54</f>
        <v>4</v>
      </c>
      <c r="M54" s="13">
        <f>'SALDO ATUAL'!$G133*'SALDO ATUAL'!$I133</f>
        <v>0</v>
      </c>
      <c r="N54" s="13">
        <f>'SALDO ATUAL'!$G133*'SALDO ATUAL'!$L133</f>
        <v>0</v>
      </c>
      <c r="O54" s="14" t="str">
        <f t="shared" ref="O54:O106" si="14">IF(L54&gt;=I54,"OK","COMPRAR")</f>
        <v>OK</v>
      </c>
      <c r="P54" s="15">
        <f t="shared" ref="P54:P106" si="15">IF(O54="COMPRAR",I54-L54,0)</f>
        <v>0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4" customHeight="1">
      <c r="A55" s="10">
        <v>74</v>
      </c>
      <c r="B55" s="11"/>
      <c r="C55" s="12" t="s">
        <v>110</v>
      </c>
      <c r="D55" s="12" t="s">
        <v>103</v>
      </c>
      <c r="E55" s="11"/>
      <c r="F55" s="11"/>
      <c r="G55" s="13"/>
      <c r="H55" s="14">
        <v>0</v>
      </c>
      <c r="I55" s="14"/>
      <c r="J55" s="14">
        <f>SUMIF(ENTRADAS!B:B,A:A,ENTRADAS!F:F)</f>
        <v>0</v>
      </c>
      <c r="K55" s="14">
        <f>SUMIF(SAÍDAS!B:B,A:A,SAÍDAS!F:F)</f>
        <v>0</v>
      </c>
      <c r="L55" s="14">
        <f t="shared" si="13"/>
        <v>0</v>
      </c>
      <c r="M55" s="13">
        <f>'SALDO ATUAL'!$G195*'SALDO ATUAL'!$I195</f>
        <v>0</v>
      </c>
      <c r="N55" s="13">
        <f>'SALDO ATUAL'!$G195*'SALDO ATUAL'!$L195</f>
        <v>0</v>
      </c>
      <c r="O55" s="14" t="str">
        <f t="shared" si="14"/>
        <v>OK</v>
      </c>
      <c r="P55" s="15">
        <f t="shared" si="15"/>
        <v>0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4" customHeight="1">
      <c r="A56" s="10">
        <v>75</v>
      </c>
      <c r="B56" s="11"/>
      <c r="C56" s="12" t="s">
        <v>111</v>
      </c>
      <c r="D56" s="12" t="s">
        <v>103</v>
      </c>
      <c r="E56" s="11"/>
      <c r="F56" s="11"/>
      <c r="G56" s="13"/>
      <c r="H56" s="14">
        <v>0</v>
      </c>
      <c r="I56" s="14"/>
      <c r="J56" s="14">
        <f>SUMIF(ENTRADAS!B:B,A:A,ENTRADAS!F:F)</f>
        <v>0</v>
      </c>
      <c r="K56" s="14">
        <f>SUMIF(SAÍDAS!B:B,A:A,SAÍDAS!F:F)</f>
        <v>0</v>
      </c>
      <c r="L56" s="14">
        <f t="shared" si="13"/>
        <v>0</v>
      </c>
      <c r="M56" s="13">
        <f>'SALDO ATUAL'!$G134*'SALDO ATUAL'!$I134</f>
        <v>0</v>
      </c>
      <c r="N56" s="13">
        <f>'SALDO ATUAL'!$G134*'SALDO ATUAL'!$L134</f>
        <v>0</v>
      </c>
      <c r="O56" s="14" t="str">
        <f t="shared" si="14"/>
        <v>OK</v>
      </c>
      <c r="P56" s="15">
        <f t="shared" si="15"/>
        <v>0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4" customHeight="1">
      <c r="A57" s="10">
        <v>76</v>
      </c>
      <c r="B57" s="11"/>
      <c r="C57" s="12" t="s">
        <v>112</v>
      </c>
      <c r="D57" s="12" t="s">
        <v>103</v>
      </c>
      <c r="E57" s="11"/>
      <c r="F57" s="11"/>
      <c r="G57" s="13"/>
      <c r="H57" s="14">
        <v>0</v>
      </c>
      <c r="I57" s="14"/>
      <c r="J57" s="14">
        <f>SUMIF(ENTRADAS!B:B,A:A,ENTRADAS!F:F)</f>
        <v>0</v>
      </c>
      <c r="K57" s="14">
        <f>SUMIF(SAÍDAS!B:B,A:A,SAÍDAS!F:F)</f>
        <v>0</v>
      </c>
      <c r="L57" s="14">
        <f t="shared" si="13"/>
        <v>0</v>
      </c>
      <c r="M57" s="13">
        <f>'SALDO ATUAL'!$G136*'SALDO ATUAL'!$I136</f>
        <v>0</v>
      </c>
      <c r="N57" s="13">
        <f>'SALDO ATUAL'!$G136*'SALDO ATUAL'!$L136</f>
        <v>0</v>
      </c>
      <c r="O57" s="14" t="str">
        <f t="shared" si="14"/>
        <v>OK</v>
      </c>
      <c r="P57" s="15">
        <f t="shared" si="15"/>
        <v>0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4" customHeight="1">
      <c r="A58" s="10">
        <v>78</v>
      </c>
      <c r="B58" s="11"/>
      <c r="C58" s="12" t="s">
        <v>113</v>
      </c>
      <c r="D58" s="12" t="s">
        <v>26</v>
      </c>
      <c r="E58" s="11"/>
      <c r="F58" s="11"/>
      <c r="G58" s="13"/>
      <c r="H58" s="14">
        <v>0</v>
      </c>
      <c r="I58" s="14"/>
      <c r="J58" s="14">
        <f>SUMIF(ENTRADAS!B:B,A:A,ENTRADAS!F:F)</f>
        <v>0</v>
      </c>
      <c r="K58" s="14">
        <f>SUMIF(SAÍDAS!B:B,A:A,SAÍDAS!F:F)</f>
        <v>0</v>
      </c>
      <c r="L58" s="14">
        <f t="shared" si="13"/>
        <v>0</v>
      </c>
      <c r="M58" s="13">
        <f>'SALDO ATUAL'!$G32*'SALDO ATUAL'!$I32</f>
        <v>0</v>
      </c>
      <c r="N58" s="13">
        <f>'SALDO ATUAL'!$G32*'SALDO ATUAL'!$L32</f>
        <v>0</v>
      </c>
      <c r="O58" s="14" t="str">
        <f t="shared" si="14"/>
        <v>OK</v>
      </c>
      <c r="P58" s="15">
        <f t="shared" si="15"/>
        <v>0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4" customHeight="1">
      <c r="A59" s="10">
        <v>79</v>
      </c>
      <c r="B59" s="11"/>
      <c r="C59" s="12" t="s">
        <v>114</v>
      </c>
      <c r="D59" s="12" t="s">
        <v>69</v>
      </c>
      <c r="E59" s="11" t="s">
        <v>115</v>
      </c>
      <c r="F59" s="11" t="s">
        <v>116</v>
      </c>
      <c r="G59" s="13">
        <v>50.6</v>
      </c>
      <c r="H59" s="14">
        <v>0</v>
      </c>
      <c r="I59" s="14"/>
      <c r="J59" s="14">
        <f>SUMIF(ENTRADAS!B:B,A:A,ENTRADAS!F:F)</f>
        <v>0</v>
      </c>
      <c r="K59" s="14">
        <f>SUMIF(SAÍDAS!B:B,A:A,SAÍDAS!F:F)</f>
        <v>0</v>
      </c>
      <c r="L59" s="14">
        <f t="shared" si="13"/>
        <v>0</v>
      </c>
      <c r="M59" s="13">
        <f>'SALDO ATUAL'!$G128*'SALDO ATUAL'!$I128</f>
        <v>0</v>
      </c>
      <c r="N59" s="13">
        <f>'SALDO ATUAL'!$G128*'SALDO ATUAL'!$L128</f>
        <v>0</v>
      </c>
      <c r="O59" s="14" t="str">
        <f t="shared" si="14"/>
        <v>OK</v>
      </c>
      <c r="P59" s="15">
        <f t="shared" si="15"/>
        <v>0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4" customHeight="1">
      <c r="A60" s="10">
        <v>80</v>
      </c>
      <c r="B60" s="11"/>
      <c r="C60" s="12" t="s">
        <v>117</v>
      </c>
      <c r="D60" s="12" t="s">
        <v>18</v>
      </c>
      <c r="E60" s="11" t="s">
        <v>118</v>
      </c>
      <c r="F60" s="11" t="s">
        <v>20</v>
      </c>
      <c r="G60" s="13"/>
      <c r="H60" s="14">
        <v>2</v>
      </c>
      <c r="I60" s="14">
        <v>4</v>
      </c>
      <c r="J60" s="14">
        <f>SUMIF(ENTRADAS!B:B,A:A,ENTRADAS!F:F)</f>
        <v>6</v>
      </c>
      <c r="K60" s="14">
        <f>SUMIF(SAÍDAS!B:B,A:A,SAÍDAS!F:F)</f>
        <v>5</v>
      </c>
      <c r="L60" s="14">
        <f t="shared" si="13"/>
        <v>3</v>
      </c>
      <c r="M60" s="13">
        <f>'SALDO ATUAL'!$G276*'SALDO ATUAL'!$I276</f>
        <v>0</v>
      </c>
      <c r="N60" s="13">
        <f>'SALDO ATUAL'!$G276*'SALDO ATUAL'!$L276</f>
        <v>0</v>
      </c>
      <c r="O60" s="14" t="str">
        <f t="shared" si="14"/>
        <v>COMPRAR</v>
      </c>
      <c r="P60" s="15">
        <f t="shared" si="15"/>
        <v>1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4" customHeight="1">
      <c r="A61" s="10">
        <v>81</v>
      </c>
      <c r="B61" s="11"/>
      <c r="C61" s="12" t="s">
        <v>119</v>
      </c>
      <c r="D61" s="12" t="s">
        <v>23</v>
      </c>
      <c r="E61" s="11" t="s">
        <v>45</v>
      </c>
      <c r="F61" s="11" t="s">
        <v>120</v>
      </c>
      <c r="G61" s="13">
        <v>5.95</v>
      </c>
      <c r="H61" s="14">
        <v>6</v>
      </c>
      <c r="I61" s="14">
        <v>4</v>
      </c>
      <c r="J61" s="14">
        <f>SUMIF(ENTRADAS!B:B,A:A,ENTRADAS!F:F)</f>
        <v>0</v>
      </c>
      <c r="K61" s="14">
        <f>SUMIF(SAÍDAS!B:B,A:A,SAÍDAS!F:F)</f>
        <v>0</v>
      </c>
      <c r="L61" s="14">
        <f t="shared" si="13"/>
        <v>6</v>
      </c>
      <c r="M61" s="13">
        <f>'SALDO ATUAL'!$G167*'SALDO ATUAL'!$I167</f>
        <v>0</v>
      </c>
      <c r="N61" s="13">
        <f>'SALDO ATUAL'!$G167*'SALDO ATUAL'!$L167</f>
        <v>0</v>
      </c>
      <c r="O61" s="14" t="str">
        <f t="shared" si="14"/>
        <v>OK</v>
      </c>
      <c r="P61" s="15">
        <f t="shared" si="15"/>
        <v>0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4" customHeight="1">
      <c r="A62" s="10">
        <v>82</v>
      </c>
      <c r="B62" s="11"/>
      <c r="C62" s="12" t="s">
        <v>121</v>
      </c>
      <c r="D62" s="12" t="s">
        <v>23</v>
      </c>
      <c r="E62" s="11" t="s">
        <v>45</v>
      </c>
      <c r="F62" s="11" t="s">
        <v>120</v>
      </c>
      <c r="G62" s="13">
        <v>4.95</v>
      </c>
      <c r="H62" s="14">
        <v>24</v>
      </c>
      <c r="I62" s="14">
        <v>10</v>
      </c>
      <c r="J62" s="14">
        <f>SUMIF(ENTRADAS!B:B,A:A,ENTRADAS!F:F)</f>
        <v>0</v>
      </c>
      <c r="K62" s="14">
        <f>SUMIF(SAÍDAS!B:B,A:A,SAÍDAS!F:F)</f>
        <v>0</v>
      </c>
      <c r="L62" s="14">
        <f t="shared" si="13"/>
        <v>24</v>
      </c>
      <c r="M62" s="13">
        <f>'SALDO ATUAL'!$G22*'SALDO ATUAL'!$I22</f>
        <v>0</v>
      </c>
      <c r="N62" s="13">
        <f>'SALDO ATUAL'!$G22*'SALDO ATUAL'!$L22</f>
        <v>0</v>
      </c>
      <c r="O62" s="14" t="str">
        <f t="shared" si="14"/>
        <v>OK</v>
      </c>
      <c r="P62" s="15">
        <f t="shared" si="15"/>
        <v>0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4" customHeight="1">
      <c r="A63" s="10">
        <v>83</v>
      </c>
      <c r="B63" s="11"/>
      <c r="C63" s="12" t="s">
        <v>122</v>
      </c>
      <c r="D63" s="12" t="s">
        <v>23</v>
      </c>
      <c r="E63" s="11" t="s">
        <v>45</v>
      </c>
      <c r="F63" s="11" t="s">
        <v>120</v>
      </c>
      <c r="G63" s="13">
        <v>3.25</v>
      </c>
      <c r="H63" s="14">
        <v>16</v>
      </c>
      <c r="I63" s="14">
        <v>10</v>
      </c>
      <c r="J63" s="14">
        <f>SUMIF(ENTRADAS!B:B,A:A,ENTRADAS!F:F)</f>
        <v>0</v>
      </c>
      <c r="K63" s="14">
        <f>SUMIF(SAÍDAS!B:B,A:A,SAÍDAS!F:F)</f>
        <v>8</v>
      </c>
      <c r="L63" s="14">
        <f t="shared" si="13"/>
        <v>8</v>
      </c>
      <c r="M63" s="13">
        <f>'SALDO ATUAL'!$G191*'SALDO ATUAL'!$I191</f>
        <v>0</v>
      </c>
      <c r="N63" s="13">
        <f>'SALDO ATUAL'!$G191*'SALDO ATUAL'!$L191</f>
        <v>0</v>
      </c>
      <c r="O63" s="14" t="str">
        <f t="shared" si="14"/>
        <v>COMPRAR</v>
      </c>
      <c r="P63" s="15">
        <f t="shared" si="15"/>
        <v>2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4" customHeight="1">
      <c r="A64" s="10">
        <v>84</v>
      </c>
      <c r="B64" s="11"/>
      <c r="C64" s="12" t="s">
        <v>123</v>
      </c>
      <c r="D64" s="12" t="s">
        <v>30</v>
      </c>
      <c r="E64" s="11" t="s">
        <v>27</v>
      </c>
      <c r="F64" s="11" t="s">
        <v>124</v>
      </c>
      <c r="G64" s="13">
        <v>9.98</v>
      </c>
      <c r="H64" s="14">
        <v>8</v>
      </c>
      <c r="I64" s="14">
        <v>10</v>
      </c>
      <c r="J64" s="14">
        <f>SUMIF(ENTRADAS!B:B,A:A,ENTRADAS!F:F)</f>
        <v>10</v>
      </c>
      <c r="K64" s="14">
        <f>SUMIF(SAÍDAS!B:B,A:A,SAÍDAS!F:F)</f>
        <v>7</v>
      </c>
      <c r="L64" s="14">
        <f t="shared" si="13"/>
        <v>11</v>
      </c>
      <c r="M64" s="13">
        <f>'SALDO ATUAL'!$G161*'SALDO ATUAL'!$I161</f>
        <v>0</v>
      </c>
      <c r="N64" s="13">
        <f>'SALDO ATUAL'!$G161*'SALDO ATUAL'!$L161</f>
        <v>0</v>
      </c>
      <c r="O64" s="14" t="str">
        <f t="shared" si="14"/>
        <v>OK</v>
      </c>
      <c r="P64" s="15">
        <f t="shared" si="15"/>
        <v>0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4" customHeight="1">
      <c r="A65" s="10">
        <v>85</v>
      </c>
      <c r="B65" s="11"/>
      <c r="C65" s="12" t="s">
        <v>125</v>
      </c>
      <c r="D65" s="12" t="s">
        <v>18</v>
      </c>
      <c r="E65" s="11" t="s">
        <v>118</v>
      </c>
      <c r="F65" s="11" t="s">
        <v>20</v>
      </c>
      <c r="G65" s="13">
        <v>226.5</v>
      </c>
      <c r="H65" s="14">
        <v>7</v>
      </c>
      <c r="I65" s="14">
        <v>4</v>
      </c>
      <c r="J65" s="14">
        <f>SUMIF(ENTRADAS!B:B,A:A,ENTRADAS!F:F)</f>
        <v>0</v>
      </c>
      <c r="K65" s="14">
        <f>SUMIF(SAÍDAS!B:B,A:A,SAÍDAS!F:F)</f>
        <v>3</v>
      </c>
      <c r="L65" s="14">
        <f t="shared" si="13"/>
        <v>4</v>
      </c>
      <c r="M65" s="13">
        <f>'SALDO ATUAL'!$G285*'SALDO ATUAL'!$I285</f>
        <v>46.56</v>
      </c>
      <c r="N65" s="13">
        <f>'SALDO ATUAL'!$G285*'SALDO ATUAL'!$L285</f>
        <v>744.96</v>
      </c>
      <c r="O65" s="14" t="str">
        <f t="shared" si="14"/>
        <v>OK</v>
      </c>
      <c r="P65" s="15">
        <f t="shared" si="15"/>
        <v>0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4" customHeight="1">
      <c r="A66" s="10">
        <v>86</v>
      </c>
      <c r="B66" s="11"/>
      <c r="C66" s="12" t="s">
        <v>126</v>
      </c>
      <c r="D66" s="12" t="s">
        <v>73</v>
      </c>
      <c r="E66" s="11"/>
      <c r="F66" s="11"/>
      <c r="G66" s="13"/>
      <c r="H66" s="14"/>
      <c r="I66" s="14"/>
      <c r="J66" s="14">
        <f>SUMIF(ENTRADAS!B:B,A:A,ENTRADAS!F:F)</f>
        <v>0</v>
      </c>
      <c r="K66" s="14">
        <f>SUMIF(SAÍDAS!B:B,A:A,SAÍDAS!F:F)</f>
        <v>0</v>
      </c>
      <c r="L66" s="14">
        <f t="shared" si="13"/>
        <v>0</v>
      </c>
      <c r="M66" s="13">
        <f>'SALDO ATUAL'!$G294*'SALDO ATUAL'!$I294</f>
        <v>0</v>
      </c>
      <c r="N66" s="13">
        <f>'SALDO ATUAL'!$G294*'SALDO ATUAL'!$L294</f>
        <v>0</v>
      </c>
      <c r="O66" s="14" t="str">
        <f t="shared" si="14"/>
        <v>OK</v>
      </c>
      <c r="P66" s="15">
        <f t="shared" si="15"/>
        <v>0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4" customHeight="1">
      <c r="A67" s="10">
        <v>87</v>
      </c>
      <c r="B67" s="11"/>
      <c r="C67" s="12" t="s">
        <v>127</v>
      </c>
      <c r="D67" s="12" t="s">
        <v>18</v>
      </c>
      <c r="E67" s="11"/>
      <c r="F67" s="11"/>
      <c r="G67" s="13"/>
      <c r="H67" s="14">
        <v>0</v>
      </c>
      <c r="I67" s="14"/>
      <c r="J67" s="17">
        <f>SUMIF(ENTRADAS!B:B,A:A,ENTRADAS!F:F)</f>
        <v>0</v>
      </c>
      <c r="K67" s="14">
        <f>SUMIF(SAÍDAS!B:B,A:A,SAÍDAS!F:F)</f>
        <v>0</v>
      </c>
      <c r="L67" s="14">
        <f t="shared" si="13"/>
        <v>0</v>
      </c>
      <c r="M67" s="13">
        <f>'SALDO ATUAL'!$G253*'SALDO ATUAL'!$I253</f>
        <v>0</v>
      </c>
      <c r="N67" s="13">
        <f>'SALDO ATUAL'!$G253*'SALDO ATUAL'!$L253</f>
        <v>0</v>
      </c>
      <c r="O67" s="14" t="str">
        <f t="shared" si="14"/>
        <v>OK</v>
      </c>
      <c r="P67" s="15">
        <f t="shared" si="15"/>
        <v>0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4" customHeight="1">
      <c r="A68" s="10">
        <v>88</v>
      </c>
      <c r="B68" s="11"/>
      <c r="C68" s="12" t="s">
        <v>128</v>
      </c>
      <c r="D68" s="12" t="s">
        <v>30</v>
      </c>
      <c r="E68" s="11"/>
      <c r="F68" s="11"/>
      <c r="G68" s="13"/>
      <c r="H68" s="14">
        <v>0</v>
      </c>
      <c r="I68" s="14"/>
      <c r="J68" s="14">
        <f>SUMIF(ENTRADAS!B:B,A:A,ENTRADAS!F:F)</f>
        <v>0</v>
      </c>
      <c r="K68" s="14">
        <f>SUMIF(SAÍDAS!B:B,A:A,SAÍDAS!F:F)</f>
        <v>0</v>
      </c>
      <c r="L68" s="14">
        <f t="shared" si="13"/>
        <v>0</v>
      </c>
      <c r="M68" s="13">
        <f>'SALDO ATUAL'!$G245*'SALDO ATUAL'!$I245</f>
        <v>0</v>
      </c>
      <c r="N68" s="13">
        <f>'SALDO ATUAL'!$G245*'SALDO ATUAL'!$L245</f>
        <v>0</v>
      </c>
      <c r="O68" s="14" t="str">
        <f t="shared" si="14"/>
        <v>OK</v>
      </c>
      <c r="P68" s="15">
        <f t="shared" si="15"/>
        <v>0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4" customHeight="1">
      <c r="A69" s="10">
        <v>89</v>
      </c>
      <c r="B69" s="11"/>
      <c r="C69" s="12" t="s">
        <v>129</v>
      </c>
      <c r="D69" s="12" t="s">
        <v>30</v>
      </c>
      <c r="E69" s="11" t="s">
        <v>27</v>
      </c>
      <c r="F69" s="11" t="s">
        <v>130</v>
      </c>
      <c r="G69" s="13">
        <v>55</v>
      </c>
      <c r="H69" s="14">
        <v>9</v>
      </c>
      <c r="I69" s="14">
        <v>7</v>
      </c>
      <c r="J69" s="14">
        <f>SUMIF(ENTRADAS!B:B,A:A,ENTRADAS!F:F)</f>
        <v>3</v>
      </c>
      <c r="K69" s="14">
        <f>SUMIF(SAÍDAS!B:B,A:A,SAÍDAS!F:F)</f>
        <v>7</v>
      </c>
      <c r="L69" s="14">
        <f t="shared" si="13"/>
        <v>5</v>
      </c>
      <c r="M69" s="13">
        <f>'SALDO ATUAL'!$G250*'SALDO ATUAL'!$I250</f>
        <v>129.60000000000002</v>
      </c>
      <c r="N69" s="13">
        <f>'SALDO ATUAL'!$G250*'SALDO ATUAL'!$L250</f>
        <v>367.20000000000005</v>
      </c>
      <c r="O69" s="14" t="str">
        <f t="shared" si="14"/>
        <v>COMPRAR</v>
      </c>
      <c r="P69" s="15">
        <f t="shared" si="15"/>
        <v>2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4" customHeight="1">
      <c r="A70" s="10">
        <v>90</v>
      </c>
      <c r="B70" s="11"/>
      <c r="C70" s="12" t="s">
        <v>131</v>
      </c>
      <c r="D70" s="12" t="s">
        <v>30</v>
      </c>
      <c r="E70" s="11"/>
      <c r="F70" s="11"/>
      <c r="G70" s="13"/>
      <c r="H70" s="14">
        <v>0</v>
      </c>
      <c r="I70" s="14"/>
      <c r="J70" s="14">
        <f>SUMIF(ENTRADAS!B:B,A:A,ENTRADAS!F:F)</f>
        <v>0</v>
      </c>
      <c r="K70" s="14">
        <f>SUMIF(SAÍDAS!B:B,A:A,SAÍDAS!F:F)</f>
        <v>0</v>
      </c>
      <c r="L70" s="14">
        <f t="shared" si="13"/>
        <v>0</v>
      </c>
      <c r="M70" s="13">
        <f>'SALDO ATUAL'!$G160*'SALDO ATUAL'!$I160</f>
        <v>0</v>
      </c>
      <c r="N70" s="13">
        <f>'SALDO ATUAL'!$G160*'SALDO ATUAL'!$L160</f>
        <v>0</v>
      </c>
      <c r="O70" s="14" t="str">
        <f t="shared" si="14"/>
        <v>OK</v>
      </c>
      <c r="P70" s="15">
        <f t="shared" si="15"/>
        <v>0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4" customHeight="1">
      <c r="A71" s="10">
        <v>91</v>
      </c>
      <c r="B71" s="11"/>
      <c r="C71" s="12" t="s">
        <v>132</v>
      </c>
      <c r="D71" s="12" t="s">
        <v>30</v>
      </c>
      <c r="E71" s="11" t="s">
        <v>27</v>
      </c>
      <c r="F71" s="11" t="s">
        <v>133</v>
      </c>
      <c r="G71" s="13"/>
      <c r="H71" s="14">
        <v>120</v>
      </c>
      <c r="I71" s="14">
        <v>20</v>
      </c>
      <c r="J71" s="14">
        <f>SUMIF(ENTRADAS!B:B,A:A,ENTRADAS!F:F)</f>
        <v>0</v>
      </c>
      <c r="K71" s="14">
        <f>SUMIF(SAÍDAS!B:B,A:A,SAÍDAS!F:F)</f>
        <v>0</v>
      </c>
      <c r="L71" s="14">
        <f t="shared" si="13"/>
        <v>120</v>
      </c>
      <c r="M71" s="13">
        <f>'SALDO ATUAL'!$G177*'SALDO ATUAL'!$I177</f>
        <v>0</v>
      </c>
      <c r="N71" s="13">
        <f>'SALDO ATUAL'!$G177*'SALDO ATUAL'!$L177</f>
        <v>0</v>
      </c>
      <c r="O71" s="14" t="str">
        <f t="shared" si="14"/>
        <v>OK</v>
      </c>
      <c r="P71" s="15">
        <f t="shared" si="15"/>
        <v>0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4" customHeight="1">
      <c r="A72" s="10">
        <v>93</v>
      </c>
      <c r="B72" s="11"/>
      <c r="C72" s="12" t="s">
        <v>134</v>
      </c>
      <c r="D72" s="12" t="s">
        <v>30</v>
      </c>
      <c r="E72" s="11" t="s">
        <v>27</v>
      </c>
      <c r="F72" s="11" t="s">
        <v>135</v>
      </c>
      <c r="G72" s="13"/>
      <c r="H72" s="14">
        <v>1</v>
      </c>
      <c r="I72" s="14">
        <v>2</v>
      </c>
      <c r="J72" s="14">
        <f>SUMIF(ENTRADAS!B:B,A:A,ENTRADAS!F:F)</f>
        <v>0</v>
      </c>
      <c r="K72" s="14">
        <f>SUMIF(SAÍDAS!B:B,A:A,SAÍDAS!F:F)</f>
        <v>1</v>
      </c>
      <c r="L72" s="14">
        <f t="shared" si="13"/>
        <v>0</v>
      </c>
      <c r="M72" s="13">
        <f>'SALDO ATUAL'!$G163*'SALDO ATUAL'!$I163</f>
        <v>0</v>
      </c>
      <c r="N72" s="13">
        <f>'SALDO ATUAL'!$G163*'SALDO ATUAL'!$L163</f>
        <v>0</v>
      </c>
      <c r="O72" s="14" t="str">
        <f t="shared" si="14"/>
        <v>COMPRAR</v>
      </c>
      <c r="P72" s="15">
        <f t="shared" si="15"/>
        <v>2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4" customHeight="1">
      <c r="A73" s="10">
        <v>94</v>
      </c>
      <c r="B73" s="11"/>
      <c r="C73" s="12" t="s">
        <v>136</v>
      </c>
      <c r="D73" s="12" t="s">
        <v>137</v>
      </c>
      <c r="E73" s="11" t="s">
        <v>75</v>
      </c>
      <c r="F73" s="11" t="s">
        <v>138</v>
      </c>
      <c r="G73" s="13">
        <v>200</v>
      </c>
      <c r="H73" s="14">
        <v>40</v>
      </c>
      <c r="I73" s="14">
        <v>20</v>
      </c>
      <c r="J73" s="14">
        <f>SUMIF(ENTRADAS!B:B,A:A,ENTRADAS!F:F)</f>
        <v>0</v>
      </c>
      <c r="K73" s="14">
        <f>SUMIF(SAÍDAS!B:B,A:A,SAÍDAS!F:F)</f>
        <v>13</v>
      </c>
      <c r="L73" s="14">
        <f t="shared" si="13"/>
        <v>27</v>
      </c>
      <c r="M73" s="13">
        <f>'SALDO ATUAL'!$G61*'SALDO ATUAL'!$I61</f>
        <v>23.8</v>
      </c>
      <c r="N73" s="13">
        <f>'SALDO ATUAL'!$G61*'SALDO ATUAL'!$L61</f>
        <v>35.700000000000003</v>
      </c>
      <c r="O73" s="14" t="str">
        <f t="shared" si="14"/>
        <v>OK</v>
      </c>
      <c r="P73" s="15">
        <f t="shared" si="15"/>
        <v>0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4" customHeight="1">
      <c r="A74" s="10">
        <v>95</v>
      </c>
      <c r="B74" s="11"/>
      <c r="C74" s="12" t="s">
        <v>139</v>
      </c>
      <c r="D74" s="12" t="s">
        <v>137</v>
      </c>
      <c r="E74" s="11" t="s">
        <v>75</v>
      </c>
      <c r="F74" s="11" t="s">
        <v>138</v>
      </c>
      <c r="G74" s="13">
        <v>60</v>
      </c>
      <c r="H74" s="14">
        <v>27</v>
      </c>
      <c r="I74" s="14">
        <v>20</v>
      </c>
      <c r="J74" s="14">
        <f>SUMIF(ENTRADAS!B:B,A:A,ENTRADAS!F:F)</f>
        <v>0</v>
      </c>
      <c r="K74" s="14">
        <f>SUMIF(SAÍDAS!B:B,A:A,SAÍDAS!F:F)</f>
        <v>9</v>
      </c>
      <c r="L74" s="14">
        <f t="shared" si="13"/>
        <v>18</v>
      </c>
      <c r="M74" s="13">
        <f>'SALDO ATUAL'!$G58*'SALDO ATUAL'!$I58</f>
        <v>0</v>
      </c>
      <c r="N74" s="13">
        <f>'SALDO ATUAL'!$G58*'SALDO ATUAL'!$L58</f>
        <v>0</v>
      </c>
      <c r="O74" s="14" t="str">
        <f t="shared" si="14"/>
        <v>COMPRAR</v>
      </c>
      <c r="P74" s="15">
        <f t="shared" si="15"/>
        <v>2</v>
      </c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4" customHeight="1">
      <c r="A75" s="10">
        <v>95</v>
      </c>
      <c r="B75" s="11"/>
      <c r="C75" s="12" t="s">
        <v>140</v>
      </c>
      <c r="D75" s="12" t="s">
        <v>137</v>
      </c>
      <c r="E75" s="11" t="s">
        <v>75</v>
      </c>
      <c r="F75" s="11" t="s">
        <v>138</v>
      </c>
      <c r="G75" s="13">
        <v>200</v>
      </c>
      <c r="H75" s="14">
        <v>30</v>
      </c>
      <c r="I75" s="14">
        <v>20</v>
      </c>
      <c r="J75" s="14">
        <f>SUMIF(ENTRADAS!B:B,A:A,ENTRADAS!F:F)</f>
        <v>0</v>
      </c>
      <c r="K75" s="14">
        <f>SUMIF(SAÍDAS!B:B,A:A,SAÍDAS!F:F)</f>
        <v>9</v>
      </c>
      <c r="L75" s="14">
        <f t="shared" si="13"/>
        <v>21</v>
      </c>
      <c r="M75" s="13">
        <f>'SALDO ATUAL'!$G60*'SALDO ATUAL'!$I60</f>
        <v>0</v>
      </c>
      <c r="N75" s="13">
        <f>'SALDO ATUAL'!$G60*'SALDO ATUAL'!$L60</f>
        <v>0</v>
      </c>
      <c r="O75" s="14" t="str">
        <f t="shared" si="14"/>
        <v>OK</v>
      </c>
      <c r="P75" s="15">
        <f t="shared" si="15"/>
        <v>0</v>
      </c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4" customHeight="1">
      <c r="A76" s="10">
        <v>96</v>
      </c>
      <c r="B76" s="11"/>
      <c r="C76" s="12" t="s">
        <v>141</v>
      </c>
      <c r="D76" s="12" t="s">
        <v>137</v>
      </c>
      <c r="E76" s="11" t="s">
        <v>75</v>
      </c>
      <c r="F76" s="11" t="s">
        <v>138</v>
      </c>
      <c r="G76" s="13">
        <v>50</v>
      </c>
      <c r="H76" s="14">
        <v>25</v>
      </c>
      <c r="I76" s="14">
        <v>15</v>
      </c>
      <c r="J76" s="14">
        <f>SUMIF(ENTRADAS!B:B,A:A,ENTRADAS!F:F)</f>
        <v>15</v>
      </c>
      <c r="K76" s="14">
        <f>SUMIF(SAÍDAS!B:B,A:A,SAÍDAS!F:F)</f>
        <v>34</v>
      </c>
      <c r="L76" s="14">
        <f t="shared" si="13"/>
        <v>6</v>
      </c>
      <c r="M76" s="13">
        <f>'SALDO ATUAL'!$G30*'SALDO ATUAL'!$I30</f>
        <v>0</v>
      </c>
      <c r="N76" s="13">
        <f>'SALDO ATUAL'!$G30*'SALDO ATUAL'!$L30</f>
        <v>0</v>
      </c>
      <c r="O76" s="14" t="str">
        <f t="shared" si="14"/>
        <v>COMPRAR</v>
      </c>
      <c r="P76" s="15">
        <f t="shared" si="15"/>
        <v>9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4" customHeight="1">
      <c r="A77" s="10">
        <v>97</v>
      </c>
      <c r="B77" s="11"/>
      <c r="C77" s="12" t="s">
        <v>142</v>
      </c>
      <c r="D77" s="12" t="s">
        <v>26</v>
      </c>
      <c r="E77" s="11"/>
      <c r="F77" s="11"/>
      <c r="G77" s="13"/>
      <c r="H77" s="14">
        <v>0</v>
      </c>
      <c r="I77" s="14"/>
      <c r="J77" s="14">
        <f>SUMIF(ENTRADAS!B:B,A:A,ENTRADAS!F:F)</f>
        <v>0</v>
      </c>
      <c r="K77" s="14">
        <f>SUMIF(SAÍDAS!B:B,A:A,SAÍDAS!F:F)</f>
        <v>0</v>
      </c>
      <c r="L77" s="14">
        <f t="shared" si="13"/>
        <v>0</v>
      </c>
      <c r="M77" s="13">
        <f>'SALDO ATUAL'!$G13*'SALDO ATUAL'!$I13</f>
        <v>21.74</v>
      </c>
      <c r="N77" s="13">
        <f>'SALDO ATUAL'!$G13*'SALDO ATUAL'!$L13</f>
        <v>10.87</v>
      </c>
      <c r="O77" s="14" t="str">
        <f t="shared" si="14"/>
        <v>OK</v>
      </c>
      <c r="P77" s="15">
        <f t="shared" si="15"/>
        <v>0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4" customHeight="1">
      <c r="A78" s="10">
        <v>98</v>
      </c>
      <c r="B78" s="11"/>
      <c r="C78" s="12" t="s">
        <v>143</v>
      </c>
      <c r="D78" s="12" t="s">
        <v>137</v>
      </c>
      <c r="E78" s="11" t="s">
        <v>75</v>
      </c>
      <c r="F78" s="11" t="s">
        <v>138</v>
      </c>
      <c r="G78" s="13">
        <v>83</v>
      </c>
      <c r="H78" s="14">
        <v>4</v>
      </c>
      <c r="I78" s="14"/>
      <c r="J78" s="14">
        <f>SUMIF(ENTRADAS!B:B,A:A,ENTRADAS!F:F)</f>
        <v>1</v>
      </c>
      <c r="K78" s="14">
        <f>SUMIF(SAÍDAS!B:B,A:A,SAÍDAS!F:F)</f>
        <v>6</v>
      </c>
      <c r="L78" s="14">
        <f t="shared" si="13"/>
        <v>-1</v>
      </c>
      <c r="M78" s="13">
        <f>'SALDO ATUAL'!$G37*'SALDO ATUAL'!$I37</f>
        <v>0</v>
      </c>
      <c r="N78" s="13">
        <f>'SALDO ATUAL'!$G37*'SALDO ATUAL'!$L37</f>
        <v>0</v>
      </c>
      <c r="O78" s="14" t="str">
        <f t="shared" si="14"/>
        <v>COMPRAR</v>
      </c>
      <c r="P78" s="15">
        <f t="shared" si="15"/>
        <v>1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4" customHeight="1">
      <c r="A79" s="10">
        <v>99</v>
      </c>
      <c r="B79" s="11"/>
      <c r="C79" s="12" t="s">
        <v>144</v>
      </c>
      <c r="D79" s="12" t="s">
        <v>26</v>
      </c>
      <c r="E79" s="11" t="s">
        <v>75</v>
      </c>
      <c r="F79" s="11" t="s">
        <v>85</v>
      </c>
      <c r="G79" s="13">
        <v>104.78</v>
      </c>
      <c r="H79" s="14">
        <v>1</v>
      </c>
      <c r="I79" s="14">
        <v>1</v>
      </c>
      <c r="J79" s="14">
        <f>SUMIF(ENTRADAS!B:B,A:A,ENTRADAS!F:F)</f>
        <v>0</v>
      </c>
      <c r="K79" s="14">
        <f>SUMIF(SAÍDAS!B:B,A:A,SAÍDAS!F:F)</f>
        <v>1</v>
      </c>
      <c r="L79" s="14">
        <f t="shared" si="13"/>
        <v>0</v>
      </c>
      <c r="M79" s="13">
        <f>'SALDO ATUAL'!$G38*'SALDO ATUAL'!$I38</f>
        <v>0</v>
      </c>
      <c r="N79" s="13">
        <f>'SALDO ATUAL'!$G38*'SALDO ATUAL'!$L38</f>
        <v>0</v>
      </c>
      <c r="O79" s="14" t="str">
        <f t="shared" si="14"/>
        <v>COMPRAR</v>
      </c>
      <c r="P79" s="15">
        <f t="shared" si="15"/>
        <v>1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4" customHeight="1">
      <c r="A80" s="10">
        <v>100</v>
      </c>
      <c r="B80" s="11"/>
      <c r="C80" s="12" t="s">
        <v>145</v>
      </c>
      <c r="D80" s="12" t="s">
        <v>26</v>
      </c>
      <c r="E80" s="11" t="s">
        <v>146</v>
      </c>
      <c r="F80" s="11" t="s">
        <v>147</v>
      </c>
      <c r="G80" s="13"/>
      <c r="H80" s="14">
        <v>0</v>
      </c>
      <c r="I80" s="14"/>
      <c r="J80" s="14">
        <f>SUMIF(ENTRADAS!B:B,A:A,ENTRADAS!F:F)</f>
        <v>0</v>
      </c>
      <c r="K80" s="14">
        <f>SUMIF(SAÍDAS!B:B,A:A,SAÍDAS!F:F)</f>
        <v>0</v>
      </c>
      <c r="L80" s="14">
        <f t="shared" si="13"/>
        <v>0</v>
      </c>
      <c r="M80" s="13">
        <f>'SALDO ATUAL'!$G14*'SALDO ATUAL'!$I14</f>
        <v>5793</v>
      </c>
      <c r="N80" s="13">
        <f>'SALDO ATUAL'!$G14*'SALDO ATUAL'!$L14</f>
        <v>5599.9</v>
      </c>
      <c r="O80" s="14" t="str">
        <f t="shared" si="14"/>
        <v>OK</v>
      </c>
      <c r="P80" s="15">
        <f t="shared" si="15"/>
        <v>0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4" customHeight="1">
      <c r="A81" s="10">
        <v>101</v>
      </c>
      <c r="B81" s="11"/>
      <c r="C81" s="12" t="s">
        <v>148</v>
      </c>
      <c r="D81" s="12" t="s">
        <v>30</v>
      </c>
      <c r="E81" s="11" t="s">
        <v>75</v>
      </c>
      <c r="F81" s="11" t="s">
        <v>149</v>
      </c>
      <c r="G81" s="13">
        <v>500</v>
      </c>
      <c r="H81" s="14">
        <v>29</v>
      </c>
      <c r="I81" s="14">
        <v>15</v>
      </c>
      <c r="J81" s="14">
        <f>SUMIF(ENTRADAS!B:B,A:A,ENTRADAS!F:F)</f>
        <v>2</v>
      </c>
      <c r="K81" s="14">
        <f>SUMIF(SAÍDAS!B:B,A:A,SAÍDAS!F:F)</f>
        <v>4</v>
      </c>
      <c r="L81" s="14">
        <f t="shared" si="13"/>
        <v>27</v>
      </c>
      <c r="M81" s="13">
        <f>'SALDO ATUAL'!$G83*'SALDO ATUAL'!$I83</f>
        <v>360</v>
      </c>
      <c r="N81" s="13">
        <f>'SALDO ATUAL'!$G83*'SALDO ATUAL'!$L83</f>
        <v>1440</v>
      </c>
      <c r="O81" s="14" t="str">
        <f t="shared" si="14"/>
        <v>OK</v>
      </c>
      <c r="P81" s="15">
        <f t="shared" si="15"/>
        <v>0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4" customHeight="1">
      <c r="A82" s="10">
        <v>102</v>
      </c>
      <c r="B82" s="11"/>
      <c r="C82" s="12" t="s">
        <v>150</v>
      </c>
      <c r="D82" s="12" t="s">
        <v>30</v>
      </c>
      <c r="E82" s="11" t="s">
        <v>151</v>
      </c>
      <c r="F82" s="11" t="s">
        <v>152</v>
      </c>
      <c r="G82" s="13">
        <v>24.5</v>
      </c>
      <c r="H82" s="14">
        <v>2</v>
      </c>
      <c r="I82" s="14">
        <v>2</v>
      </c>
      <c r="J82" s="14">
        <f>SUMIF(ENTRADAS!B:B,A:A,ENTRADAS!F:F)</f>
        <v>0</v>
      </c>
      <c r="K82" s="14">
        <f>SUMIF(SAÍDAS!B:B,A:A,SAÍDAS!F:F)</f>
        <v>0</v>
      </c>
      <c r="L82" s="14">
        <f t="shared" si="13"/>
        <v>2</v>
      </c>
      <c r="M82" s="13">
        <f>'SALDO ATUAL'!$G171*'SALDO ATUAL'!$I171</f>
        <v>0</v>
      </c>
      <c r="N82" s="13">
        <f>'SALDO ATUAL'!$G171*'SALDO ATUAL'!$L171</f>
        <v>0</v>
      </c>
      <c r="O82" s="14" t="str">
        <f t="shared" si="14"/>
        <v>OK</v>
      </c>
      <c r="P82" s="15">
        <f t="shared" si="15"/>
        <v>0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4" customHeight="1">
      <c r="A83" s="10">
        <v>103</v>
      </c>
      <c r="B83" s="11"/>
      <c r="C83" s="12" t="s">
        <v>153</v>
      </c>
      <c r="D83" s="12" t="s">
        <v>18</v>
      </c>
      <c r="E83" s="11" t="s">
        <v>19</v>
      </c>
      <c r="F83" s="11" t="s">
        <v>20</v>
      </c>
      <c r="G83" s="13">
        <v>90</v>
      </c>
      <c r="H83" s="14">
        <v>20</v>
      </c>
      <c r="I83" s="14">
        <v>4</v>
      </c>
      <c r="J83" s="14">
        <f>SUMIF(ENTRADAS!B:B,A:A,ENTRADAS!F:F)</f>
        <v>0</v>
      </c>
      <c r="K83" s="14">
        <f>SUMIF(SAÍDAS!B:B,A:A,SAÍDAS!F:F)</f>
        <v>4</v>
      </c>
      <c r="L83" s="14">
        <f t="shared" si="13"/>
        <v>16</v>
      </c>
      <c r="M83" s="13">
        <f>'SALDO ATUAL'!$G286*'SALDO ATUAL'!$I286</f>
        <v>0</v>
      </c>
      <c r="N83" s="13">
        <f>'SALDO ATUAL'!$G286*'SALDO ATUAL'!$L286</f>
        <v>0</v>
      </c>
      <c r="O83" s="14" t="str">
        <f t="shared" si="14"/>
        <v>OK</v>
      </c>
      <c r="P83" s="15">
        <f t="shared" si="15"/>
        <v>0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4" customHeight="1">
      <c r="A84" s="10">
        <v>105</v>
      </c>
      <c r="B84" s="11"/>
      <c r="C84" s="12" t="s">
        <v>154</v>
      </c>
      <c r="D84" s="12" t="s">
        <v>18</v>
      </c>
      <c r="E84" s="11">
        <v>0</v>
      </c>
      <c r="F84" s="11">
        <v>0</v>
      </c>
      <c r="G84" s="13">
        <v>0</v>
      </c>
      <c r="H84" s="14">
        <v>0</v>
      </c>
      <c r="I84" s="14">
        <v>0</v>
      </c>
      <c r="J84" s="14">
        <f>SUMIF(ENTRADAS!B:B,A:A,ENTRADAS!F:F)</f>
        <v>0</v>
      </c>
      <c r="K84" s="14">
        <f>SUMIF(SAÍDAS!B:B,A:A,SAÍDAS!F:F)</f>
        <v>0</v>
      </c>
      <c r="L84" s="14">
        <f t="shared" si="13"/>
        <v>0</v>
      </c>
      <c r="M84" s="13">
        <f>'SALDO ATUAL'!$G236*'SALDO ATUAL'!$I236</f>
        <v>54.5</v>
      </c>
      <c r="N84" s="13">
        <f>'SALDO ATUAL'!$G236*'SALDO ATUAL'!$L236</f>
        <v>218</v>
      </c>
      <c r="O84" s="14" t="str">
        <f t="shared" si="14"/>
        <v>OK</v>
      </c>
      <c r="P84" s="15">
        <f t="shared" si="15"/>
        <v>0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4" customHeight="1">
      <c r="A85" s="10">
        <v>106</v>
      </c>
      <c r="B85" s="11"/>
      <c r="C85" s="12" t="s">
        <v>155</v>
      </c>
      <c r="D85" s="12" t="s">
        <v>18</v>
      </c>
      <c r="E85" s="11">
        <v>0</v>
      </c>
      <c r="F85" s="11">
        <v>0</v>
      </c>
      <c r="G85" s="13">
        <v>0</v>
      </c>
      <c r="H85" s="14">
        <v>0</v>
      </c>
      <c r="I85" s="14">
        <v>0</v>
      </c>
      <c r="J85" s="14">
        <f>SUMIF(ENTRADAS!B:B,A:A,ENTRADAS!F:F)</f>
        <v>0</v>
      </c>
      <c r="K85" s="14">
        <f>SUMIF(SAÍDAS!B:B,A:A,SAÍDAS!F:F)</f>
        <v>0</v>
      </c>
      <c r="L85" s="14">
        <f t="shared" si="13"/>
        <v>0</v>
      </c>
      <c r="M85" s="13">
        <f>'SALDO ATUAL'!$G206*'SALDO ATUAL'!$I206</f>
        <v>0</v>
      </c>
      <c r="N85" s="13">
        <f>'SALDO ATUAL'!$G206*'SALDO ATUAL'!$L206</f>
        <v>0</v>
      </c>
      <c r="O85" s="14" t="str">
        <f t="shared" si="14"/>
        <v>OK</v>
      </c>
      <c r="P85" s="15">
        <f t="shared" si="15"/>
        <v>0</v>
      </c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4" customHeight="1">
      <c r="A86" s="10">
        <v>107</v>
      </c>
      <c r="B86" s="11"/>
      <c r="C86" s="12" t="s">
        <v>156</v>
      </c>
      <c r="D86" s="12" t="s">
        <v>23</v>
      </c>
      <c r="E86" s="11">
        <v>0</v>
      </c>
      <c r="F86" s="11">
        <v>0</v>
      </c>
      <c r="G86" s="13">
        <v>0</v>
      </c>
      <c r="H86" s="14">
        <v>0</v>
      </c>
      <c r="I86" s="14">
        <v>0</v>
      </c>
      <c r="J86" s="14">
        <f>SUMIF(ENTRADAS!B:B,A:A,ENTRADAS!F:F)</f>
        <v>0</v>
      </c>
      <c r="K86" s="14">
        <f>SUMIF(SAÍDAS!B:B,A:A,SAÍDAS!F:F)</f>
        <v>0</v>
      </c>
      <c r="L86" s="14">
        <f t="shared" si="13"/>
        <v>0</v>
      </c>
      <c r="M86" s="13">
        <f>'SALDO ATUAL'!$G166*'SALDO ATUAL'!$I166</f>
        <v>0</v>
      </c>
      <c r="N86" s="13">
        <f>'SALDO ATUAL'!$G166*'SALDO ATUAL'!$L166</f>
        <v>0</v>
      </c>
      <c r="O86" s="14" t="str">
        <f t="shared" si="14"/>
        <v>OK</v>
      </c>
      <c r="P86" s="15">
        <f t="shared" si="15"/>
        <v>0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4" customHeight="1">
      <c r="A87" s="10">
        <v>108</v>
      </c>
      <c r="B87" s="11"/>
      <c r="C87" s="12" t="s">
        <v>157</v>
      </c>
      <c r="D87" s="12" t="s">
        <v>23</v>
      </c>
      <c r="E87" s="11">
        <v>0</v>
      </c>
      <c r="F87" s="11">
        <v>0</v>
      </c>
      <c r="G87" s="13">
        <v>0</v>
      </c>
      <c r="H87" s="14">
        <v>0</v>
      </c>
      <c r="I87" s="14">
        <v>0</v>
      </c>
      <c r="J87" s="14">
        <f>SUMIF(ENTRADAS!B:B,A:A,ENTRADAS!F:F)</f>
        <v>0</v>
      </c>
      <c r="K87" s="14">
        <f>SUMIF(SAÍDAS!B:B,A:A,SAÍDAS!F:F)</f>
        <v>0</v>
      </c>
      <c r="L87" s="14">
        <f t="shared" si="13"/>
        <v>0</v>
      </c>
      <c r="M87" s="13">
        <f>'SALDO ATUAL'!$G168*'SALDO ATUAL'!$I168</f>
        <v>0</v>
      </c>
      <c r="N87" s="13">
        <f>'SALDO ATUAL'!$G168*'SALDO ATUAL'!$L168</f>
        <v>0</v>
      </c>
      <c r="O87" s="14" t="str">
        <f t="shared" si="14"/>
        <v>OK</v>
      </c>
      <c r="P87" s="15">
        <f t="shared" si="15"/>
        <v>0</v>
      </c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4" customHeight="1">
      <c r="A88" s="10">
        <v>109</v>
      </c>
      <c r="B88" s="11"/>
      <c r="C88" s="12" t="s">
        <v>158</v>
      </c>
      <c r="D88" s="12" t="s">
        <v>159</v>
      </c>
      <c r="E88" s="11" t="s">
        <v>27</v>
      </c>
      <c r="F88" s="11"/>
      <c r="G88" s="13">
        <v>0</v>
      </c>
      <c r="H88" s="14">
        <v>0</v>
      </c>
      <c r="I88" s="14">
        <v>1</v>
      </c>
      <c r="J88" s="14">
        <f>SUMIF(ENTRADAS!B:B,A:A,ENTRADAS!F:F)</f>
        <v>0</v>
      </c>
      <c r="K88" s="14">
        <f>SUMIF(SAÍDAS!B:B,A:A,SAÍDAS!F:F)</f>
        <v>0</v>
      </c>
      <c r="L88" s="14">
        <f t="shared" si="13"/>
        <v>0</v>
      </c>
      <c r="M88" s="13">
        <f>'SALDO ATUAL'!$G290*'SALDO ATUAL'!$I290</f>
        <v>0</v>
      </c>
      <c r="N88" s="13">
        <f>'SALDO ATUAL'!$G290*'SALDO ATUAL'!$L290</f>
        <v>0</v>
      </c>
      <c r="O88" s="14" t="str">
        <f t="shared" si="14"/>
        <v>COMPRAR</v>
      </c>
      <c r="P88" s="15">
        <f t="shared" si="15"/>
        <v>1</v>
      </c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4" customHeight="1">
      <c r="A89" s="10">
        <v>110</v>
      </c>
      <c r="B89" s="11"/>
      <c r="C89" s="12" t="s">
        <v>160</v>
      </c>
      <c r="D89" s="12" t="s">
        <v>69</v>
      </c>
      <c r="E89" s="11">
        <v>0</v>
      </c>
      <c r="F89" s="11">
        <v>0</v>
      </c>
      <c r="G89" s="13">
        <v>0</v>
      </c>
      <c r="H89" s="14">
        <v>0</v>
      </c>
      <c r="I89" s="14">
        <v>0</v>
      </c>
      <c r="J89" s="14">
        <f>SUMIF(ENTRADAS!B:B,A:A,ENTRADAS!F:F)</f>
        <v>0</v>
      </c>
      <c r="K89" s="14">
        <f>SUMIF(SAÍDAS!B:B,A:A,SAÍDAS!F:F)</f>
        <v>0</v>
      </c>
      <c r="L89" s="14">
        <f t="shared" si="13"/>
        <v>0</v>
      </c>
      <c r="M89" s="13">
        <f>'SALDO ATUAL'!$G147*'SALDO ATUAL'!$I147</f>
        <v>220</v>
      </c>
      <c r="N89" s="13">
        <f>'SALDO ATUAL'!$G147*'SALDO ATUAL'!$L147</f>
        <v>396</v>
      </c>
      <c r="O89" s="14" t="str">
        <f t="shared" si="14"/>
        <v>OK</v>
      </c>
      <c r="P89" s="15">
        <f t="shared" si="15"/>
        <v>0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4" customHeight="1">
      <c r="A90" s="10">
        <v>111</v>
      </c>
      <c r="B90" s="11"/>
      <c r="C90" s="12" t="s">
        <v>161</v>
      </c>
      <c r="D90" s="12" t="s">
        <v>159</v>
      </c>
      <c r="E90" s="11">
        <v>0</v>
      </c>
      <c r="F90" s="11">
        <v>0</v>
      </c>
      <c r="G90" s="13">
        <v>0</v>
      </c>
      <c r="H90" s="14">
        <v>0</v>
      </c>
      <c r="I90" s="14">
        <v>2</v>
      </c>
      <c r="J90" s="14">
        <f>SUMIF(ENTRADAS!B:B,A:A,ENTRADAS!F:F)</f>
        <v>0</v>
      </c>
      <c r="K90" s="14">
        <f>SUMIF(SAÍDAS!B:B,A:A,SAÍDAS!F:F)</f>
        <v>0</v>
      </c>
      <c r="L90" s="14">
        <f t="shared" si="13"/>
        <v>0</v>
      </c>
      <c r="M90" s="13">
        <f>'SALDO ATUAL'!$G289*'SALDO ATUAL'!$I289</f>
        <v>192</v>
      </c>
      <c r="N90" s="13">
        <f>'SALDO ATUAL'!$G289*'SALDO ATUAL'!$L289</f>
        <v>95616</v>
      </c>
      <c r="O90" s="14" t="str">
        <f t="shared" si="14"/>
        <v>COMPRAR</v>
      </c>
      <c r="P90" s="15">
        <f t="shared" si="15"/>
        <v>2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4" customHeight="1">
      <c r="A91" s="10">
        <v>112</v>
      </c>
      <c r="B91" s="11"/>
      <c r="C91" s="12" t="s">
        <v>162</v>
      </c>
      <c r="D91" s="12" t="s">
        <v>18</v>
      </c>
      <c r="E91" s="11">
        <v>0</v>
      </c>
      <c r="F91" s="11">
        <v>0</v>
      </c>
      <c r="G91" s="13">
        <v>0</v>
      </c>
      <c r="H91" s="14">
        <v>0</v>
      </c>
      <c r="I91" s="14">
        <v>0</v>
      </c>
      <c r="J91" s="14">
        <f>SUMIF(ENTRADAS!B:B,A:A,ENTRADAS!F:F)</f>
        <v>0</v>
      </c>
      <c r="K91" s="14">
        <f>SUMIF(SAÍDAS!B:B,A:A,SAÍDAS!F:F)</f>
        <v>0</v>
      </c>
      <c r="L91" s="14">
        <f t="shared" si="13"/>
        <v>0</v>
      </c>
      <c r="M91" s="13">
        <f>'SALDO ATUAL'!$G97*'SALDO ATUAL'!$I97</f>
        <v>0</v>
      </c>
      <c r="N91" s="13">
        <f>'SALDO ATUAL'!$G97*'SALDO ATUAL'!$L97</f>
        <v>0</v>
      </c>
      <c r="O91" s="14" t="str">
        <f t="shared" si="14"/>
        <v>OK</v>
      </c>
      <c r="P91" s="15">
        <f t="shared" si="15"/>
        <v>0</v>
      </c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4" customHeight="1">
      <c r="A92" s="10">
        <v>118</v>
      </c>
      <c r="B92" s="11"/>
      <c r="C92" s="12" t="s">
        <v>163</v>
      </c>
      <c r="D92" s="12" t="s">
        <v>30</v>
      </c>
      <c r="E92" s="11" t="s">
        <v>27</v>
      </c>
      <c r="F92" s="11" t="s">
        <v>149</v>
      </c>
      <c r="G92" s="13">
        <v>14.26</v>
      </c>
      <c r="H92" s="14">
        <v>35</v>
      </c>
      <c r="I92" s="14">
        <v>4</v>
      </c>
      <c r="J92" s="14">
        <f>SUMIF(ENTRADAS!B:B,A:A,ENTRADAS!F:F)</f>
        <v>10</v>
      </c>
      <c r="K92" s="14">
        <f>SUMIF(SAÍDAS!B:B,A:A,SAÍDAS!F:F)</f>
        <v>2</v>
      </c>
      <c r="L92" s="14">
        <f t="shared" si="13"/>
        <v>43</v>
      </c>
      <c r="M92" s="13">
        <f>'SALDO ATUAL'!$G257*'SALDO ATUAL'!$I257</f>
        <v>180.84</v>
      </c>
      <c r="N92" s="13">
        <f>'SALDO ATUAL'!$G257*'SALDO ATUAL'!$L257</f>
        <v>361.68</v>
      </c>
      <c r="O92" s="14" t="str">
        <f t="shared" si="14"/>
        <v>OK</v>
      </c>
      <c r="P92" s="15">
        <f t="shared" si="15"/>
        <v>0</v>
      </c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4" customHeight="1">
      <c r="A93" s="10">
        <v>119</v>
      </c>
      <c r="B93" s="11"/>
      <c r="C93" s="12" t="s">
        <v>164</v>
      </c>
      <c r="D93" s="12" t="s">
        <v>26</v>
      </c>
      <c r="E93" s="11"/>
      <c r="F93" s="11"/>
      <c r="G93" s="13"/>
      <c r="H93" s="14">
        <v>0</v>
      </c>
      <c r="I93" s="14"/>
      <c r="J93" s="14">
        <f>SUMIF(ENTRADAS!B:B,A:A,ENTRADAS!F:F)</f>
        <v>0</v>
      </c>
      <c r="K93" s="14">
        <f>SUMIF(SAÍDAS!B:B,A:A,SAÍDAS!F:F)</f>
        <v>0</v>
      </c>
      <c r="L93" s="14">
        <f t="shared" si="13"/>
        <v>0</v>
      </c>
      <c r="M93" s="13">
        <f>'SALDO ATUAL'!$G68*'SALDO ATUAL'!$I68</f>
        <v>0</v>
      </c>
      <c r="N93" s="13">
        <f>'SALDO ATUAL'!$G68*'SALDO ATUAL'!$L68</f>
        <v>0</v>
      </c>
      <c r="O93" s="14" t="str">
        <f t="shared" si="14"/>
        <v>OK</v>
      </c>
      <c r="P93" s="15">
        <f t="shared" si="15"/>
        <v>0</v>
      </c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4" customHeight="1">
      <c r="A94" s="10">
        <v>120</v>
      </c>
      <c r="B94" s="11"/>
      <c r="C94" s="12" t="s">
        <v>165</v>
      </c>
      <c r="D94" s="12" t="s">
        <v>166</v>
      </c>
      <c r="E94" s="11" t="s">
        <v>27</v>
      </c>
      <c r="F94" s="11" t="s">
        <v>167</v>
      </c>
      <c r="G94" s="13">
        <v>3.5</v>
      </c>
      <c r="H94" s="14">
        <v>5</v>
      </c>
      <c r="I94" s="14">
        <v>5</v>
      </c>
      <c r="J94" s="14">
        <f>SUMIF(ENTRADAS!B:B,A:A,ENTRADAS!F:F)</f>
        <v>0</v>
      </c>
      <c r="K94" s="14">
        <f>SUMIF(SAÍDAS!B:B,A:A,SAÍDAS!F:F)</f>
        <v>0</v>
      </c>
      <c r="L94" s="14">
        <f t="shared" si="13"/>
        <v>5</v>
      </c>
      <c r="M94" s="13">
        <f>'SALDO ATUAL'!$G10*'SALDO ATUAL'!$I10</f>
        <v>24.12</v>
      </c>
      <c r="N94" s="13">
        <f>'SALDO ATUAL'!$G10*'SALDO ATUAL'!$L10</f>
        <v>48.24</v>
      </c>
      <c r="O94" s="14" t="str">
        <f t="shared" si="14"/>
        <v>OK</v>
      </c>
      <c r="P94" s="15">
        <f t="shared" si="15"/>
        <v>0</v>
      </c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4" customHeight="1">
      <c r="A95" s="10">
        <v>121</v>
      </c>
      <c r="B95" s="11"/>
      <c r="C95" s="12" t="s">
        <v>168</v>
      </c>
      <c r="D95" s="12" t="s">
        <v>30</v>
      </c>
      <c r="E95" s="11"/>
      <c r="F95" s="11"/>
      <c r="G95" s="13"/>
      <c r="H95" s="14">
        <v>0</v>
      </c>
      <c r="I95" s="14"/>
      <c r="J95" s="14">
        <f>SUMIF(ENTRADAS!B:B,A:A,ENTRADAS!F:F)</f>
        <v>0</v>
      </c>
      <c r="K95" s="14">
        <f>SUMIF(SAÍDAS!B:B,A:A,SAÍDAS!F:F)</f>
        <v>0</v>
      </c>
      <c r="L95" s="14">
        <f t="shared" si="13"/>
        <v>0</v>
      </c>
      <c r="M95" s="13">
        <f>'SALDO ATUAL'!$G241*'SALDO ATUAL'!$I241</f>
        <v>15.4</v>
      </c>
      <c r="N95" s="13">
        <f>'SALDO ATUAL'!$G241*'SALDO ATUAL'!$L241</f>
        <v>26.95</v>
      </c>
      <c r="O95" s="14" t="str">
        <f t="shared" si="14"/>
        <v>OK</v>
      </c>
      <c r="P95" s="15">
        <f t="shared" si="15"/>
        <v>0</v>
      </c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4" customHeight="1">
      <c r="A96" s="10">
        <v>122</v>
      </c>
      <c r="B96" s="11"/>
      <c r="C96" s="12" t="s">
        <v>169</v>
      </c>
      <c r="D96" s="12" t="s">
        <v>18</v>
      </c>
      <c r="E96" s="11"/>
      <c r="F96" s="11"/>
      <c r="G96" s="13"/>
      <c r="H96" s="14"/>
      <c r="I96" s="14"/>
      <c r="J96" s="14">
        <f>SUMIF(ENTRADAS!B:B,A:A,ENTRADAS!F:F)</f>
        <v>0</v>
      </c>
      <c r="K96" s="14">
        <f>SUMIF(SAÍDAS!B:B,A:A,SAÍDAS!F:F)</f>
        <v>0</v>
      </c>
      <c r="L96" s="14">
        <f t="shared" si="13"/>
        <v>0</v>
      </c>
      <c r="M96" s="13">
        <f>'SALDO ATUAL'!$G189*'SALDO ATUAL'!$I189</f>
        <v>0</v>
      </c>
      <c r="N96" s="13">
        <f>'SALDO ATUAL'!$G189*'SALDO ATUAL'!$L189</f>
        <v>0</v>
      </c>
      <c r="O96" s="14" t="str">
        <f t="shared" si="14"/>
        <v>OK</v>
      </c>
      <c r="P96" s="15">
        <f t="shared" si="15"/>
        <v>0</v>
      </c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4" customHeight="1">
      <c r="A97" s="10">
        <v>123</v>
      </c>
      <c r="B97" s="11"/>
      <c r="C97" s="12" t="s">
        <v>170</v>
      </c>
      <c r="D97" s="12" t="s">
        <v>18</v>
      </c>
      <c r="E97" s="11"/>
      <c r="F97" s="11"/>
      <c r="G97" s="13"/>
      <c r="H97" s="14"/>
      <c r="I97" s="14"/>
      <c r="J97" s="14">
        <f>SUMIF(ENTRADAS!B:B,A:A,ENTRADAS!F:F)</f>
        <v>1</v>
      </c>
      <c r="K97" s="14">
        <f>SUMIF(SAÍDAS!B:B,A:A,SAÍDAS!F:F)</f>
        <v>1</v>
      </c>
      <c r="L97" s="14">
        <f t="shared" si="13"/>
        <v>0</v>
      </c>
      <c r="M97" s="13">
        <f>'SALDO ATUAL'!$G255*'SALDO ATUAL'!$I255</f>
        <v>360</v>
      </c>
      <c r="N97" s="13">
        <f>'SALDO ATUAL'!$G255*'SALDO ATUAL'!$L255</f>
        <v>1440</v>
      </c>
      <c r="O97" s="14" t="str">
        <f t="shared" si="14"/>
        <v>OK</v>
      </c>
      <c r="P97" s="15">
        <f t="shared" si="15"/>
        <v>0</v>
      </c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4" customHeight="1">
      <c r="A98" s="10">
        <v>124</v>
      </c>
      <c r="B98" s="11"/>
      <c r="C98" s="12" t="s">
        <v>171</v>
      </c>
      <c r="D98" s="12" t="s">
        <v>172</v>
      </c>
      <c r="E98" s="11" t="s">
        <v>27</v>
      </c>
      <c r="F98" s="11" t="s">
        <v>173</v>
      </c>
      <c r="G98" s="13"/>
      <c r="H98" s="14">
        <v>8</v>
      </c>
      <c r="I98" s="14">
        <v>4</v>
      </c>
      <c r="J98" s="14">
        <f>SUMIF(ENTRADAS!B:B,A:A,ENTRADAS!F:F)</f>
        <v>0</v>
      </c>
      <c r="K98" s="14">
        <f>SUMIF(SAÍDAS!B:B,A:A,SAÍDAS!F:F)</f>
        <v>2</v>
      </c>
      <c r="L98" s="14">
        <f t="shared" si="13"/>
        <v>6</v>
      </c>
      <c r="M98" s="13">
        <f>'SALDO ATUAL'!$G196*'SALDO ATUAL'!$I196</f>
        <v>0</v>
      </c>
      <c r="N98" s="13">
        <f>'SALDO ATUAL'!$G196*'SALDO ATUAL'!$L196</f>
        <v>0</v>
      </c>
      <c r="O98" s="14" t="str">
        <f t="shared" si="14"/>
        <v>OK</v>
      </c>
      <c r="P98" s="15">
        <f t="shared" si="15"/>
        <v>0</v>
      </c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4" customHeight="1">
      <c r="A99" s="10">
        <v>127</v>
      </c>
      <c r="B99" s="11"/>
      <c r="C99" s="12" t="s">
        <v>174</v>
      </c>
      <c r="D99" s="12" t="s">
        <v>18</v>
      </c>
      <c r="E99" s="11"/>
      <c r="F99" s="11"/>
      <c r="G99" s="13"/>
      <c r="H99" s="14">
        <v>0</v>
      </c>
      <c r="I99" s="14"/>
      <c r="J99" s="14">
        <f>SUMIF(ENTRADAS!B:B,A:A,ENTRADAS!F:F)</f>
        <v>0</v>
      </c>
      <c r="K99" s="14">
        <f>SUMIF(SAÍDAS!B:B,A:A,SAÍDAS!F:F)</f>
        <v>0</v>
      </c>
      <c r="L99" s="14">
        <f t="shared" si="13"/>
        <v>0</v>
      </c>
      <c r="M99" s="13">
        <f>'SALDO ATUAL'!$G204*'SALDO ATUAL'!$I204</f>
        <v>16397.3</v>
      </c>
      <c r="N99" s="13">
        <f>'SALDO ATUAL'!$G204*'SALDO ATUAL'!$L204</f>
        <v>9838.380000000001</v>
      </c>
      <c r="O99" s="14" t="str">
        <f t="shared" si="14"/>
        <v>OK</v>
      </c>
      <c r="P99" s="15">
        <f t="shared" si="15"/>
        <v>0</v>
      </c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4" customHeight="1">
      <c r="A100" s="10">
        <v>128</v>
      </c>
      <c r="B100" s="11"/>
      <c r="C100" s="12" t="s">
        <v>175</v>
      </c>
      <c r="D100" s="12" t="s">
        <v>18</v>
      </c>
      <c r="E100" s="11"/>
      <c r="F100" s="11"/>
      <c r="G100" s="13"/>
      <c r="H100" s="14">
        <v>0</v>
      </c>
      <c r="I100" s="14"/>
      <c r="J100" s="14">
        <f>SUMIF(ENTRADAS!B:B,A:A,ENTRADAS!F:F)</f>
        <v>0</v>
      </c>
      <c r="K100" s="14">
        <f>SUMIF(SAÍDAS!B:B,A:A,SAÍDAS!F:F)</f>
        <v>0</v>
      </c>
      <c r="L100" s="14">
        <f t="shared" si="13"/>
        <v>0</v>
      </c>
      <c r="M100" s="13">
        <f>'SALDO ATUAL'!$G246*'SALDO ATUAL'!$I246</f>
        <v>0</v>
      </c>
      <c r="N100" s="13">
        <f>'SALDO ATUAL'!$G246*'SALDO ATUAL'!$L246</f>
        <v>0</v>
      </c>
      <c r="O100" s="14" t="str">
        <f t="shared" si="14"/>
        <v>OK</v>
      </c>
      <c r="P100" s="15">
        <f t="shared" si="15"/>
        <v>0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4" customHeight="1">
      <c r="A101" s="10">
        <v>129</v>
      </c>
      <c r="B101" s="11"/>
      <c r="C101" s="12" t="s">
        <v>176</v>
      </c>
      <c r="D101" s="12" t="s">
        <v>18</v>
      </c>
      <c r="E101" s="11"/>
      <c r="F101" s="11"/>
      <c r="G101" s="13"/>
      <c r="H101" s="14">
        <v>0</v>
      </c>
      <c r="I101" s="14"/>
      <c r="J101" s="14">
        <f>SUMIF(ENTRADAS!B:B,A:A,ENTRADAS!F:F)</f>
        <v>0</v>
      </c>
      <c r="K101" s="14">
        <f>SUMIF(SAÍDAS!B:B,A:A,SAÍDAS!F:F)</f>
        <v>0</v>
      </c>
      <c r="L101" s="14">
        <f t="shared" si="13"/>
        <v>0</v>
      </c>
      <c r="M101" s="13">
        <f>'SALDO ATUAL'!$G99*'SALDO ATUAL'!$I99</f>
        <v>0</v>
      </c>
      <c r="N101" s="13">
        <f>'SALDO ATUAL'!$G99*'SALDO ATUAL'!$L99</f>
        <v>0</v>
      </c>
      <c r="O101" s="14" t="str">
        <f t="shared" si="14"/>
        <v>OK</v>
      </c>
      <c r="P101" s="15">
        <f t="shared" si="15"/>
        <v>0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4" customHeight="1">
      <c r="A102" s="10">
        <v>130</v>
      </c>
      <c r="B102" s="11"/>
      <c r="C102" s="12" t="s">
        <v>177</v>
      </c>
      <c r="D102" s="12" t="s">
        <v>18</v>
      </c>
      <c r="E102" s="11"/>
      <c r="F102" s="11"/>
      <c r="G102" s="13"/>
      <c r="H102" s="14">
        <v>0</v>
      </c>
      <c r="I102" s="14"/>
      <c r="J102" s="14">
        <f>SUMIF(ENTRADAS!B:B,A:A,ENTRADAS!F:F)</f>
        <v>0</v>
      </c>
      <c r="K102" s="14">
        <f>SUMIF(SAÍDAS!B:B,A:A,SAÍDAS!F:F)</f>
        <v>0</v>
      </c>
      <c r="L102" s="14">
        <f t="shared" si="13"/>
        <v>0</v>
      </c>
      <c r="M102" s="13">
        <f>'SALDO ATUAL'!$G98*'SALDO ATUAL'!$I98</f>
        <v>0</v>
      </c>
      <c r="N102" s="13">
        <f>'SALDO ATUAL'!$G98*'SALDO ATUAL'!$L98</f>
        <v>0</v>
      </c>
      <c r="O102" s="14" t="str">
        <f t="shared" si="14"/>
        <v>OK</v>
      </c>
      <c r="P102" s="15">
        <f t="shared" si="15"/>
        <v>0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4" customHeight="1">
      <c r="A103" s="10">
        <v>131</v>
      </c>
      <c r="B103" s="11"/>
      <c r="C103" s="12" t="s">
        <v>178</v>
      </c>
      <c r="D103" s="12" t="s">
        <v>18</v>
      </c>
      <c r="E103" s="11"/>
      <c r="F103" s="11"/>
      <c r="G103" s="13"/>
      <c r="H103" s="14">
        <v>0</v>
      </c>
      <c r="I103" s="14"/>
      <c r="J103" s="14">
        <f>SUMIF(ENTRADAS!B:B,A:A,ENTRADAS!F:F)</f>
        <v>0</v>
      </c>
      <c r="K103" s="14">
        <f>SUMIF(SAÍDAS!B:B,A:A,SAÍDAS!F:F)</f>
        <v>0</v>
      </c>
      <c r="L103" s="14">
        <f t="shared" si="13"/>
        <v>0</v>
      </c>
      <c r="M103" s="13">
        <f>'SALDO ATUAL'!$G201*'SALDO ATUAL'!$I201</f>
        <v>0</v>
      </c>
      <c r="N103" s="13">
        <f>'SALDO ATUAL'!$G201*'SALDO ATUAL'!$L201</f>
        <v>0</v>
      </c>
      <c r="O103" s="14" t="str">
        <f t="shared" si="14"/>
        <v>OK</v>
      </c>
      <c r="P103" s="15">
        <f t="shared" si="15"/>
        <v>0</v>
      </c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4" customHeight="1">
      <c r="A104" s="10">
        <v>132</v>
      </c>
      <c r="B104" s="11"/>
      <c r="C104" s="12" t="s">
        <v>179</v>
      </c>
      <c r="D104" s="12" t="s">
        <v>180</v>
      </c>
      <c r="E104" s="11"/>
      <c r="F104" s="11"/>
      <c r="G104" s="13"/>
      <c r="H104" s="14">
        <v>0</v>
      </c>
      <c r="I104" s="14"/>
      <c r="J104" s="14">
        <f>SUMIF(ENTRADAS!B:B,A:A,ENTRADAS!F:F)</f>
        <v>0</v>
      </c>
      <c r="K104" s="14">
        <f>SUMIF(SAÍDAS!B:B,A:A,SAÍDAS!F:F)</f>
        <v>0</v>
      </c>
      <c r="L104" s="14">
        <f t="shared" si="13"/>
        <v>0</v>
      </c>
      <c r="M104" s="13">
        <f>'SALDO ATUAL'!$G184*'SALDO ATUAL'!$I184</f>
        <v>47.98</v>
      </c>
      <c r="N104" s="13">
        <f>'SALDO ATUAL'!$G184*'SALDO ATUAL'!$L184</f>
        <v>0</v>
      </c>
      <c r="O104" s="14" t="str">
        <f t="shared" si="14"/>
        <v>OK</v>
      </c>
      <c r="P104" s="15">
        <f t="shared" si="15"/>
        <v>0</v>
      </c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4" customHeight="1">
      <c r="A105" s="10">
        <v>133</v>
      </c>
      <c r="B105" s="11"/>
      <c r="C105" s="12" t="s">
        <v>181</v>
      </c>
      <c r="D105" s="12" t="s">
        <v>180</v>
      </c>
      <c r="E105" s="11"/>
      <c r="F105" s="11"/>
      <c r="G105" s="13"/>
      <c r="H105" s="14">
        <v>0</v>
      </c>
      <c r="I105" s="14"/>
      <c r="J105" s="14">
        <f>SUMIF(ENTRADAS!B:B,A:A,ENTRADAS!F:F)</f>
        <v>0</v>
      </c>
      <c r="K105" s="14">
        <f>SUMIF(SAÍDAS!B:B,A:A,SAÍDAS!F:F)</f>
        <v>0</v>
      </c>
      <c r="L105" s="14">
        <f t="shared" si="13"/>
        <v>0</v>
      </c>
      <c r="M105" s="13">
        <f>'SALDO ATUAL'!$G183*'SALDO ATUAL'!$I183</f>
        <v>27.39</v>
      </c>
      <c r="N105" s="13">
        <f>'SALDO ATUAL'!$G183*'SALDO ATUAL'!$L183</f>
        <v>27.39</v>
      </c>
      <c r="O105" s="14" t="str">
        <f t="shared" si="14"/>
        <v>OK</v>
      </c>
      <c r="P105" s="15">
        <f t="shared" si="15"/>
        <v>0</v>
      </c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4" customHeight="1">
      <c r="A106" s="10">
        <v>134</v>
      </c>
      <c r="B106" s="11"/>
      <c r="C106" s="12" t="s">
        <v>182</v>
      </c>
      <c r="D106" s="12" t="s">
        <v>180</v>
      </c>
      <c r="E106" s="11"/>
      <c r="F106" s="11"/>
      <c r="G106" s="13"/>
      <c r="H106" s="14">
        <v>0</v>
      </c>
      <c r="I106" s="14"/>
      <c r="J106" s="14">
        <f>SUMIF(ENTRADAS!B:B,A:A,ENTRADAS!F:F)</f>
        <v>0</v>
      </c>
      <c r="K106" s="14">
        <f>SUMIF(SAÍDAS!B:B,A:A,SAÍDAS!F:F)</f>
        <v>0</v>
      </c>
      <c r="L106" s="14">
        <f t="shared" si="13"/>
        <v>0</v>
      </c>
      <c r="M106" s="13">
        <f>'SALDO ATUAL'!$G185*'SALDO ATUAL'!$I185</f>
        <v>153.30000000000001</v>
      </c>
      <c r="N106" s="13">
        <f>'SALDO ATUAL'!$G185*'SALDO ATUAL'!$L185</f>
        <v>102200</v>
      </c>
      <c r="O106" s="14" t="str">
        <f t="shared" si="14"/>
        <v>OK</v>
      </c>
      <c r="P106" s="15">
        <f t="shared" si="15"/>
        <v>0</v>
      </c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4" customHeight="1">
      <c r="A107" s="10">
        <v>136</v>
      </c>
      <c r="B107" s="11"/>
      <c r="C107" s="12" t="s">
        <v>183</v>
      </c>
      <c r="D107" s="12" t="s">
        <v>180</v>
      </c>
      <c r="E107" s="11"/>
      <c r="F107" s="11"/>
      <c r="G107" s="13"/>
      <c r="H107" s="14">
        <v>1</v>
      </c>
      <c r="I107" s="14"/>
      <c r="J107" s="14"/>
      <c r="K107" s="14"/>
      <c r="L107" s="14"/>
      <c r="M107" s="13"/>
      <c r="N107" s="13"/>
      <c r="O107" s="14"/>
      <c r="P107" s="15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4" customHeight="1">
      <c r="A108" s="10">
        <v>137</v>
      </c>
      <c r="B108" s="11"/>
      <c r="C108" s="12" t="s">
        <v>184</v>
      </c>
      <c r="D108" s="12" t="s">
        <v>180</v>
      </c>
      <c r="E108" s="11"/>
      <c r="F108" s="11"/>
      <c r="G108" s="13"/>
      <c r="H108" s="14">
        <v>0</v>
      </c>
      <c r="I108" s="14"/>
      <c r="J108" s="14">
        <f>SUMIF(ENTRADAS!B:B,A:A,ENTRADAS!F:F)</f>
        <v>0</v>
      </c>
      <c r="K108" s="14">
        <f>SUMIF(SAÍDAS!B:B,A:A,SAÍDAS!F:F)</f>
        <v>0</v>
      </c>
      <c r="L108" s="14">
        <f t="shared" ref="L108:L114" si="16">H108+J108-K108</f>
        <v>0</v>
      </c>
      <c r="M108" s="13">
        <f>'SALDO ATUAL'!$G239*'SALDO ATUAL'!$I239</f>
        <v>0</v>
      </c>
      <c r="N108" s="13">
        <f>'SALDO ATUAL'!$G239*'SALDO ATUAL'!$L239</f>
        <v>0</v>
      </c>
      <c r="O108" s="14" t="str">
        <f t="shared" ref="O108:O209" si="17">IF(L108&gt;=I108,"OK","COMPRAR")</f>
        <v>OK</v>
      </c>
      <c r="P108" s="15">
        <f t="shared" ref="P108:P209" si="18">IF(O108="COMPRAR",I108-L108,0)</f>
        <v>0</v>
      </c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4" customHeight="1">
      <c r="A109" s="10">
        <v>138</v>
      </c>
      <c r="B109" s="11"/>
      <c r="C109" s="12" t="s">
        <v>185</v>
      </c>
      <c r="D109" s="12" t="s">
        <v>30</v>
      </c>
      <c r="E109" s="11"/>
      <c r="F109" s="11"/>
      <c r="G109" s="13"/>
      <c r="H109" s="14">
        <v>0</v>
      </c>
      <c r="I109" s="14"/>
      <c r="J109" s="14">
        <f>SUMIF(ENTRADAS!B:B,A:A,ENTRADAS!F:F)</f>
        <v>0</v>
      </c>
      <c r="K109" s="14">
        <f>SUMIF(SAÍDAS!B:B,A:A,SAÍDAS!F:F)</f>
        <v>0</v>
      </c>
      <c r="L109" s="14">
        <f t="shared" si="16"/>
        <v>0</v>
      </c>
      <c r="M109" s="13">
        <f>'SALDO ATUAL'!$G192*'SALDO ATUAL'!$I192</f>
        <v>0</v>
      </c>
      <c r="N109" s="13">
        <f>'SALDO ATUAL'!$G192*'SALDO ATUAL'!$L192</f>
        <v>0</v>
      </c>
      <c r="O109" s="14" t="str">
        <f t="shared" si="17"/>
        <v>OK</v>
      </c>
      <c r="P109" s="15">
        <f t="shared" si="18"/>
        <v>0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4" customHeight="1">
      <c r="A110" s="10">
        <v>139</v>
      </c>
      <c r="B110" s="11"/>
      <c r="C110" s="12" t="s">
        <v>186</v>
      </c>
      <c r="D110" s="12" t="s">
        <v>30</v>
      </c>
      <c r="E110" s="11"/>
      <c r="F110" s="11"/>
      <c r="G110" s="13"/>
      <c r="H110" s="14">
        <v>0</v>
      </c>
      <c r="I110" s="14"/>
      <c r="J110" s="14">
        <f>SUMIF(ENTRADAS!B:B,A:A,ENTRADAS!F:F)</f>
        <v>0</v>
      </c>
      <c r="K110" s="14">
        <f>SUMIF(SAÍDAS!B:B,A:A,SAÍDAS!F:F)</f>
        <v>0</v>
      </c>
      <c r="L110" s="14">
        <f t="shared" si="16"/>
        <v>0</v>
      </c>
      <c r="M110" s="13">
        <f>'SALDO ATUAL'!$G193*'SALDO ATUAL'!$I193</f>
        <v>0</v>
      </c>
      <c r="N110" s="13">
        <f>'SALDO ATUAL'!$G193*'SALDO ATUAL'!$L193</f>
        <v>0</v>
      </c>
      <c r="O110" s="14" t="str">
        <f t="shared" si="17"/>
        <v>OK</v>
      </c>
      <c r="P110" s="15">
        <f t="shared" si="18"/>
        <v>0</v>
      </c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4" customHeight="1">
      <c r="A111" s="10">
        <v>140</v>
      </c>
      <c r="B111" s="11"/>
      <c r="C111" s="12" t="s">
        <v>187</v>
      </c>
      <c r="D111" s="12" t="s">
        <v>180</v>
      </c>
      <c r="E111" s="11"/>
      <c r="F111" s="11"/>
      <c r="G111" s="13"/>
      <c r="H111" s="14">
        <v>0</v>
      </c>
      <c r="I111" s="14"/>
      <c r="J111" s="14">
        <f>SUMIF(ENTRADAS!B:B,A:A,ENTRADAS!F:F)</f>
        <v>0</v>
      </c>
      <c r="K111" s="14">
        <f>SUMIF(SAÍDAS!B:B,A:A,SAÍDAS!F:F)</f>
        <v>0</v>
      </c>
      <c r="L111" s="14">
        <f t="shared" si="16"/>
        <v>0</v>
      </c>
      <c r="M111" s="13">
        <f>'SALDO ATUAL'!$G182*'SALDO ATUAL'!$I182</f>
        <v>0</v>
      </c>
      <c r="N111" s="13">
        <f>'SALDO ATUAL'!$G182*'SALDO ATUAL'!$L182</f>
        <v>0</v>
      </c>
      <c r="O111" s="14" t="str">
        <f t="shared" si="17"/>
        <v>OK</v>
      </c>
      <c r="P111" s="15">
        <f t="shared" si="18"/>
        <v>0</v>
      </c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4" customHeight="1">
      <c r="A112" s="10">
        <v>141</v>
      </c>
      <c r="B112" s="11"/>
      <c r="C112" s="12" t="s">
        <v>188</v>
      </c>
      <c r="D112" s="12" t="s">
        <v>180</v>
      </c>
      <c r="E112" s="11"/>
      <c r="F112" s="11"/>
      <c r="G112" s="13"/>
      <c r="H112" s="14"/>
      <c r="I112" s="14"/>
      <c r="J112" s="14">
        <f>SUMIF(ENTRADAS!B:B,A:A,ENTRADAS!F:F)</f>
        <v>0</v>
      </c>
      <c r="K112" s="14">
        <f>SUMIF(SAÍDAS!B:B,A:A,SAÍDAS!F:F)</f>
        <v>0</v>
      </c>
      <c r="L112" s="14">
        <f t="shared" si="16"/>
        <v>0</v>
      </c>
      <c r="M112" s="13">
        <f>'SALDO ATUAL'!$G116*'SALDO ATUAL'!$I116</f>
        <v>0</v>
      </c>
      <c r="N112" s="13">
        <f>'SALDO ATUAL'!$G116*'SALDO ATUAL'!$L116</f>
        <v>0</v>
      </c>
      <c r="O112" s="14" t="str">
        <f t="shared" si="17"/>
        <v>OK</v>
      </c>
      <c r="P112" s="15">
        <f t="shared" si="18"/>
        <v>0</v>
      </c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4" customHeight="1">
      <c r="A113" s="10">
        <v>142</v>
      </c>
      <c r="B113" s="11"/>
      <c r="C113" s="12" t="s">
        <v>189</v>
      </c>
      <c r="D113" s="12" t="s">
        <v>180</v>
      </c>
      <c r="E113" s="11"/>
      <c r="F113" s="11"/>
      <c r="G113" s="13"/>
      <c r="H113" s="14"/>
      <c r="I113" s="14"/>
      <c r="J113" s="14">
        <f>SUMIF(ENTRADAS!B:B,A:A,ENTRADAS!F:F)</f>
        <v>0</v>
      </c>
      <c r="K113" s="14">
        <f>SUMIF(SAÍDAS!B:B,A:A,SAÍDAS!F:F)</f>
        <v>0</v>
      </c>
      <c r="L113" s="14">
        <f t="shared" si="16"/>
        <v>0</v>
      </c>
      <c r="M113" s="13">
        <f>'SALDO ATUAL'!$G118*'SALDO ATUAL'!$I118</f>
        <v>0</v>
      </c>
      <c r="N113" s="13">
        <f>'SALDO ATUAL'!$G118*'SALDO ATUAL'!$L118</f>
        <v>0</v>
      </c>
      <c r="O113" s="14" t="str">
        <f t="shared" si="17"/>
        <v>OK</v>
      </c>
      <c r="P113" s="15">
        <f t="shared" si="18"/>
        <v>0</v>
      </c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4" customHeight="1">
      <c r="A114" s="10">
        <v>174</v>
      </c>
      <c r="B114" s="11"/>
      <c r="C114" s="12" t="s">
        <v>190</v>
      </c>
      <c r="D114" s="12" t="s">
        <v>180</v>
      </c>
      <c r="E114" s="11"/>
      <c r="F114" s="11"/>
      <c r="G114" s="13"/>
      <c r="H114" s="14">
        <v>0</v>
      </c>
      <c r="I114" s="14"/>
      <c r="J114" s="14">
        <f>SUMIF(ENTRADAS!B:B,A:A,ENTRADAS!F:F)</f>
        <v>0</v>
      </c>
      <c r="K114" s="14">
        <f>SUMIF(SAÍDAS!B:B,A:A,SAÍDAS!F:F)</f>
        <v>0</v>
      </c>
      <c r="L114" s="14">
        <f t="shared" si="16"/>
        <v>0</v>
      </c>
      <c r="M114" s="13">
        <f>'SALDO ATUAL'!$G117*'SALDO ATUAL'!$I117</f>
        <v>0</v>
      </c>
      <c r="N114" s="13">
        <f>'SALDO ATUAL'!$G117*'SALDO ATUAL'!$L117</f>
        <v>0</v>
      </c>
      <c r="O114" s="14" t="str">
        <f t="shared" si="17"/>
        <v>OK</v>
      </c>
      <c r="P114" s="15">
        <f t="shared" si="18"/>
        <v>0</v>
      </c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4" customHeight="1">
      <c r="A115" s="10">
        <v>175</v>
      </c>
      <c r="B115" s="11"/>
      <c r="C115" s="12" t="s">
        <v>191</v>
      </c>
      <c r="D115" s="12" t="s">
        <v>97</v>
      </c>
      <c r="E115" s="11"/>
      <c r="F115" s="11"/>
      <c r="G115" s="13"/>
      <c r="H115" s="14">
        <v>0</v>
      </c>
      <c r="I115" s="14"/>
      <c r="J115" s="14">
        <f>SUMIF(ENTRADAS!B:B,A:A,ENTRADAS!F:F)</f>
        <v>0</v>
      </c>
      <c r="K115" s="14">
        <f>SUMIF(SAÍDAS!B:B,A:A,SAÍDAS!F:F)</f>
        <v>0</v>
      </c>
      <c r="L115" s="14">
        <v>0</v>
      </c>
      <c r="M115" s="13">
        <f>'SALDO ATUAL'!$G101*'SALDO ATUAL'!$I101</f>
        <v>0</v>
      </c>
      <c r="N115" s="13">
        <f>'SALDO ATUAL'!$G101*'SALDO ATUAL'!$L101</f>
        <v>0</v>
      </c>
      <c r="O115" s="14" t="str">
        <f t="shared" si="17"/>
        <v>OK</v>
      </c>
      <c r="P115" s="15">
        <f t="shared" si="18"/>
        <v>0</v>
      </c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4" customHeight="1">
      <c r="A116" s="10">
        <v>176</v>
      </c>
      <c r="B116" s="11"/>
      <c r="C116" s="12" t="s">
        <v>192</v>
      </c>
      <c r="D116" s="12" t="s">
        <v>97</v>
      </c>
      <c r="E116" s="11"/>
      <c r="F116" s="11"/>
      <c r="G116" s="13"/>
      <c r="H116" s="14">
        <v>0</v>
      </c>
      <c r="I116" s="14"/>
      <c r="J116" s="14">
        <f>SUMIF(ENTRADAS!B:B,A:A,ENTRADAS!F:F)</f>
        <v>0</v>
      </c>
      <c r="K116" s="14">
        <f>SUMIF(SAÍDAS!B:B,A:A,SAÍDAS!F:F)</f>
        <v>0</v>
      </c>
      <c r="L116" s="14">
        <f t="shared" ref="L116:L209" si="19">H116+J116-K116</f>
        <v>0</v>
      </c>
      <c r="M116" s="13">
        <f>'SALDO ATUAL'!$G103*'SALDO ATUAL'!$I103</f>
        <v>0</v>
      </c>
      <c r="N116" s="13">
        <f>'SALDO ATUAL'!$G103*'SALDO ATUAL'!$L103</f>
        <v>0</v>
      </c>
      <c r="O116" s="14" t="str">
        <f t="shared" si="17"/>
        <v>OK</v>
      </c>
      <c r="P116" s="15">
        <f t="shared" si="18"/>
        <v>0</v>
      </c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4" customHeight="1">
      <c r="A117" s="10">
        <v>177</v>
      </c>
      <c r="B117" s="11"/>
      <c r="C117" s="12" t="s">
        <v>193</v>
      </c>
      <c r="D117" s="12" t="s">
        <v>180</v>
      </c>
      <c r="E117" s="11"/>
      <c r="F117" s="11"/>
      <c r="G117" s="13"/>
      <c r="H117" s="14">
        <v>0</v>
      </c>
      <c r="I117" s="14"/>
      <c r="J117" s="14">
        <f>SUMIF(ENTRADAS!B:B,A:A,ENTRADAS!F:F)</f>
        <v>0</v>
      </c>
      <c r="K117" s="14">
        <f>SUMIF(SAÍDAS!B:B,A:A,SAÍDAS!F:F)</f>
        <v>0</v>
      </c>
      <c r="L117" s="14">
        <f t="shared" si="19"/>
        <v>0</v>
      </c>
      <c r="M117" s="13">
        <f>'SALDO ATUAL'!$G119*'SALDO ATUAL'!$I119</f>
        <v>0</v>
      </c>
      <c r="N117" s="13">
        <f>'SALDO ATUAL'!$G119*'SALDO ATUAL'!$L119</f>
        <v>0</v>
      </c>
      <c r="O117" s="14" t="str">
        <f t="shared" si="17"/>
        <v>OK</v>
      </c>
      <c r="P117" s="15">
        <f t="shared" si="18"/>
        <v>0</v>
      </c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4" customHeight="1">
      <c r="A118" s="10">
        <v>178</v>
      </c>
      <c r="B118" s="11"/>
      <c r="C118" s="12" t="s">
        <v>194</v>
      </c>
      <c r="D118" s="12" t="s">
        <v>180</v>
      </c>
      <c r="E118" s="11"/>
      <c r="F118" s="11"/>
      <c r="G118" s="13"/>
      <c r="H118" s="14">
        <v>0</v>
      </c>
      <c r="I118" s="14"/>
      <c r="J118" s="14">
        <f>SUMIF(ENTRADAS!B:B,A:A,ENTRADAS!F:F)</f>
        <v>0</v>
      </c>
      <c r="K118" s="14">
        <f>SUMIF(SAÍDAS!B:B,A:A,SAÍDAS!F:F)</f>
        <v>0</v>
      </c>
      <c r="L118" s="14">
        <f t="shared" si="19"/>
        <v>0</v>
      </c>
      <c r="M118" s="13">
        <f>'SALDO ATUAL'!$G112*'SALDO ATUAL'!$I112</f>
        <v>0</v>
      </c>
      <c r="N118" s="13">
        <f>'SALDO ATUAL'!$G112*'SALDO ATUAL'!$L112</f>
        <v>0</v>
      </c>
      <c r="O118" s="14" t="str">
        <f t="shared" si="17"/>
        <v>OK</v>
      </c>
      <c r="P118" s="15">
        <f t="shared" si="18"/>
        <v>0</v>
      </c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4" customHeight="1">
      <c r="A119" s="10">
        <v>179</v>
      </c>
      <c r="B119" s="11"/>
      <c r="C119" s="12" t="s">
        <v>195</v>
      </c>
      <c r="D119" s="12" t="s">
        <v>180</v>
      </c>
      <c r="E119" s="11"/>
      <c r="F119" s="11"/>
      <c r="G119" s="13"/>
      <c r="H119" s="14"/>
      <c r="I119" s="14"/>
      <c r="J119" s="14">
        <f>SUMIF(ENTRADAS!B:B,A:A,ENTRADAS!F:F)</f>
        <v>0</v>
      </c>
      <c r="K119" s="14">
        <f>SUMIF(SAÍDAS!B:B,A:A,SAÍDAS!F:F)</f>
        <v>0</v>
      </c>
      <c r="L119" s="14">
        <f t="shared" si="19"/>
        <v>0</v>
      </c>
      <c r="M119" s="13">
        <f>'SALDO ATUAL'!$G113*'SALDO ATUAL'!$I113</f>
        <v>0</v>
      </c>
      <c r="N119" s="13">
        <f>'SALDO ATUAL'!$G113*'SALDO ATUAL'!$L113</f>
        <v>0</v>
      </c>
      <c r="O119" s="14" t="str">
        <f t="shared" si="17"/>
        <v>OK</v>
      </c>
      <c r="P119" s="15">
        <f t="shared" si="18"/>
        <v>0</v>
      </c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4" customHeight="1">
      <c r="A120" s="10">
        <v>180</v>
      </c>
      <c r="B120" s="11"/>
      <c r="C120" s="12" t="s">
        <v>196</v>
      </c>
      <c r="D120" s="12" t="s">
        <v>180</v>
      </c>
      <c r="E120" s="11"/>
      <c r="F120" s="11"/>
      <c r="G120" s="13"/>
      <c r="H120" s="14"/>
      <c r="I120" s="14"/>
      <c r="J120" s="14">
        <f>SUMIF(ENTRADAS!B:B,A:A,ENTRADAS!F:F)</f>
        <v>0</v>
      </c>
      <c r="K120" s="14">
        <f>SUMIF(SAÍDAS!B:B,A:A,SAÍDAS!F:F)</f>
        <v>0</v>
      </c>
      <c r="L120" s="14">
        <f t="shared" si="19"/>
        <v>0</v>
      </c>
      <c r="M120" s="13">
        <f>'SALDO ATUAL'!$G115*'SALDO ATUAL'!$I115</f>
        <v>0</v>
      </c>
      <c r="N120" s="13">
        <f>'SALDO ATUAL'!$G115*'SALDO ATUAL'!$L115</f>
        <v>0</v>
      </c>
      <c r="O120" s="14" t="str">
        <f t="shared" si="17"/>
        <v>OK</v>
      </c>
      <c r="P120" s="15">
        <f t="shared" si="18"/>
        <v>0</v>
      </c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4" customHeight="1">
      <c r="A121" s="10">
        <v>181</v>
      </c>
      <c r="B121" s="11"/>
      <c r="C121" s="12" t="s">
        <v>197</v>
      </c>
      <c r="D121" s="12" t="s">
        <v>180</v>
      </c>
      <c r="E121" s="11"/>
      <c r="F121" s="11"/>
      <c r="G121" s="13"/>
      <c r="H121" s="14"/>
      <c r="I121" s="14"/>
      <c r="J121" s="14">
        <f>SUMIF(ENTRADAS!B:B,A:A,ENTRADAS!F:F)</f>
        <v>0</v>
      </c>
      <c r="K121" s="14">
        <f>SUMIF(SAÍDAS!B:B,A:A,SAÍDAS!F:F)</f>
        <v>0</v>
      </c>
      <c r="L121" s="14">
        <f t="shared" si="19"/>
        <v>0</v>
      </c>
      <c r="M121" s="13">
        <f>'SALDO ATUAL'!$G82*'SALDO ATUAL'!$I82</f>
        <v>49</v>
      </c>
      <c r="N121" s="13">
        <f>'SALDO ATUAL'!$G82*'SALDO ATUAL'!$L82</f>
        <v>49</v>
      </c>
      <c r="O121" s="14" t="str">
        <f t="shared" si="17"/>
        <v>OK</v>
      </c>
      <c r="P121" s="15">
        <f t="shared" si="18"/>
        <v>0</v>
      </c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4" customHeight="1">
      <c r="A122" s="10">
        <v>182</v>
      </c>
      <c r="B122" s="11"/>
      <c r="C122" s="12" t="s">
        <v>198</v>
      </c>
      <c r="D122" s="12" t="s">
        <v>180</v>
      </c>
      <c r="E122" s="11"/>
      <c r="F122" s="11"/>
      <c r="G122" s="13"/>
      <c r="H122" s="14"/>
      <c r="I122" s="14"/>
      <c r="J122" s="14">
        <f>SUMIF(ENTRADAS!B:B,A:A,ENTRADAS!F:F)</f>
        <v>0</v>
      </c>
      <c r="K122" s="14">
        <f>SUMIF(SAÍDAS!B:B,A:A,SAÍDAS!F:F)</f>
        <v>0</v>
      </c>
      <c r="L122" s="14">
        <f t="shared" si="19"/>
        <v>0</v>
      </c>
      <c r="M122" s="13">
        <f>'SALDO ATUAL'!$G114*'SALDO ATUAL'!$I114</f>
        <v>0</v>
      </c>
      <c r="N122" s="13">
        <f>'SALDO ATUAL'!$G114*'SALDO ATUAL'!$L114</f>
        <v>0</v>
      </c>
      <c r="O122" s="14" t="str">
        <f t="shared" si="17"/>
        <v>OK</v>
      </c>
      <c r="P122" s="15">
        <f t="shared" si="18"/>
        <v>0</v>
      </c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4" customHeight="1">
      <c r="A123" s="10">
        <v>183</v>
      </c>
      <c r="B123" s="11"/>
      <c r="C123" s="12" t="s">
        <v>199</v>
      </c>
      <c r="D123" s="12" t="s">
        <v>30</v>
      </c>
      <c r="E123" s="11"/>
      <c r="F123" s="11"/>
      <c r="G123" s="13"/>
      <c r="H123" s="14">
        <v>0</v>
      </c>
      <c r="I123" s="14"/>
      <c r="J123" s="14">
        <f>SUMIF(ENTRADAS!B:B,A:A,ENTRADAS!F:F)</f>
        <v>0</v>
      </c>
      <c r="K123" s="14">
        <f>SUMIF(SAÍDAS!B:B,A:A,SAÍDAS!F:F)</f>
        <v>0</v>
      </c>
      <c r="L123" s="14">
        <f t="shared" si="19"/>
        <v>0</v>
      </c>
      <c r="M123" s="13">
        <f>'SALDO ATUAL'!$G218*'SALDO ATUAL'!$I218</f>
        <v>0</v>
      </c>
      <c r="N123" s="13">
        <f>'SALDO ATUAL'!$G218*'SALDO ATUAL'!$L218</f>
        <v>0</v>
      </c>
      <c r="O123" s="14" t="str">
        <f t="shared" si="17"/>
        <v>OK</v>
      </c>
      <c r="P123" s="15">
        <f t="shared" si="18"/>
        <v>0</v>
      </c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4" customHeight="1">
      <c r="A124" s="10">
        <v>184</v>
      </c>
      <c r="B124" s="11"/>
      <c r="C124" s="12" t="s">
        <v>200</v>
      </c>
      <c r="D124" s="12" t="s">
        <v>30</v>
      </c>
      <c r="E124" s="11"/>
      <c r="F124" s="11"/>
      <c r="G124" s="13"/>
      <c r="H124" s="14">
        <v>108</v>
      </c>
      <c r="I124" s="14"/>
      <c r="J124" s="14">
        <f>SUMIF(ENTRADAS!B:B,A:A,ENTRADAS!F:F)</f>
        <v>6</v>
      </c>
      <c r="K124" s="14">
        <f>SUMIF(SAÍDAS!B:B,A:A,SAÍDAS!F:F)</f>
        <v>0</v>
      </c>
      <c r="L124" s="14">
        <f t="shared" si="19"/>
        <v>114</v>
      </c>
      <c r="M124" s="13" t="e">
        <f>'SALDO ATUAL'!#REF!*'SALDO ATUAL'!#REF!</f>
        <v>#REF!</v>
      </c>
      <c r="N124" s="13" t="e">
        <f>'SALDO ATUAL'!#REF!*'SALDO ATUAL'!#REF!</f>
        <v>#REF!</v>
      </c>
      <c r="O124" s="14" t="str">
        <f t="shared" si="17"/>
        <v>OK</v>
      </c>
      <c r="P124" s="15">
        <f t="shared" si="18"/>
        <v>0</v>
      </c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4" customHeight="1">
      <c r="A125" s="10">
        <v>185</v>
      </c>
      <c r="B125" s="11"/>
      <c r="C125" s="12" t="s">
        <v>201</v>
      </c>
      <c r="D125" s="12" t="s">
        <v>30</v>
      </c>
      <c r="E125" s="11" t="s">
        <v>27</v>
      </c>
      <c r="F125" s="11" t="s">
        <v>130</v>
      </c>
      <c r="G125" s="13">
        <v>1.35</v>
      </c>
      <c r="H125" s="14">
        <v>10</v>
      </c>
      <c r="I125" s="14">
        <v>5</v>
      </c>
      <c r="J125" s="14">
        <f>SUMIF(ENTRADAS!B:B,A:A,ENTRADAS!F:F)</f>
        <v>20</v>
      </c>
      <c r="K125" s="14">
        <f>SUMIF(SAÍDAS!B:B,A:A,SAÍDAS!F:F)</f>
        <v>0</v>
      </c>
      <c r="L125" s="14">
        <f t="shared" si="19"/>
        <v>30</v>
      </c>
      <c r="M125" s="13" t="e">
        <f>'SALDO ATUAL'!#REF!*'SALDO ATUAL'!#REF!</f>
        <v>#REF!</v>
      </c>
      <c r="N125" s="13" t="e">
        <f>'SALDO ATUAL'!#REF!*'SALDO ATUAL'!#REF!</f>
        <v>#REF!</v>
      </c>
      <c r="O125" s="14" t="str">
        <f t="shared" si="17"/>
        <v>OK</v>
      </c>
      <c r="P125" s="15">
        <f t="shared" si="18"/>
        <v>0</v>
      </c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4" customHeight="1">
      <c r="A126" s="10">
        <v>186</v>
      </c>
      <c r="B126" s="11"/>
      <c r="C126" s="12" t="s">
        <v>202</v>
      </c>
      <c r="D126" s="12" t="s">
        <v>30</v>
      </c>
      <c r="E126" s="11"/>
      <c r="F126" s="11"/>
      <c r="G126" s="13"/>
      <c r="H126" s="14">
        <v>0</v>
      </c>
      <c r="I126" s="14"/>
      <c r="J126" s="14">
        <f>SUMIF(ENTRADAS!B:B,A:A,ENTRADAS!F:F)</f>
        <v>0</v>
      </c>
      <c r="K126" s="14">
        <f>SUMIF(SAÍDAS!B:B,A:A,SAÍDAS!F:F)</f>
        <v>0</v>
      </c>
      <c r="L126" s="14">
        <f t="shared" si="19"/>
        <v>0</v>
      </c>
      <c r="M126" s="13">
        <f>'SALDO ATUAL'!$G194*'SALDO ATUAL'!$I194</f>
        <v>0</v>
      </c>
      <c r="N126" s="13">
        <f>'SALDO ATUAL'!$G194*'SALDO ATUAL'!$L194</f>
        <v>0</v>
      </c>
      <c r="O126" s="14" t="str">
        <f t="shared" si="17"/>
        <v>OK</v>
      </c>
      <c r="P126" s="15">
        <f t="shared" si="18"/>
        <v>0</v>
      </c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4" customHeight="1">
      <c r="A127" s="10">
        <v>187</v>
      </c>
      <c r="B127" s="11"/>
      <c r="C127" s="12" t="s">
        <v>203</v>
      </c>
      <c r="D127" s="12" t="s">
        <v>23</v>
      </c>
      <c r="E127" s="11"/>
      <c r="F127" s="11"/>
      <c r="G127" s="13"/>
      <c r="H127" s="14"/>
      <c r="I127" s="14"/>
      <c r="J127" s="14">
        <f>SUMIF(ENTRADAS!B:B,A:A,ENTRADAS!F:F)</f>
        <v>0</v>
      </c>
      <c r="K127" s="14">
        <f>SUMIF(SAÍDAS!B:B,A:A,SAÍDAS!F:F)</f>
        <v>1</v>
      </c>
      <c r="L127" s="14">
        <f t="shared" si="19"/>
        <v>-1</v>
      </c>
      <c r="M127" s="13">
        <f>'SALDO ATUAL'!$G29*'SALDO ATUAL'!$I29</f>
        <v>180.74</v>
      </c>
      <c r="N127" s="13">
        <f>'SALDO ATUAL'!$G29*'SALDO ATUAL'!$L29</f>
        <v>180.74</v>
      </c>
      <c r="O127" s="14" t="str">
        <f t="shared" si="17"/>
        <v>COMPRAR</v>
      </c>
      <c r="P127" s="15">
        <f t="shared" si="18"/>
        <v>1</v>
      </c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4" customHeight="1">
      <c r="A128" s="10">
        <v>188</v>
      </c>
      <c r="B128" s="11"/>
      <c r="C128" s="12" t="s">
        <v>204</v>
      </c>
      <c r="D128" s="12" t="s">
        <v>23</v>
      </c>
      <c r="E128" s="11"/>
      <c r="F128" s="11"/>
      <c r="G128" s="13"/>
      <c r="H128" s="14">
        <v>0</v>
      </c>
      <c r="I128" s="14"/>
      <c r="J128" s="14">
        <f>SUMIF(ENTRADAS!B:B,A:A,ENTRADAS!F:F)</f>
        <v>0</v>
      </c>
      <c r="K128" s="14">
        <f>SUMIF(SAÍDAS!B:B,A:A,SAÍDAS!F:F)</f>
        <v>0</v>
      </c>
      <c r="L128" s="14">
        <f t="shared" si="19"/>
        <v>0</v>
      </c>
      <c r="M128" s="13">
        <f>'SALDO ATUAL'!$G59*'SALDO ATUAL'!$I59</f>
        <v>0</v>
      </c>
      <c r="N128" s="13">
        <f>'SALDO ATUAL'!$G59*'SALDO ATUAL'!$L59</f>
        <v>0</v>
      </c>
      <c r="O128" s="14" t="str">
        <f t="shared" si="17"/>
        <v>OK</v>
      </c>
      <c r="P128" s="15">
        <f t="shared" si="18"/>
        <v>0</v>
      </c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4" customHeight="1">
      <c r="A129" s="10">
        <v>189</v>
      </c>
      <c r="B129" s="11"/>
      <c r="C129" s="12" t="s">
        <v>205</v>
      </c>
      <c r="D129" s="12" t="s">
        <v>23</v>
      </c>
      <c r="E129" s="11"/>
      <c r="F129" s="11"/>
      <c r="G129" s="13"/>
      <c r="H129" s="14">
        <v>10</v>
      </c>
      <c r="I129" s="14"/>
      <c r="J129" s="14">
        <f>SUMIF(ENTRADAS!B:B,A:A,ENTRADAS!F:F)</f>
        <v>0</v>
      </c>
      <c r="K129" s="14">
        <f>SUMIF(SAÍDAS!B:B,A:A,SAÍDAS!F:F)</f>
        <v>0</v>
      </c>
      <c r="L129" s="14">
        <f t="shared" si="19"/>
        <v>10</v>
      </c>
      <c r="M129" s="13">
        <f>'SALDO ATUAL'!$G43*'SALDO ATUAL'!$I43</f>
        <v>0</v>
      </c>
      <c r="N129" s="13">
        <f>'SALDO ATUAL'!$G43*'SALDO ATUAL'!$L43</f>
        <v>0</v>
      </c>
      <c r="O129" s="14" t="str">
        <f t="shared" si="17"/>
        <v>OK</v>
      </c>
      <c r="P129" s="15">
        <f t="shared" si="18"/>
        <v>0</v>
      </c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4" customHeight="1">
      <c r="A130" s="10">
        <v>191</v>
      </c>
      <c r="B130" s="11"/>
      <c r="C130" s="12" t="s">
        <v>206</v>
      </c>
      <c r="D130" s="12" t="s">
        <v>30</v>
      </c>
      <c r="E130" s="11"/>
      <c r="F130" s="11"/>
      <c r="G130" s="13"/>
      <c r="H130" s="14">
        <v>48</v>
      </c>
      <c r="I130" s="14"/>
      <c r="J130" s="14">
        <f>SUMIF(ENTRADAS!B:B,A:A,ENTRADAS!F:F)</f>
        <v>0</v>
      </c>
      <c r="K130" s="14">
        <f>SUMIF(SAÍDAS!B:B,A:A,SAÍDAS!F:F)</f>
        <v>0</v>
      </c>
      <c r="L130" s="14">
        <f t="shared" si="19"/>
        <v>48</v>
      </c>
      <c r="M130" s="13">
        <f>'SALDO ATUAL'!$G219*'SALDO ATUAL'!$I219</f>
        <v>0</v>
      </c>
      <c r="N130" s="13">
        <f>'SALDO ATUAL'!$G219*'SALDO ATUAL'!$L219</f>
        <v>0</v>
      </c>
      <c r="O130" s="14" t="str">
        <f t="shared" si="17"/>
        <v>OK</v>
      </c>
      <c r="P130" s="15">
        <f t="shared" si="18"/>
        <v>0</v>
      </c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4" customHeight="1">
      <c r="A131" s="10">
        <v>192</v>
      </c>
      <c r="B131" s="11"/>
      <c r="C131" s="12" t="s">
        <v>207</v>
      </c>
      <c r="D131" s="12" t="s">
        <v>30</v>
      </c>
      <c r="E131" s="11"/>
      <c r="F131" s="11"/>
      <c r="G131" s="13"/>
      <c r="H131" s="14">
        <v>29</v>
      </c>
      <c r="I131" s="14"/>
      <c r="J131" s="14">
        <f>SUMIF(ENTRADAS!B:B,A:A,ENTRADAS!F:F)</f>
        <v>0</v>
      </c>
      <c r="K131" s="14">
        <f>SUMIF(SAÍDAS!B:B,A:A,SAÍDAS!F:F)</f>
        <v>0</v>
      </c>
      <c r="L131" s="14">
        <f t="shared" si="19"/>
        <v>29</v>
      </c>
      <c r="M131" s="13">
        <f>'SALDO ATUAL'!$G220*'SALDO ATUAL'!$I220</f>
        <v>18.5</v>
      </c>
      <c r="N131" s="13">
        <f>'SALDO ATUAL'!$G220*'SALDO ATUAL'!$L220</f>
        <v>18.5</v>
      </c>
      <c r="O131" s="14" t="str">
        <f t="shared" si="17"/>
        <v>OK</v>
      </c>
      <c r="P131" s="15">
        <f t="shared" si="18"/>
        <v>0</v>
      </c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4" customHeight="1">
      <c r="A132" s="10">
        <v>193</v>
      </c>
      <c r="B132" s="11"/>
      <c r="C132" s="12" t="s">
        <v>208</v>
      </c>
      <c r="D132" s="12" t="s">
        <v>23</v>
      </c>
      <c r="E132" s="11"/>
      <c r="F132" s="11"/>
      <c r="G132" s="13"/>
      <c r="H132" s="14"/>
      <c r="I132" s="14"/>
      <c r="J132" s="14">
        <f>SUMIF(ENTRADAS!B:B,A:A,ENTRADAS!F:F)</f>
        <v>0</v>
      </c>
      <c r="K132" s="14">
        <f>SUMIF(SAÍDAS!B:B,A:A,SAÍDAS!F:F)</f>
        <v>0</v>
      </c>
      <c r="L132" s="14">
        <f t="shared" si="19"/>
        <v>0</v>
      </c>
      <c r="M132" s="13">
        <f>'SALDO ATUAL'!$G122*'SALDO ATUAL'!$I122</f>
        <v>0</v>
      </c>
      <c r="N132" s="13">
        <f>'SALDO ATUAL'!$G122*'SALDO ATUAL'!$L122</f>
        <v>0</v>
      </c>
      <c r="O132" s="14" t="str">
        <f t="shared" si="17"/>
        <v>OK</v>
      </c>
      <c r="P132" s="15">
        <f t="shared" si="18"/>
        <v>0</v>
      </c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4" customHeight="1">
      <c r="A133" s="10">
        <v>194</v>
      </c>
      <c r="B133" s="11"/>
      <c r="C133" s="12" t="s">
        <v>209</v>
      </c>
      <c r="D133" s="12" t="s">
        <v>23</v>
      </c>
      <c r="E133" s="11"/>
      <c r="F133" s="11"/>
      <c r="G133" s="13"/>
      <c r="H133" s="14"/>
      <c r="I133" s="14"/>
      <c r="J133" s="14">
        <f>SUMIF(ENTRADAS!B:B,A:A,ENTRADAS!F:F)</f>
        <v>0</v>
      </c>
      <c r="K133" s="14">
        <f>SUMIF(SAÍDAS!B:B,A:A,SAÍDAS!F:F)</f>
        <v>0</v>
      </c>
      <c r="L133" s="14">
        <f t="shared" si="19"/>
        <v>0</v>
      </c>
      <c r="M133" s="13">
        <f>'SALDO ATUAL'!$G45*'SALDO ATUAL'!$I45</f>
        <v>169.2</v>
      </c>
      <c r="N133" s="13">
        <f>'SALDO ATUAL'!$G45*'SALDO ATUAL'!$L45</f>
        <v>676.8</v>
      </c>
      <c r="O133" s="14" t="str">
        <f t="shared" si="17"/>
        <v>OK</v>
      </c>
      <c r="P133" s="15">
        <f t="shared" si="18"/>
        <v>0</v>
      </c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4" customHeight="1">
      <c r="A134" s="10">
        <v>195</v>
      </c>
      <c r="B134" s="11"/>
      <c r="C134" s="12" t="s">
        <v>210</v>
      </c>
      <c r="D134" s="12" t="s">
        <v>18</v>
      </c>
      <c r="E134" s="11"/>
      <c r="F134" s="11"/>
      <c r="G134" s="13"/>
      <c r="H134" s="14"/>
      <c r="I134" s="14"/>
      <c r="J134" s="14">
        <f>SUMIF(ENTRADAS!B:B,A:A,ENTRADAS!F:F)</f>
        <v>0</v>
      </c>
      <c r="K134" s="14">
        <f>SUMIF(SAÍDAS!B:B,A:A,SAÍDAS!F:F)</f>
        <v>0</v>
      </c>
      <c r="L134" s="14">
        <f t="shared" si="19"/>
        <v>0</v>
      </c>
      <c r="M134" s="13">
        <f>'SALDO ATUAL'!$G229*'SALDO ATUAL'!$I229</f>
        <v>0</v>
      </c>
      <c r="N134" s="13">
        <f>'SALDO ATUAL'!$G229*'SALDO ATUAL'!$L229</f>
        <v>0</v>
      </c>
      <c r="O134" s="14" t="str">
        <f t="shared" si="17"/>
        <v>OK</v>
      </c>
      <c r="P134" s="15">
        <f t="shared" si="18"/>
        <v>0</v>
      </c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4" customHeight="1">
      <c r="A135" s="10">
        <v>196</v>
      </c>
      <c r="B135" s="11"/>
      <c r="C135" s="12" t="s">
        <v>211</v>
      </c>
      <c r="D135" s="12" t="s">
        <v>18</v>
      </c>
      <c r="E135" s="11" t="s">
        <v>212</v>
      </c>
      <c r="F135" s="11" t="s">
        <v>213</v>
      </c>
      <c r="G135" s="13">
        <v>699.91</v>
      </c>
      <c r="H135" s="14">
        <v>1</v>
      </c>
      <c r="I135" s="14">
        <v>1</v>
      </c>
      <c r="J135" s="14">
        <f>SUMIF(ENTRADAS!B:B,A:A,ENTRADAS!F:F)</f>
        <v>0</v>
      </c>
      <c r="K135" s="14">
        <f>SUMIF(SAÍDAS!B:B,A:A,SAÍDAS!F:F)</f>
        <v>0</v>
      </c>
      <c r="L135" s="14">
        <f t="shared" si="19"/>
        <v>1</v>
      </c>
      <c r="M135" s="13">
        <f>'SALDO ATUAL'!$G216*'SALDO ATUAL'!$I216</f>
        <v>18.5</v>
      </c>
      <c r="N135" s="13">
        <f>'SALDO ATUAL'!$G216*'SALDO ATUAL'!$L216</f>
        <v>18.5</v>
      </c>
      <c r="O135" s="14" t="str">
        <f t="shared" si="17"/>
        <v>OK</v>
      </c>
      <c r="P135" s="15">
        <f t="shared" si="18"/>
        <v>0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4" customHeight="1">
      <c r="A136" s="10">
        <v>197</v>
      </c>
      <c r="B136" s="11"/>
      <c r="C136" s="12" t="s">
        <v>214</v>
      </c>
      <c r="D136" s="12" t="s">
        <v>18</v>
      </c>
      <c r="E136" s="11"/>
      <c r="F136" s="11"/>
      <c r="G136" s="13"/>
      <c r="H136" s="14">
        <v>0</v>
      </c>
      <c r="I136" s="14"/>
      <c r="J136" s="14">
        <f>SUMIF(ENTRADAS!B:B,A:A,ENTRADAS!F:F)</f>
        <v>0</v>
      </c>
      <c r="K136" s="14">
        <f>SUMIF(SAÍDAS!B:B,A:A,SAÍDAS!F:F)</f>
        <v>0</v>
      </c>
      <c r="L136" s="14">
        <f t="shared" si="19"/>
        <v>0</v>
      </c>
      <c r="M136" s="13">
        <f>'SALDO ATUAL'!$G76*'SALDO ATUAL'!$I76</f>
        <v>750</v>
      </c>
      <c r="N136" s="13">
        <f>'SALDO ATUAL'!$G76*'SALDO ATUAL'!$L76</f>
        <v>300</v>
      </c>
      <c r="O136" s="14" t="str">
        <f t="shared" si="17"/>
        <v>OK</v>
      </c>
      <c r="P136" s="15">
        <f t="shared" si="18"/>
        <v>0</v>
      </c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4" customHeight="1">
      <c r="A137" s="10">
        <v>199</v>
      </c>
      <c r="B137" s="11"/>
      <c r="C137" s="12" t="s">
        <v>215</v>
      </c>
      <c r="D137" s="12" t="s">
        <v>18</v>
      </c>
      <c r="E137" s="11"/>
      <c r="F137" s="11"/>
      <c r="G137" s="13"/>
      <c r="H137" s="14"/>
      <c r="I137" s="14"/>
      <c r="J137" s="14">
        <f>SUMIF(ENTRADAS!B:B,A:A,ENTRADAS!F:F)</f>
        <v>0</v>
      </c>
      <c r="K137" s="14">
        <f>SUMIF(SAÍDAS!B:B,A:A,SAÍDAS!F:F)</f>
        <v>0</v>
      </c>
      <c r="L137" s="14">
        <f t="shared" si="19"/>
        <v>0</v>
      </c>
      <c r="M137" s="13">
        <f>'SALDO ATUAL'!$G187*'SALDO ATUAL'!$I187</f>
        <v>1370</v>
      </c>
      <c r="N137" s="13">
        <f>'SALDO ATUAL'!$G187*'SALDO ATUAL'!$L187</f>
        <v>3836</v>
      </c>
      <c r="O137" s="14" t="str">
        <f t="shared" si="17"/>
        <v>OK</v>
      </c>
      <c r="P137" s="15">
        <f t="shared" si="18"/>
        <v>0</v>
      </c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4" customHeight="1">
      <c r="A138" s="10">
        <v>200</v>
      </c>
      <c r="B138" s="11"/>
      <c r="C138" s="12" t="s">
        <v>216</v>
      </c>
      <c r="D138" s="12" t="s">
        <v>97</v>
      </c>
      <c r="E138" s="11" t="s">
        <v>118</v>
      </c>
      <c r="F138" s="11" t="s">
        <v>20</v>
      </c>
      <c r="G138" s="13">
        <v>33.979999999999997</v>
      </c>
      <c r="H138" s="14">
        <v>7</v>
      </c>
      <c r="I138" s="14">
        <v>4</v>
      </c>
      <c r="J138" s="14">
        <f>SUMIF(ENTRADAS!B:B,A:A,ENTRADAS!F:F)</f>
        <v>0</v>
      </c>
      <c r="K138" s="14">
        <f>SUMIF(SAÍDAS!B:B,A:A,SAÍDAS!F:F)</f>
        <v>4</v>
      </c>
      <c r="L138" s="14">
        <f t="shared" si="19"/>
        <v>3</v>
      </c>
      <c r="M138" s="13">
        <f>'SALDO ATUAL'!$G108*'SALDO ATUAL'!$I108</f>
        <v>0</v>
      </c>
      <c r="N138" s="13">
        <f>'SALDO ATUAL'!$G108*'SALDO ATUAL'!$L108</f>
        <v>0</v>
      </c>
      <c r="O138" s="14" t="str">
        <f t="shared" si="17"/>
        <v>COMPRAR</v>
      </c>
      <c r="P138" s="15">
        <f t="shared" si="18"/>
        <v>1</v>
      </c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4" customHeight="1">
      <c r="A139" s="10">
        <v>201</v>
      </c>
      <c r="B139" s="11"/>
      <c r="C139" s="12" t="s">
        <v>217</v>
      </c>
      <c r="D139" s="12" t="s">
        <v>218</v>
      </c>
      <c r="E139" s="11" t="s">
        <v>219</v>
      </c>
      <c r="F139" s="11" t="s">
        <v>220</v>
      </c>
      <c r="G139" s="13">
        <v>129.27000000000001</v>
      </c>
      <c r="H139" s="14">
        <v>20</v>
      </c>
      <c r="I139" s="14">
        <v>10</v>
      </c>
      <c r="J139" s="14">
        <f>SUMIF(ENTRADAS!B:B,A:A,ENTRADAS!F:F)</f>
        <v>0</v>
      </c>
      <c r="K139" s="14">
        <f>SUMIF(SAÍDAS!B:B,A:A,SAÍDAS!F:F)</f>
        <v>5</v>
      </c>
      <c r="L139" s="14">
        <f t="shared" si="19"/>
        <v>15</v>
      </c>
      <c r="M139" s="13">
        <f>'SALDO ATUAL'!$G272*'SALDO ATUAL'!$I272</f>
        <v>0</v>
      </c>
      <c r="N139" s="13">
        <f>'SALDO ATUAL'!$G272*'SALDO ATUAL'!$L272</f>
        <v>0</v>
      </c>
      <c r="O139" s="14" t="str">
        <f t="shared" si="17"/>
        <v>OK</v>
      </c>
      <c r="P139" s="15">
        <f t="shared" si="18"/>
        <v>0</v>
      </c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4" customHeight="1">
      <c r="A140" s="10">
        <v>202</v>
      </c>
      <c r="B140" s="11"/>
      <c r="C140" s="12" t="s">
        <v>221</v>
      </c>
      <c r="D140" s="12" t="s">
        <v>218</v>
      </c>
      <c r="E140" s="11" t="s">
        <v>219</v>
      </c>
      <c r="F140" s="11" t="s">
        <v>220</v>
      </c>
      <c r="G140" s="13">
        <v>129.27000000000001</v>
      </c>
      <c r="H140" s="14">
        <v>15</v>
      </c>
      <c r="I140" s="14">
        <v>10</v>
      </c>
      <c r="J140" s="14">
        <f>SUMIF(ENTRADAS!B:B,A:A,ENTRADAS!F:F)</f>
        <v>0</v>
      </c>
      <c r="K140" s="14">
        <f>SUMIF(SAÍDAS!B:B,A:A,SAÍDAS!F:F)</f>
        <v>5</v>
      </c>
      <c r="L140" s="14">
        <f t="shared" si="19"/>
        <v>10</v>
      </c>
      <c r="M140" s="13">
        <f>'SALDO ATUAL'!$G273*'SALDO ATUAL'!$I273</f>
        <v>0</v>
      </c>
      <c r="N140" s="13">
        <f>'SALDO ATUAL'!$G273*'SALDO ATUAL'!$L273</f>
        <v>0</v>
      </c>
      <c r="O140" s="14" t="str">
        <f t="shared" si="17"/>
        <v>OK</v>
      </c>
      <c r="P140" s="15">
        <f t="shared" si="18"/>
        <v>0</v>
      </c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4" customHeight="1">
      <c r="A141" s="10">
        <v>203</v>
      </c>
      <c r="B141" s="11"/>
      <c r="C141" s="12" t="s">
        <v>222</v>
      </c>
      <c r="D141" s="12" t="s">
        <v>18</v>
      </c>
      <c r="E141" s="11" t="s">
        <v>118</v>
      </c>
      <c r="F141" s="11" t="s">
        <v>20</v>
      </c>
      <c r="G141" s="13">
        <v>180</v>
      </c>
      <c r="H141" s="14">
        <v>17</v>
      </c>
      <c r="I141" s="14">
        <v>4</v>
      </c>
      <c r="J141" s="14">
        <f>SUMIF(ENTRADAS!B:B,A:A,ENTRADAS!F:F)</f>
        <v>6</v>
      </c>
      <c r="K141" s="14">
        <f>SUMIF(SAÍDAS!B:B,A:A,SAÍDAS!F:F)</f>
        <v>12</v>
      </c>
      <c r="L141" s="14">
        <f t="shared" si="19"/>
        <v>11</v>
      </c>
      <c r="M141" s="13">
        <f>'SALDO ATUAL'!$G275*'SALDO ATUAL'!$I275</f>
        <v>74.900000000000006</v>
      </c>
      <c r="N141" s="13">
        <f>'SALDO ATUAL'!$G275*'SALDO ATUAL'!$L275</f>
        <v>74.900000000000006</v>
      </c>
      <c r="O141" s="14" t="str">
        <f t="shared" si="17"/>
        <v>OK</v>
      </c>
      <c r="P141" s="15">
        <f t="shared" si="18"/>
        <v>0</v>
      </c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4" customHeight="1">
      <c r="A142" s="10">
        <v>204</v>
      </c>
      <c r="B142" s="11"/>
      <c r="C142" s="12" t="s">
        <v>223</v>
      </c>
      <c r="D142" s="12" t="s">
        <v>30</v>
      </c>
      <c r="E142" s="11"/>
      <c r="F142" s="11"/>
      <c r="G142" s="13"/>
      <c r="H142" s="14">
        <v>9</v>
      </c>
      <c r="I142" s="14">
        <v>4</v>
      </c>
      <c r="J142" s="14">
        <f>SUMIF(ENTRADAS!B:B,A:A,ENTRADAS!F:F)</f>
        <v>0</v>
      </c>
      <c r="K142" s="14">
        <f>SUMIF(SAÍDAS!B:B,A:A,SAÍDAS!F:F)</f>
        <v>0</v>
      </c>
      <c r="L142" s="14">
        <f t="shared" si="19"/>
        <v>9</v>
      </c>
      <c r="M142" s="13">
        <f>'SALDO ATUAL'!$G176*'SALDO ATUAL'!$I176</f>
        <v>0</v>
      </c>
      <c r="N142" s="13">
        <f>'SALDO ATUAL'!$G176*'SALDO ATUAL'!$L176</f>
        <v>0</v>
      </c>
      <c r="O142" s="14" t="str">
        <f t="shared" si="17"/>
        <v>OK</v>
      </c>
      <c r="P142" s="15">
        <f t="shared" si="18"/>
        <v>0</v>
      </c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4" customHeight="1">
      <c r="A143" s="10">
        <v>205</v>
      </c>
      <c r="B143" s="11"/>
      <c r="C143" s="12" t="s">
        <v>224</v>
      </c>
      <c r="D143" s="12" t="s">
        <v>18</v>
      </c>
      <c r="E143" s="11">
        <v>0</v>
      </c>
      <c r="F143" s="11">
        <v>0</v>
      </c>
      <c r="G143" s="13">
        <v>0</v>
      </c>
      <c r="H143" s="14">
        <v>0</v>
      </c>
      <c r="I143" s="14">
        <v>0</v>
      </c>
      <c r="J143" s="14">
        <f>SUMIF(ENTRADAS!B:B,A:A,ENTRADAS!F:F)</f>
        <v>0</v>
      </c>
      <c r="K143" s="14">
        <f>SUMIF(SAÍDAS!B:B,A:A,SAÍDAS!F:F)</f>
        <v>0</v>
      </c>
      <c r="L143" s="14">
        <f t="shared" si="19"/>
        <v>0</v>
      </c>
      <c r="M143" s="13">
        <f>'SALDO ATUAL'!$G234*'SALDO ATUAL'!$I234</f>
        <v>24.599999999999998</v>
      </c>
      <c r="N143" s="13">
        <f>'SALDO ATUAL'!$G234*'SALDO ATUAL'!$L234</f>
        <v>23.779999999999998</v>
      </c>
      <c r="O143" s="14" t="str">
        <f t="shared" si="17"/>
        <v>OK</v>
      </c>
      <c r="P143" s="15">
        <f t="shared" si="18"/>
        <v>0</v>
      </c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4" customHeight="1">
      <c r="A144" s="10">
        <v>206</v>
      </c>
      <c r="B144" s="11"/>
      <c r="C144" s="12" t="s">
        <v>225</v>
      </c>
      <c r="D144" s="12" t="s">
        <v>30</v>
      </c>
      <c r="E144" s="11">
        <v>0</v>
      </c>
      <c r="F144" s="11">
        <v>0</v>
      </c>
      <c r="G144" s="13">
        <v>0</v>
      </c>
      <c r="H144" s="14">
        <v>0</v>
      </c>
      <c r="I144" s="14">
        <v>0</v>
      </c>
      <c r="J144" s="14">
        <f>SUMIF(ENTRADAS!B:B,A:A,ENTRADAS!F:F)</f>
        <v>0</v>
      </c>
      <c r="K144" s="14">
        <f>SUMIF(SAÍDAS!B:B,A:A,SAÍDAS!F:F)</f>
        <v>0</v>
      </c>
      <c r="L144" s="14">
        <f t="shared" si="19"/>
        <v>0</v>
      </c>
      <c r="M144" s="13">
        <f>'SALDO ATUAL'!$G158*'SALDO ATUAL'!$I158</f>
        <v>520</v>
      </c>
      <c r="N144" s="13">
        <f>'SALDO ATUAL'!$G158*'SALDO ATUAL'!$L158</f>
        <v>52</v>
      </c>
      <c r="O144" s="14" t="str">
        <f t="shared" si="17"/>
        <v>OK</v>
      </c>
      <c r="P144" s="15">
        <f t="shared" si="18"/>
        <v>0</v>
      </c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4" customHeight="1">
      <c r="A145" s="10">
        <v>207</v>
      </c>
      <c r="B145" s="11"/>
      <c r="C145" s="12" t="s">
        <v>226</v>
      </c>
      <c r="D145" s="12" t="s">
        <v>30</v>
      </c>
      <c r="E145" s="11">
        <v>0</v>
      </c>
      <c r="F145" s="11">
        <v>0</v>
      </c>
      <c r="G145" s="13">
        <v>0</v>
      </c>
      <c r="H145" s="14">
        <v>0</v>
      </c>
      <c r="I145" s="14">
        <v>0</v>
      </c>
      <c r="J145" s="14">
        <f>SUMIF(ENTRADAS!B:B,A:A,ENTRADAS!F:F)</f>
        <v>0</v>
      </c>
      <c r="K145" s="14">
        <f>SUMIF(SAÍDAS!B:B,A:A,SAÍDAS!F:F)</f>
        <v>0</v>
      </c>
      <c r="L145" s="14">
        <f t="shared" si="19"/>
        <v>0</v>
      </c>
      <c r="M145" s="13">
        <f>'SALDO ATUAL'!$G159*'SALDO ATUAL'!$I159</f>
        <v>0</v>
      </c>
      <c r="N145" s="13">
        <f>'SALDO ATUAL'!$G159*'SALDO ATUAL'!$L159</f>
        <v>0</v>
      </c>
      <c r="O145" s="14" t="str">
        <f t="shared" si="17"/>
        <v>OK</v>
      </c>
      <c r="P145" s="15">
        <f t="shared" si="18"/>
        <v>0</v>
      </c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4" customHeight="1">
      <c r="A146" s="10">
        <v>208</v>
      </c>
      <c r="B146" s="11"/>
      <c r="C146" s="12" t="s">
        <v>227</v>
      </c>
      <c r="D146" s="12" t="s">
        <v>30</v>
      </c>
      <c r="E146" s="11">
        <v>0</v>
      </c>
      <c r="F146" s="11">
        <v>0</v>
      </c>
      <c r="G146" s="13">
        <v>0</v>
      </c>
      <c r="H146" s="14">
        <v>0</v>
      </c>
      <c r="I146" s="14">
        <v>0</v>
      </c>
      <c r="J146" s="14">
        <f>SUMIF(ENTRADAS!B:B,A:A,ENTRADAS!F:F)</f>
        <v>0</v>
      </c>
      <c r="K146" s="14">
        <f>SUMIF(SAÍDAS!B:B,A:A,SAÍDAS!F:F)</f>
        <v>0</v>
      </c>
      <c r="L146" s="14">
        <f t="shared" si="19"/>
        <v>0</v>
      </c>
      <c r="M146" s="13">
        <f>'SALDO ATUAL'!$G237*'SALDO ATUAL'!$I237</f>
        <v>0</v>
      </c>
      <c r="N146" s="13">
        <f>'SALDO ATUAL'!$G237*'SALDO ATUAL'!$L237</f>
        <v>0</v>
      </c>
      <c r="O146" s="14" t="str">
        <f t="shared" si="17"/>
        <v>OK</v>
      </c>
      <c r="P146" s="15">
        <f t="shared" si="18"/>
        <v>0</v>
      </c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4" customHeight="1">
      <c r="A147" s="10">
        <v>209</v>
      </c>
      <c r="B147" s="11"/>
      <c r="C147" s="12" t="s">
        <v>228</v>
      </c>
      <c r="D147" s="12" t="s">
        <v>30</v>
      </c>
      <c r="E147" s="11" t="s">
        <v>219</v>
      </c>
      <c r="F147" s="11" t="s">
        <v>229</v>
      </c>
      <c r="G147" s="13">
        <v>44</v>
      </c>
      <c r="H147" s="14">
        <v>9</v>
      </c>
      <c r="I147" s="14">
        <v>5</v>
      </c>
      <c r="J147" s="14">
        <f>SUMIF(ENTRADAS!B:B,A:A,ENTRADAS!F:F)</f>
        <v>2</v>
      </c>
      <c r="K147" s="14">
        <f>SUMIF(SAÍDAS!B:B,A:A,SAÍDAS!F:F)</f>
        <v>2</v>
      </c>
      <c r="L147" s="14">
        <f t="shared" si="19"/>
        <v>9</v>
      </c>
      <c r="M147" s="13">
        <f>'SALDO ATUAL'!$G238*'SALDO ATUAL'!$I238</f>
        <v>0</v>
      </c>
      <c r="N147" s="13">
        <f>'SALDO ATUAL'!$G238*'SALDO ATUAL'!$L238</f>
        <v>0</v>
      </c>
      <c r="O147" s="14" t="str">
        <f t="shared" si="17"/>
        <v>OK</v>
      </c>
      <c r="P147" s="15">
        <f t="shared" si="18"/>
        <v>0</v>
      </c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4" customHeight="1">
      <c r="A148" s="10">
        <v>210</v>
      </c>
      <c r="B148" s="11"/>
      <c r="C148" s="12" t="s">
        <v>230</v>
      </c>
      <c r="D148" s="12" t="s">
        <v>30</v>
      </c>
      <c r="E148" s="11"/>
      <c r="F148" s="11"/>
      <c r="G148" s="13"/>
      <c r="H148" s="14">
        <v>1</v>
      </c>
      <c r="I148" s="14"/>
      <c r="J148" s="14">
        <f>SUMIF(ENTRADAS!B:B,A:A,ENTRADAS!F:F)</f>
        <v>0</v>
      </c>
      <c r="K148" s="14">
        <f>SUMIF(SAÍDAS!B:B,A:A,SAÍDAS!F:F)</f>
        <v>0</v>
      </c>
      <c r="L148" s="14">
        <f t="shared" si="19"/>
        <v>1</v>
      </c>
      <c r="M148" s="13">
        <f>'SALDO ATUAL'!$G222*'SALDO ATUAL'!$I222</f>
        <v>49.99</v>
      </c>
      <c r="N148" s="13">
        <f>'SALDO ATUAL'!$G222*'SALDO ATUAL'!$L222</f>
        <v>199.96</v>
      </c>
      <c r="O148" s="14" t="str">
        <f t="shared" si="17"/>
        <v>OK</v>
      </c>
      <c r="P148" s="15">
        <f t="shared" si="18"/>
        <v>0</v>
      </c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4" customHeight="1">
      <c r="A149" s="10">
        <v>211</v>
      </c>
      <c r="B149" s="11"/>
      <c r="C149" s="12" t="s">
        <v>231</v>
      </c>
      <c r="D149" s="12" t="s">
        <v>18</v>
      </c>
      <c r="E149" s="11">
        <v>0</v>
      </c>
      <c r="F149" s="11">
        <v>0</v>
      </c>
      <c r="G149" s="13">
        <v>0</v>
      </c>
      <c r="H149" s="14">
        <v>0</v>
      </c>
      <c r="I149" s="14">
        <v>0</v>
      </c>
      <c r="J149" s="14">
        <f>SUMIF(ENTRADAS!B:B,A:A,ENTRADAS!F:F)</f>
        <v>0</v>
      </c>
      <c r="K149" s="14">
        <f>SUMIF(SAÍDAS!B:B,A:A,SAÍDAS!F:F)</f>
        <v>0</v>
      </c>
      <c r="L149" s="14">
        <f t="shared" si="19"/>
        <v>0</v>
      </c>
      <c r="M149" s="13">
        <f>'SALDO ATUAL'!$G228*'SALDO ATUAL'!$I228</f>
        <v>0</v>
      </c>
      <c r="N149" s="13">
        <f>'SALDO ATUAL'!$G228*'SALDO ATUAL'!$L228</f>
        <v>0</v>
      </c>
      <c r="O149" s="14" t="str">
        <f t="shared" si="17"/>
        <v>OK</v>
      </c>
      <c r="P149" s="15">
        <f t="shared" si="18"/>
        <v>0</v>
      </c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4" customHeight="1">
      <c r="A150" s="10">
        <v>212</v>
      </c>
      <c r="B150" s="11"/>
      <c r="C150" s="12" t="s">
        <v>232</v>
      </c>
      <c r="D150" s="12" t="s">
        <v>26</v>
      </c>
      <c r="E150" s="11" t="s">
        <v>219</v>
      </c>
      <c r="F150" s="11" t="s">
        <v>233</v>
      </c>
      <c r="G150" s="13"/>
      <c r="H150" s="14">
        <v>10</v>
      </c>
      <c r="I150" s="14">
        <v>5</v>
      </c>
      <c r="J150" s="14">
        <f>SUMIF(ENTRADAS!B:B,A:A,ENTRADAS!F:F)</f>
        <v>0</v>
      </c>
      <c r="K150" s="14">
        <f>SUMIF(SAÍDAS!B:B,A:A,SAÍDAS!F:F)</f>
        <v>0</v>
      </c>
      <c r="L150" s="14">
        <f t="shared" si="19"/>
        <v>10</v>
      </c>
      <c r="M150" s="13">
        <f>'SALDO ATUAL'!$G94*'SALDO ATUAL'!$I94</f>
        <v>17.5</v>
      </c>
      <c r="N150" s="13">
        <f>'SALDO ATUAL'!$G94*'SALDO ATUAL'!$L94</f>
        <v>17.5</v>
      </c>
      <c r="O150" s="14" t="str">
        <f t="shared" si="17"/>
        <v>OK</v>
      </c>
      <c r="P150" s="15">
        <f t="shared" si="18"/>
        <v>0</v>
      </c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4" customHeight="1">
      <c r="A151" s="10">
        <v>213</v>
      </c>
      <c r="B151" s="11"/>
      <c r="C151" s="12" t="s">
        <v>234</v>
      </c>
      <c r="D151" s="12" t="s">
        <v>30</v>
      </c>
      <c r="E151" s="11">
        <v>0</v>
      </c>
      <c r="F151" s="11">
        <v>0</v>
      </c>
      <c r="G151" s="13">
        <v>0</v>
      </c>
      <c r="H151" s="14">
        <v>0</v>
      </c>
      <c r="I151" s="14">
        <v>0</v>
      </c>
      <c r="J151" s="14">
        <f>SUMIF(ENTRADAS!B:B,A:A,ENTRADAS!F:F)</f>
        <v>0</v>
      </c>
      <c r="K151" s="14">
        <f>SUMIF(SAÍDAS!B:B,A:A,SAÍDAS!F:F)</f>
        <v>0</v>
      </c>
      <c r="L151" s="14">
        <f t="shared" si="19"/>
        <v>0</v>
      </c>
      <c r="M151" s="13">
        <f>'SALDO ATUAL'!$G170*'SALDO ATUAL'!$I170</f>
        <v>0</v>
      </c>
      <c r="N151" s="13">
        <f>'SALDO ATUAL'!$G170*'SALDO ATUAL'!$L170</f>
        <v>0</v>
      </c>
      <c r="O151" s="14" t="str">
        <f t="shared" si="17"/>
        <v>OK</v>
      </c>
      <c r="P151" s="15">
        <f t="shared" si="18"/>
        <v>0</v>
      </c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4" customHeight="1">
      <c r="A152" s="10">
        <v>214</v>
      </c>
      <c r="B152" s="11"/>
      <c r="C152" s="12" t="s">
        <v>235</v>
      </c>
      <c r="D152" s="12" t="s">
        <v>30</v>
      </c>
      <c r="E152" s="11">
        <v>0</v>
      </c>
      <c r="F152" s="11">
        <v>0</v>
      </c>
      <c r="G152" s="13">
        <v>0</v>
      </c>
      <c r="H152" s="14">
        <v>0</v>
      </c>
      <c r="I152" s="14">
        <v>0</v>
      </c>
      <c r="J152" s="14">
        <f>SUMIF(ENTRADAS!B:B,A:A,ENTRADAS!F:F)</f>
        <v>0</v>
      </c>
      <c r="K152" s="14">
        <f>SUMIF(SAÍDAS!B:B,A:A,SAÍDAS!F:F)</f>
        <v>0</v>
      </c>
      <c r="L152" s="14">
        <f t="shared" si="19"/>
        <v>0</v>
      </c>
      <c r="M152" s="13">
        <f>'SALDO ATUAL'!$G50*'SALDO ATUAL'!$I50</f>
        <v>0</v>
      </c>
      <c r="N152" s="13">
        <f>'SALDO ATUAL'!$G50*'SALDO ATUAL'!$L50</f>
        <v>0</v>
      </c>
      <c r="O152" s="14" t="str">
        <f t="shared" si="17"/>
        <v>OK</v>
      </c>
      <c r="P152" s="15">
        <f t="shared" si="18"/>
        <v>0</v>
      </c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4" customHeight="1">
      <c r="A153" s="10">
        <v>215</v>
      </c>
      <c r="B153" s="11"/>
      <c r="C153" s="12" t="s">
        <v>236</v>
      </c>
      <c r="D153" s="12" t="s">
        <v>30</v>
      </c>
      <c r="E153" s="11"/>
      <c r="F153" s="11"/>
      <c r="G153" s="13"/>
      <c r="H153" s="14">
        <v>1</v>
      </c>
      <c r="I153" s="14"/>
      <c r="J153" s="14">
        <f>SUMIF(ENTRADAS!B:B,A:A,ENTRADAS!F:F)</f>
        <v>0</v>
      </c>
      <c r="K153" s="14">
        <f>SUMIF(SAÍDAS!B:B,A:A,SAÍDAS!F:F)</f>
        <v>0</v>
      </c>
      <c r="L153" s="14">
        <f t="shared" si="19"/>
        <v>1</v>
      </c>
      <c r="M153" s="13">
        <f>'SALDO ATUAL'!$G223*'SALDO ATUAL'!$I223</f>
        <v>0</v>
      </c>
      <c r="N153" s="13">
        <f>'SALDO ATUAL'!$G223*'SALDO ATUAL'!$L223</f>
        <v>0</v>
      </c>
      <c r="O153" s="14" t="str">
        <f t="shared" si="17"/>
        <v>OK</v>
      </c>
      <c r="P153" s="15">
        <f t="shared" si="18"/>
        <v>0</v>
      </c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4" customHeight="1">
      <c r="A154" s="10">
        <v>216</v>
      </c>
      <c r="B154" s="11"/>
      <c r="C154" s="12" t="s">
        <v>237</v>
      </c>
      <c r="D154" s="12" t="s">
        <v>30</v>
      </c>
      <c r="E154" s="11"/>
      <c r="F154" s="11"/>
      <c r="G154" s="13"/>
      <c r="H154" s="14">
        <v>5</v>
      </c>
      <c r="I154" s="14"/>
      <c r="J154" s="14">
        <f>SUMIF(ENTRADAS!B:B,A:A,ENTRADAS!F:F)</f>
        <v>0</v>
      </c>
      <c r="K154" s="14">
        <f>SUMIF(SAÍDAS!B:B,A:A,SAÍDAS!F:F)</f>
        <v>0</v>
      </c>
      <c r="L154" s="14">
        <f t="shared" si="19"/>
        <v>5</v>
      </c>
      <c r="M154" s="13">
        <f>'SALDO ATUAL'!$G180*'SALDO ATUAL'!$I180</f>
        <v>0</v>
      </c>
      <c r="N154" s="13">
        <f>'SALDO ATUAL'!$G180*'SALDO ATUAL'!$L180</f>
        <v>0</v>
      </c>
      <c r="O154" s="14" t="str">
        <f t="shared" si="17"/>
        <v>OK</v>
      </c>
      <c r="P154" s="15">
        <f t="shared" si="18"/>
        <v>0</v>
      </c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4" customHeight="1">
      <c r="A155" s="10">
        <v>217</v>
      </c>
      <c r="B155" s="11"/>
      <c r="C155" s="18" t="s">
        <v>238</v>
      </c>
      <c r="D155" s="12" t="s">
        <v>30</v>
      </c>
      <c r="E155" s="11"/>
      <c r="F155" s="11"/>
      <c r="G155" s="13"/>
      <c r="H155" s="14">
        <v>9</v>
      </c>
      <c r="I155" s="14"/>
      <c r="J155" s="14">
        <f>SUMIF(ENTRADAS!B:B,A:A,ENTRADAS!F:F)</f>
        <v>0</v>
      </c>
      <c r="K155" s="14">
        <f>SUMIF(SAÍDAS!B:B,A:A,SAÍDAS!F:F)</f>
        <v>0</v>
      </c>
      <c r="L155" s="14">
        <f t="shared" si="19"/>
        <v>9</v>
      </c>
      <c r="M155" s="13">
        <f>'SALDO ATUAL'!$G254*'SALDO ATUAL'!$I254</f>
        <v>0</v>
      </c>
      <c r="N155" s="13">
        <f>'SALDO ATUAL'!$G254*'SALDO ATUAL'!$L254</f>
        <v>0</v>
      </c>
      <c r="O155" s="14" t="str">
        <f t="shared" si="17"/>
        <v>OK</v>
      </c>
      <c r="P155" s="15">
        <f t="shared" si="18"/>
        <v>0</v>
      </c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4" customHeight="1">
      <c r="A156" s="10">
        <v>218</v>
      </c>
      <c r="B156" s="11"/>
      <c r="C156" s="12" t="s">
        <v>239</v>
      </c>
      <c r="D156" s="12" t="s">
        <v>30</v>
      </c>
      <c r="E156" s="11" t="s">
        <v>240</v>
      </c>
      <c r="F156" s="11" t="s">
        <v>241</v>
      </c>
      <c r="G156" s="13">
        <v>36</v>
      </c>
      <c r="H156" s="14">
        <v>9</v>
      </c>
      <c r="I156" s="14">
        <v>5</v>
      </c>
      <c r="J156" s="14">
        <f>SUMIF(ENTRADAS!B:B,A:A,ENTRADAS!F:F)</f>
        <v>4</v>
      </c>
      <c r="K156" s="14">
        <f>SUMIF(SAÍDAS!B:B,A:A,SAÍDAS!F:F)</f>
        <v>9</v>
      </c>
      <c r="L156" s="14">
        <f t="shared" si="19"/>
        <v>4</v>
      </c>
      <c r="M156" s="13">
        <f>'SALDO ATUAL'!$G21*'SALDO ATUAL'!$I21</f>
        <v>26316.399999999998</v>
      </c>
      <c r="N156" s="13">
        <f>'SALDO ATUAL'!$G21*'SALDO ATUAL'!$L21</f>
        <v>14474.019999999999</v>
      </c>
      <c r="O156" s="14" t="str">
        <f t="shared" si="17"/>
        <v>COMPRAR</v>
      </c>
      <c r="P156" s="15">
        <f t="shared" si="18"/>
        <v>1</v>
      </c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4" customHeight="1">
      <c r="A157" s="10">
        <v>219</v>
      </c>
      <c r="B157" s="11"/>
      <c r="C157" s="12" t="s">
        <v>242</v>
      </c>
      <c r="D157" s="12" t="s">
        <v>30</v>
      </c>
      <c r="E157" s="11"/>
      <c r="F157" s="11"/>
      <c r="G157" s="13"/>
      <c r="H157" s="14">
        <v>1</v>
      </c>
      <c r="I157" s="14"/>
      <c r="J157" s="14">
        <f>SUMIF(ENTRADAS!B:B,A:A,ENTRADAS!F:F)</f>
        <v>0</v>
      </c>
      <c r="K157" s="14">
        <f>SUMIF(SAÍDAS!B:B,A:A,SAÍDAS!F:F)</f>
        <v>0</v>
      </c>
      <c r="L157" s="14">
        <f t="shared" si="19"/>
        <v>1</v>
      </c>
      <c r="M157" s="13">
        <f>'SALDO ATUAL'!$G225*'SALDO ATUAL'!$I225</f>
        <v>2.75</v>
      </c>
      <c r="N157" s="13">
        <f>'SALDO ATUAL'!$G225*'SALDO ATUAL'!$L225</f>
        <v>5.5</v>
      </c>
      <c r="O157" s="14" t="str">
        <f t="shared" si="17"/>
        <v>OK</v>
      </c>
      <c r="P157" s="15">
        <f t="shared" si="18"/>
        <v>0</v>
      </c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4" customHeight="1">
      <c r="A158" s="10">
        <v>220</v>
      </c>
      <c r="B158" s="11"/>
      <c r="C158" s="12" t="s">
        <v>243</v>
      </c>
      <c r="D158" s="12" t="s">
        <v>137</v>
      </c>
      <c r="E158" s="11" t="s">
        <v>75</v>
      </c>
      <c r="F158" s="11" t="s">
        <v>138</v>
      </c>
      <c r="G158" s="13">
        <v>52</v>
      </c>
      <c r="H158" s="14">
        <v>19</v>
      </c>
      <c r="I158" s="14">
        <v>10</v>
      </c>
      <c r="J158" s="14">
        <f>SUMIF(ENTRADAS!B:B,A:A,ENTRADAS!F:F)</f>
        <v>0</v>
      </c>
      <c r="K158" s="14">
        <f>SUMIF(SAÍDAS!B:B,A:A,SAÍDAS!F:F)</f>
        <v>18</v>
      </c>
      <c r="L158" s="14">
        <f t="shared" si="19"/>
        <v>1</v>
      </c>
      <c r="M158" s="13">
        <f>'SALDO ATUAL'!$G51*'SALDO ATUAL'!$I51</f>
        <v>0</v>
      </c>
      <c r="N158" s="13">
        <f>'SALDO ATUAL'!$G51*'SALDO ATUAL'!$L51</f>
        <v>0</v>
      </c>
      <c r="O158" s="14" t="str">
        <f t="shared" si="17"/>
        <v>COMPRAR</v>
      </c>
      <c r="P158" s="15">
        <f t="shared" si="18"/>
        <v>9</v>
      </c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4" customHeight="1">
      <c r="A159" s="10">
        <v>221</v>
      </c>
      <c r="B159" s="11"/>
      <c r="C159" s="12" t="s">
        <v>244</v>
      </c>
      <c r="D159" s="12" t="s">
        <v>30</v>
      </c>
      <c r="E159" s="11"/>
      <c r="F159" s="11"/>
      <c r="G159" s="13"/>
      <c r="H159" s="14">
        <v>10</v>
      </c>
      <c r="I159" s="14"/>
      <c r="J159" s="14">
        <f>SUMIF(ENTRADAS!B:B,A:A,ENTRADAS!F:F)</f>
        <v>0</v>
      </c>
      <c r="K159" s="14">
        <f>SUMIF(SAÍDAS!B:B,A:A,SAÍDAS!F:F)</f>
        <v>0</v>
      </c>
      <c r="L159" s="14">
        <f t="shared" si="19"/>
        <v>10</v>
      </c>
      <c r="M159" s="13">
        <f>'SALDO ATUAL'!$G6*'SALDO ATUAL'!$I6</f>
        <v>0</v>
      </c>
      <c r="N159" s="13">
        <f>'SALDO ATUAL'!$G6*'SALDO ATUAL'!$L6</f>
        <v>0</v>
      </c>
      <c r="O159" s="14" t="str">
        <f t="shared" si="17"/>
        <v>OK</v>
      </c>
      <c r="P159" s="15">
        <f t="shared" si="18"/>
        <v>0</v>
      </c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4" customHeight="1">
      <c r="A160" s="10">
        <v>222</v>
      </c>
      <c r="B160" s="11"/>
      <c r="C160" s="12" t="s">
        <v>245</v>
      </c>
      <c r="D160" s="12" t="s">
        <v>30</v>
      </c>
      <c r="E160" s="11"/>
      <c r="F160" s="11"/>
      <c r="G160" s="13"/>
      <c r="H160" s="14">
        <v>0</v>
      </c>
      <c r="I160" s="14"/>
      <c r="J160" s="14">
        <f>SUMIF(ENTRADAS!B:B,A:A,ENTRADAS!F:F)</f>
        <v>0</v>
      </c>
      <c r="K160" s="14">
        <f>SUMIF(SAÍDAS!B:B,A:A,SAÍDAS!F:F)</f>
        <v>0</v>
      </c>
      <c r="L160" s="14">
        <f t="shared" si="19"/>
        <v>0</v>
      </c>
      <c r="M160" s="13">
        <f>'SALDO ATUAL'!$G251*'SALDO ATUAL'!$I251</f>
        <v>0</v>
      </c>
      <c r="N160" s="13">
        <f>'SALDO ATUAL'!$G251*'SALDO ATUAL'!$L251</f>
        <v>0</v>
      </c>
      <c r="O160" s="14" t="str">
        <f t="shared" si="17"/>
        <v>OK</v>
      </c>
      <c r="P160" s="15">
        <f t="shared" si="18"/>
        <v>0</v>
      </c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4" customHeight="1">
      <c r="A161" s="10">
        <v>223</v>
      </c>
      <c r="B161" s="11"/>
      <c r="C161" s="12" t="s">
        <v>246</v>
      </c>
      <c r="D161" s="12" t="s">
        <v>30</v>
      </c>
      <c r="E161" s="11"/>
      <c r="F161" s="11"/>
      <c r="G161" s="13"/>
      <c r="H161" s="14">
        <v>0</v>
      </c>
      <c r="I161" s="14"/>
      <c r="J161" s="14">
        <f>SUMIF(ENTRADAS!B:B,A:A,ENTRADAS!F:F)</f>
        <v>0</v>
      </c>
      <c r="K161" s="14">
        <f>SUMIF(SAÍDAS!B:B,A:A,SAÍDAS!F:F)</f>
        <v>0</v>
      </c>
      <c r="L161" s="14">
        <f t="shared" si="19"/>
        <v>0</v>
      </c>
      <c r="M161" s="13">
        <f>'SALDO ATUAL'!$G244*'SALDO ATUAL'!$I244</f>
        <v>0</v>
      </c>
      <c r="N161" s="13">
        <f>'SALDO ATUAL'!$G244*'SALDO ATUAL'!$L244</f>
        <v>0</v>
      </c>
      <c r="O161" s="14" t="str">
        <f t="shared" si="17"/>
        <v>OK</v>
      </c>
      <c r="P161" s="15">
        <f t="shared" si="18"/>
        <v>0</v>
      </c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4" customHeight="1">
      <c r="A162" s="10">
        <v>224</v>
      </c>
      <c r="B162" s="11"/>
      <c r="C162" s="12" t="s">
        <v>247</v>
      </c>
      <c r="D162" s="12" t="s">
        <v>30</v>
      </c>
      <c r="E162" s="11"/>
      <c r="F162" s="11"/>
      <c r="G162" s="13"/>
      <c r="H162" s="14">
        <v>0</v>
      </c>
      <c r="I162" s="14"/>
      <c r="J162" s="14">
        <f>SUMIF(ENTRADAS!B:B,A:A,ENTRADAS!F:F)</f>
        <v>0</v>
      </c>
      <c r="K162" s="14">
        <f>SUMIF(SAÍDAS!B:B,A:A,SAÍDAS!F:F)</f>
        <v>0</v>
      </c>
      <c r="L162" s="14">
        <f t="shared" si="19"/>
        <v>0</v>
      </c>
      <c r="M162" s="13">
        <f>'SALDO ATUAL'!$G154*'SALDO ATUAL'!$I154</f>
        <v>0</v>
      </c>
      <c r="N162" s="13">
        <f>'SALDO ATUAL'!$G154*'SALDO ATUAL'!$L154</f>
        <v>0</v>
      </c>
      <c r="O162" s="14" t="str">
        <f t="shared" si="17"/>
        <v>OK</v>
      </c>
      <c r="P162" s="15">
        <f t="shared" si="18"/>
        <v>0</v>
      </c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4" customHeight="1">
      <c r="A163" s="10">
        <v>225</v>
      </c>
      <c r="B163" s="11"/>
      <c r="C163" s="12" t="s">
        <v>248</v>
      </c>
      <c r="D163" s="12" t="s">
        <v>30</v>
      </c>
      <c r="E163" s="11"/>
      <c r="F163" s="11"/>
      <c r="G163" s="13"/>
      <c r="H163" s="14">
        <v>0</v>
      </c>
      <c r="I163" s="14"/>
      <c r="J163" s="14">
        <f>SUMIF(ENTRADAS!B:B,A:A,ENTRADAS!F:F)</f>
        <v>0</v>
      </c>
      <c r="K163" s="14">
        <f>SUMIF(SAÍDAS!B:B,A:A,SAÍDAS!F:F)</f>
        <v>0</v>
      </c>
      <c r="L163" s="14">
        <f t="shared" si="19"/>
        <v>0</v>
      </c>
      <c r="M163" s="13">
        <f>'SALDO ATUAL'!$G243*'SALDO ATUAL'!$I243</f>
        <v>0</v>
      </c>
      <c r="N163" s="13">
        <f>'SALDO ATUAL'!$G243*'SALDO ATUAL'!$L243</f>
        <v>0</v>
      </c>
      <c r="O163" s="14" t="str">
        <f t="shared" si="17"/>
        <v>OK</v>
      </c>
      <c r="P163" s="15">
        <f t="shared" si="18"/>
        <v>0</v>
      </c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4" customHeight="1">
      <c r="A164" s="10">
        <v>226</v>
      </c>
      <c r="B164" s="11"/>
      <c r="C164" s="12" t="s">
        <v>249</v>
      </c>
      <c r="D164" s="12" t="s">
        <v>30</v>
      </c>
      <c r="E164" s="11"/>
      <c r="F164" s="11"/>
      <c r="G164" s="13"/>
      <c r="H164" s="14">
        <v>0</v>
      </c>
      <c r="I164" s="14"/>
      <c r="J164" s="14">
        <f>SUMIF(ENTRADAS!B:B,A:A,ENTRADAS!F:F)</f>
        <v>0</v>
      </c>
      <c r="K164" s="14">
        <f>SUMIF(SAÍDAS!B:B,A:A,SAÍDAS!F:F)</f>
        <v>0</v>
      </c>
      <c r="L164" s="14">
        <f t="shared" si="19"/>
        <v>0</v>
      </c>
      <c r="M164" s="13">
        <f>'SALDO ATUAL'!$G227*'SALDO ATUAL'!$I227</f>
        <v>0</v>
      </c>
      <c r="N164" s="13">
        <f>'SALDO ATUAL'!$G227*'SALDO ATUAL'!$L227</f>
        <v>0</v>
      </c>
      <c r="O164" s="14" t="str">
        <f t="shared" si="17"/>
        <v>OK</v>
      </c>
      <c r="P164" s="15">
        <f t="shared" si="18"/>
        <v>0</v>
      </c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4" customHeight="1">
      <c r="A165" s="10">
        <v>227</v>
      </c>
      <c r="B165" s="11"/>
      <c r="C165" s="12" t="s">
        <v>250</v>
      </c>
      <c r="D165" s="12" t="s">
        <v>137</v>
      </c>
      <c r="E165" s="11"/>
      <c r="F165" s="11"/>
      <c r="G165" s="13"/>
      <c r="H165" s="14">
        <v>0</v>
      </c>
      <c r="I165" s="14"/>
      <c r="J165" s="14">
        <f>SUMIF(ENTRADAS!B:B,A:A,ENTRADAS!F:F)</f>
        <v>0</v>
      </c>
      <c r="K165" s="14">
        <f>SUMIF(SAÍDAS!B:B,A:A,SAÍDAS!F:F)</f>
        <v>0</v>
      </c>
      <c r="L165" s="14">
        <f t="shared" si="19"/>
        <v>0</v>
      </c>
      <c r="M165" s="13">
        <f>'SALDO ATUAL'!$G42*'SALDO ATUAL'!$I42</f>
        <v>21720</v>
      </c>
      <c r="N165" s="13">
        <f>'SALDO ATUAL'!$G42*'SALDO ATUAL'!$L42</f>
        <v>45612</v>
      </c>
      <c r="O165" s="14" t="str">
        <f t="shared" si="17"/>
        <v>OK</v>
      </c>
      <c r="P165" s="15">
        <f t="shared" si="18"/>
        <v>0</v>
      </c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4" customHeight="1">
      <c r="A166" s="10">
        <v>228</v>
      </c>
      <c r="B166" s="11"/>
      <c r="C166" s="12" t="s">
        <v>251</v>
      </c>
      <c r="D166" s="12" t="s">
        <v>137</v>
      </c>
      <c r="E166" s="11"/>
      <c r="F166" s="11"/>
      <c r="G166" s="13"/>
      <c r="H166" s="14">
        <v>0</v>
      </c>
      <c r="I166" s="14"/>
      <c r="J166" s="14">
        <f>SUMIF(ENTRADAS!B:B,A:A,ENTRADAS!F:F)</f>
        <v>0</v>
      </c>
      <c r="K166" s="14">
        <f>SUMIF(SAÍDAS!B:B,A:A,SAÍDAS!F:F)</f>
        <v>0</v>
      </c>
      <c r="L166" s="14">
        <f t="shared" si="19"/>
        <v>0</v>
      </c>
      <c r="M166" s="13">
        <f>'SALDO ATUAL'!$G41*'SALDO ATUAL'!$I41</f>
        <v>0</v>
      </c>
      <c r="N166" s="13">
        <f>'SALDO ATUAL'!$G41*'SALDO ATUAL'!$L41</f>
        <v>0</v>
      </c>
      <c r="O166" s="14" t="str">
        <f t="shared" si="17"/>
        <v>OK</v>
      </c>
      <c r="P166" s="15">
        <f t="shared" si="18"/>
        <v>0</v>
      </c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4" customHeight="1">
      <c r="A167" s="10">
        <v>229</v>
      </c>
      <c r="B167" s="11"/>
      <c r="C167" s="12" t="s">
        <v>252</v>
      </c>
      <c r="D167" s="12" t="s">
        <v>30</v>
      </c>
      <c r="E167" s="11"/>
      <c r="F167" s="11"/>
      <c r="G167" s="13"/>
      <c r="H167" s="14">
        <v>90</v>
      </c>
      <c r="I167" s="14"/>
      <c r="J167" s="14">
        <f>SUMIF(ENTRADAS!B:B,A:A,ENTRADAS!F:F)</f>
        <v>0</v>
      </c>
      <c r="K167" s="14">
        <f>SUMIF(SAÍDAS!B:B,A:A,SAÍDAS!F:F)</f>
        <v>0</v>
      </c>
      <c r="L167" s="14">
        <f t="shared" si="19"/>
        <v>90</v>
      </c>
      <c r="M167" s="13">
        <f>'SALDO ATUAL'!$G162*'SALDO ATUAL'!$I162</f>
        <v>0</v>
      </c>
      <c r="N167" s="13">
        <f>'SALDO ATUAL'!$G162*'SALDO ATUAL'!$L162</f>
        <v>0</v>
      </c>
      <c r="O167" s="14" t="str">
        <f t="shared" si="17"/>
        <v>OK</v>
      </c>
      <c r="P167" s="15">
        <f t="shared" si="18"/>
        <v>0</v>
      </c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4" customHeight="1">
      <c r="A168" s="10">
        <v>230</v>
      </c>
      <c r="B168" s="11"/>
      <c r="C168" s="12" t="s">
        <v>253</v>
      </c>
      <c r="D168" s="12" t="s">
        <v>26</v>
      </c>
      <c r="E168" s="11"/>
      <c r="F168" s="11"/>
      <c r="G168" s="13"/>
      <c r="H168" s="14">
        <v>0</v>
      </c>
      <c r="I168" s="14"/>
      <c r="J168" s="14">
        <f>SUMIF(ENTRADAS!B:B,A:A,ENTRADAS!F:F)</f>
        <v>0</v>
      </c>
      <c r="K168" s="14">
        <f>SUMIF(SAÍDAS!B:B,A:A,SAÍDAS!F:F)</f>
        <v>0</v>
      </c>
      <c r="L168" s="14">
        <f t="shared" si="19"/>
        <v>0</v>
      </c>
      <c r="M168" s="13">
        <f>'SALDO ATUAL'!$G67*'SALDO ATUAL'!$I67</f>
        <v>0</v>
      </c>
      <c r="N168" s="13">
        <f>'SALDO ATUAL'!$G67*'SALDO ATUAL'!$L67</f>
        <v>0</v>
      </c>
      <c r="O168" s="14" t="str">
        <f t="shared" si="17"/>
        <v>OK</v>
      </c>
      <c r="P168" s="15">
        <f t="shared" si="18"/>
        <v>0</v>
      </c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4" customHeight="1">
      <c r="A169" s="10">
        <v>231</v>
      </c>
      <c r="B169" s="11"/>
      <c r="C169" s="12" t="s">
        <v>254</v>
      </c>
      <c r="D169" s="12" t="s">
        <v>137</v>
      </c>
      <c r="E169" s="11"/>
      <c r="F169" s="11"/>
      <c r="G169" s="13"/>
      <c r="H169" s="14"/>
      <c r="I169" s="14"/>
      <c r="J169" s="14">
        <f>SUMIF(ENTRADAS!B:B,A:A,ENTRADAS!F:F)</f>
        <v>0</v>
      </c>
      <c r="K169" s="14">
        <f>SUMIF(SAÍDAS!B:B,A:A,SAÍDAS!F:F)</f>
        <v>0</v>
      </c>
      <c r="L169" s="14">
        <f t="shared" si="19"/>
        <v>0</v>
      </c>
      <c r="M169" s="13">
        <f>'SALDO ATUAL'!$G39*'SALDO ATUAL'!$I39</f>
        <v>0</v>
      </c>
      <c r="N169" s="13">
        <f>'SALDO ATUAL'!$G39*'SALDO ATUAL'!$L39</f>
        <v>0</v>
      </c>
      <c r="O169" s="14" t="str">
        <f t="shared" si="17"/>
        <v>OK</v>
      </c>
      <c r="P169" s="15">
        <f t="shared" si="18"/>
        <v>0</v>
      </c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4" customHeight="1">
      <c r="A170" s="10">
        <v>232</v>
      </c>
      <c r="B170" s="11"/>
      <c r="C170" s="12" t="s">
        <v>255</v>
      </c>
      <c r="D170" s="12" t="s">
        <v>26</v>
      </c>
      <c r="E170" s="11"/>
      <c r="F170" s="11"/>
      <c r="G170" s="13"/>
      <c r="H170" s="14">
        <v>0</v>
      </c>
      <c r="I170" s="14"/>
      <c r="J170" s="14">
        <f>SUMIF(ENTRADAS!B:B,A:A,ENTRADAS!F:F)</f>
        <v>0</v>
      </c>
      <c r="K170" s="14">
        <f>SUMIF(SAÍDAS!B:B,A:A,SAÍDAS!F:F)</f>
        <v>0</v>
      </c>
      <c r="L170" s="14">
        <f t="shared" si="19"/>
        <v>0</v>
      </c>
      <c r="M170" s="13">
        <f>'SALDO ATUAL'!$G12*'SALDO ATUAL'!$I12</f>
        <v>0</v>
      </c>
      <c r="N170" s="13">
        <f>'SALDO ATUAL'!$G12*'SALDO ATUAL'!$L12</f>
        <v>0</v>
      </c>
      <c r="O170" s="14" t="str">
        <f t="shared" si="17"/>
        <v>OK</v>
      </c>
      <c r="P170" s="15">
        <f t="shared" si="18"/>
        <v>0</v>
      </c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4" customHeight="1">
      <c r="A171" s="10">
        <v>233</v>
      </c>
      <c r="B171" s="11"/>
      <c r="C171" s="12" t="s">
        <v>256</v>
      </c>
      <c r="D171" s="12" t="s">
        <v>26</v>
      </c>
      <c r="E171" s="11"/>
      <c r="F171" s="11"/>
      <c r="G171" s="13"/>
      <c r="H171" s="14">
        <v>0</v>
      </c>
      <c r="I171" s="14"/>
      <c r="J171" s="14">
        <f>SUMIF(ENTRADAS!B:B,A:A,ENTRADAS!F:F)</f>
        <v>0</v>
      </c>
      <c r="K171" s="14">
        <f>SUMIF(SAÍDAS!B:B,A:A,SAÍDAS!F:F)</f>
        <v>0</v>
      </c>
      <c r="L171" s="14">
        <f t="shared" si="19"/>
        <v>0</v>
      </c>
      <c r="M171" s="13">
        <f>'SALDO ATUAL'!$G17*'SALDO ATUAL'!$I17</f>
        <v>0</v>
      </c>
      <c r="N171" s="13">
        <f>'SALDO ATUAL'!$G17*'SALDO ATUAL'!$L17</f>
        <v>0</v>
      </c>
      <c r="O171" s="14" t="str">
        <f t="shared" si="17"/>
        <v>OK</v>
      </c>
      <c r="P171" s="15">
        <f t="shared" si="18"/>
        <v>0</v>
      </c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4" customHeight="1">
      <c r="A172" s="10">
        <v>234</v>
      </c>
      <c r="B172" s="11"/>
      <c r="C172" s="12" t="s">
        <v>257</v>
      </c>
      <c r="D172" s="12" t="s">
        <v>18</v>
      </c>
      <c r="E172" s="11"/>
      <c r="F172" s="11"/>
      <c r="G172" s="13"/>
      <c r="H172" s="14"/>
      <c r="I172" s="14"/>
      <c r="J172" s="14">
        <f>SUMIF(ENTRADAS!B:B,A:A,ENTRADAS!F:F)</f>
        <v>0</v>
      </c>
      <c r="K172" s="14">
        <f>SUMIF(SAÍDAS!B:B,A:A,SAÍDAS!F:F)</f>
        <v>0</v>
      </c>
      <c r="L172" s="14">
        <f t="shared" si="19"/>
        <v>0</v>
      </c>
      <c r="M172" s="13">
        <f>'SALDO ATUAL'!$G213*'SALDO ATUAL'!$I213</f>
        <v>141.13999999999999</v>
      </c>
      <c r="N172" s="13">
        <f>'SALDO ATUAL'!$G213*'SALDO ATUAL'!$L213</f>
        <v>0</v>
      </c>
      <c r="O172" s="14" t="str">
        <f t="shared" si="17"/>
        <v>OK</v>
      </c>
      <c r="P172" s="15">
        <f t="shared" si="18"/>
        <v>0</v>
      </c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4" customHeight="1">
      <c r="A173" s="10">
        <v>235</v>
      </c>
      <c r="B173" s="11"/>
      <c r="C173" s="12" t="s">
        <v>258</v>
      </c>
      <c r="D173" s="12" t="s">
        <v>18</v>
      </c>
      <c r="E173" s="11"/>
      <c r="F173" s="11"/>
      <c r="G173" s="13"/>
      <c r="H173" s="14"/>
      <c r="I173" s="14"/>
      <c r="J173" s="14">
        <f>SUMIF(ENTRADAS!B:B,A:A,ENTRADAS!F:F)</f>
        <v>0</v>
      </c>
      <c r="K173" s="14">
        <f>SUMIF(SAÍDAS!B:B,A:A,SAÍDAS!F:F)</f>
        <v>0</v>
      </c>
      <c r="L173" s="14">
        <f t="shared" si="19"/>
        <v>0</v>
      </c>
      <c r="M173" s="13">
        <f>'SALDO ATUAL'!$G215*'SALDO ATUAL'!$I215</f>
        <v>141.13999999999999</v>
      </c>
      <c r="N173" s="13">
        <f>'SALDO ATUAL'!$G215*'SALDO ATUAL'!$L215</f>
        <v>0</v>
      </c>
      <c r="O173" s="14" t="str">
        <f t="shared" si="17"/>
        <v>OK</v>
      </c>
      <c r="P173" s="15">
        <f t="shared" si="18"/>
        <v>0</v>
      </c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4" customHeight="1">
      <c r="A174" s="10">
        <v>236</v>
      </c>
      <c r="B174" s="11"/>
      <c r="C174" s="12" t="s">
        <v>259</v>
      </c>
      <c r="D174" s="12" t="s">
        <v>18</v>
      </c>
      <c r="E174" s="11"/>
      <c r="F174" s="11"/>
      <c r="G174" s="13"/>
      <c r="H174" s="14"/>
      <c r="I174" s="14"/>
      <c r="J174" s="14">
        <f>SUMIF(ENTRADAS!B:B,A:A,ENTRADAS!F:F)</f>
        <v>1</v>
      </c>
      <c r="K174" s="14">
        <f>SUMIF(SAÍDAS!B:B,A:A,SAÍDAS!F:F)</f>
        <v>0</v>
      </c>
      <c r="L174" s="14">
        <f t="shared" si="19"/>
        <v>1</v>
      </c>
      <c r="M174" s="13">
        <f>'SALDO ATUAL'!$G209*'SALDO ATUAL'!$I209</f>
        <v>0</v>
      </c>
      <c r="N174" s="13">
        <f>'SALDO ATUAL'!$G209*'SALDO ATUAL'!$L209</f>
        <v>0</v>
      </c>
      <c r="O174" s="14" t="str">
        <f t="shared" si="17"/>
        <v>OK</v>
      </c>
      <c r="P174" s="15">
        <f t="shared" si="18"/>
        <v>0</v>
      </c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4" customHeight="1">
      <c r="A175" s="10">
        <v>237</v>
      </c>
      <c r="B175" s="11"/>
      <c r="C175" s="12" t="s">
        <v>260</v>
      </c>
      <c r="D175" s="12" t="s">
        <v>18</v>
      </c>
      <c r="E175" s="11"/>
      <c r="F175" s="11"/>
      <c r="G175" s="13"/>
      <c r="H175" s="14"/>
      <c r="I175" s="14"/>
      <c r="J175" s="14">
        <f>SUMIF(ENTRADAS!B:B,A:A,ENTRADAS!F:F)</f>
        <v>1</v>
      </c>
      <c r="K175" s="14">
        <f>SUMIF(SAÍDAS!B:B,A:A,SAÍDAS!F:F)</f>
        <v>0</v>
      </c>
      <c r="L175" s="14">
        <f t="shared" si="19"/>
        <v>1</v>
      </c>
      <c r="M175" s="13">
        <f>'SALDO ATUAL'!$G211*'SALDO ATUAL'!$I211</f>
        <v>0</v>
      </c>
      <c r="N175" s="13">
        <f>'SALDO ATUAL'!$G211*'SALDO ATUAL'!$L211</f>
        <v>0</v>
      </c>
      <c r="O175" s="14" t="str">
        <f t="shared" si="17"/>
        <v>OK</v>
      </c>
      <c r="P175" s="15">
        <f t="shared" si="18"/>
        <v>0</v>
      </c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4" customHeight="1">
      <c r="A176" s="10">
        <v>238</v>
      </c>
      <c r="B176" s="11"/>
      <c r="C176" s="12" t="s">
        <v>261</v>
      </c>
      <c r="D176" s="12" t="s">
        <v>18</v>
      </c>
      <c r="E176" s="11"/>
      <c r="F176" s="11"/>
      <c r="G176" s="13"/>
      <c r="H176" s="14"/>
      <c r="I176" s="14"/>
      <c r="J176" s="14">
        <f>SUMIF(ENTRADAS!B:B,A:A,ENTRADAS!F:F)</f>
        <v>1</v>
      </c>
      <c r="K176" s="14">
        <f>SUMIF(SAÍDAS!B:B,A:A,SAÍDAS!F:F)</f>
        <v>0</v>
      </c>
      <c r="L176" s="14">
        <f t="shared" si="19"/>
        <v>1</v>
      </c>
      <c r="M176" s="13">
        <f>'SALDO ATUAL'!$G208*'SALDO ATUAL'!$I208</f>
        <v>0</v>
      </c>
      <c r="N176" s="13">
        <f>'SALDO ATUAL'!$G208*'SALDO ATUAL'!$L208</f>
        <v>0</v>
      </c>
      <c r="O176" s="14" t="str">
        <f t="shared" si="17"/>
        <v>OK</v>
      </c>
      <c r="P176" s="15">
        <f t="shared" si="18"/>
        <v>0</v>
      </c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4" customHeight="1">
      <c r="A177" s="10">
        <v>239</v>
      </c>
      <c r="B177" s="11"/>
      <c r="C177" s="12" t="s">
        <v>262</v>
      </c>
      <c r="D177" s="12" t="s">
        <v>18</v>
      </c>
      <c r="E177" s="11"/>
      <c r="F177" s="11"/>
      <c r="G177" s="13"/>
      <c r="H177" s="14"/>
      <c r="I177" s="14"/>
      <c r="J177" s="14">
        <f>SUMIF(ENTRADAS!B:B,A:A,ENTRADAS!F:F)</f>
        <v>0</v>
      </c>
      <c r="K177" s="14">
        <f>SUMIF(SAÍDAS!B:B,A:A,SAÍDAS!F:F)</f>
        <v>0</v>
      </c>
      <c r="L177" s="14">
        <f t="shared" si="19"/>
        <v>0</v>
      </c>
      <c r="M177" s="13">
        <f>'SALDO ATUAL'!$G188*'SALDO ATUAL'!$I188</f>
        <v>1370</v>
      </c>
      <c r="N177" s="13">
        <f>'SALDO ATUAL'!$G188*'SALDO ATUAL'!$L188</f>
        <v>4247</v>
      </c>
      <c r="O177" s="14" t="str">
        <f t="shared" si="17"/>
        <v>OK</v>
      </c>
      <c r="P177" s="15">
        <f t="shared" si="18"/>
        <v>0</v>
      </c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4" customHeight="1">
      <c r="A178" s="10">
        <v>240</v>
      </c>
      <c r="B178" s="11"/>
      <c r="C178" s="12" t="s">
        <v>263</v>
      </c>
      <c r="D178" s="12" t="s">
        <v>18</v>
      </c>
      <c r="E178" s="11"/>
      <c r="F178" s="11"/>
      <c r="G178" s="13"/>
      <c r="H178" s="14"/>
      <c r="I178" s="14"/>
      <c r="J178" s="14">
        <f>SUMIF(ENTRADAS!B:B,A:A,ENTRADAS!F:F)</f>
        <v>0</v>
      </c>
      <c r="K178" s="14">
        <f>SUMIF(SAÍDAS!B:B,A:A,SAÍDAS!F:F)</f>
        <v>0</v>
      </c>
      <c r="L178" s="14">
        <f t="shared" si="19"/>
        <v>0</v>
      </c>
      <c r="M178" s="13">
        <f>'SALDO ATUAL'!$G235*'SALDO ATUAL'!$I235</f>
        <v>4</v>
      </c>
      <c r="N178" s="13">
        <f>'SALDO ATUAL'!$G235*'SALDO ATUAL'!$L235</f>
        <v>12</v>
      </c>
      <c r="O178" s="14" t="str">
        <f t="shared" si="17"/>
        <v>OK</v>
      </c>
      <c r="P178" s="15">
        <f t="shared" si="18"/>
        <v>0</v>
      </c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4" customHeight="1">
      <c r="A179" s="10">
        <v>241</v>
      </c>
      <c r="B179" s="11"/>
      <c r="C179" s="12" t="s">
        <v>264</v>
      </c>
      <c r="D179" s="12" t="s">
        <v>18</v>
      </c>
      <c r="E179" s="11"/>
      <c r="F179" s="11"/>
      <c r="G179" s="13"/>
      <c r="H179" s="14"/>
      <c r="I179" s="14"/>
      <c r="J179" s="14">
        <f>SUMIF(ENTRADAS!B:B,A:A,ENTRADAS!F:F)</f>
        <v>1</v>
      </c>
      <c r="K179" s="14">
        <f>SUMIF(SAÍDAS!B:B,A:A,SAÍDAS!F:F)</f>
        <v>1</v>
      </c>
      <c r="L179" s="14">
        <f t="shared" si="19"/>
        <v>0</v>
      </c>
      <c r="M179" s="13">
        <f>'SALDO ATUAL'!$G207*'SALDO ATUAL'!$I207</f>
        <v>0</v>
      </c>
      <c r="N179" s="13">
        <f>'SALDO ATUAL'!$G207*'SALDO ATUAL'!$L207</f>
        <v>0</v>
      </c>
      <c r="O179" s="14" t="str">
        <f t="shared" si="17"/>
        <v>OK</v>
      </c>
      <c r="P179" s="15">
        <f t="shared" si="18"/>
        <v>0</v>
      </c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4" customHeight="1">
      <c r="A180" s="10">
        <v>243</v>
      </c>
      <c r="B180" s="11"/>
      <c r="C180" s="12" t="s">
        <v>265</v>
      </c>
      <c r="D180" s="12" t="s">
        <v>18</v>
      </c>
      <c r="E180" s="11"/>
      <c r="F180" s="11"/>
      <c r="G180" s="13"/>
      <c r="H180" s="14">
        <v>0</v>
      </c>
      <c r="I180" s="14"/>
      <c r="J180" s="14">
        <f>SUMIF(ENTRADAS!B:B,A:A,ENTRADAS!F:F)</f>
        <v>0</v>
      </c>
      <c r="K180" s="14">
        <f>SUMIF(SAÍDAS!B:B,A:A,SAÍDAS!F:F)</f>
        <v>0</v>
      </c>
      <c r="L180" s="14">
        <f t="shared" si="19"/>
        <v>0</v>
      </c>
      <c r="M180" s="13">
        <f>'SALDO ATUAL'!$G96*'SALDO ATUAL'!$I96</f>
        <v>0</v>
      </c>
      <c r="N180" s="13">
        <f>'SALDO ATUAL'!$G96*'SALDO ATUAL'!$L96</f>
        <v>0</v>
      </c>
      <c r="O180" s="14" t="str">
        <f t="shared" si="17"/>
        <v>OK</v>
      </c>
      <c r="P180" s="15">
        <f t="shared" si="18"/>
        <v>0</v>
      </c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4" customHeight="1">
      <c r="A181" s="10">
        <v>244</v>
      </c>
      <c r="B181" s="11"/>
      <c r="C181" s="12" t="s">
        <v>266</v>
      </c>
      <c r="D181" s="12" t="s">
        <v>18</v>
      </c>
      <c r="E181" s="11"/>
      <c r="F181" s="11"/>
      <c r="G181" s="13"/>
      <c r="H181" s="14">
        <v>0</v>
      </c>
      <c r="I181" s="14"/>
      <c r="J181" s="14">
        <f>SUMIF(ENTRADAS!B:B,A:A,ENTRADAS!F:F)</f>
        <v>0</v>
      </c>
      <c r="K181" s="14">
        <f>SUMIF(SAÍDAS!B:B,A:A,SAÍDAS!F:F)</f>
        <v>0</v>
      </c>
      <c r="L181" s="14">
        <f t="shared" si="19"/>
        <v>0</v>
      </c>
      <c r="M181" s="13">
        <f>'SALDO ATUAL'!$G200*'SALDO ATUAL'!$I200</f>
        <v>0</v>
      </c>
      <c r="N181" s="13">
        <f>'SALDO ATUAL'!$G200*'SALDO ATUAL'!$L200</f>
        <v>0</v>
      </c>
      <c r="O181" s="14" t="str">
        <f t="shared" si="17"/>
        <v>OK</v>
      </c>
      <c r="P181" s="15">
        <f t="shared" si="18"/>
        <v>0</v>
      </c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4" customHeight="1">
      <c r="A182" s="10">
        <v>245</v>
      </c>
      <c r="B182" s="11"/>
      <c r="C182" s="12" t="s">
        <v>267</v>
      </c>
      <c r="D182" s="12" t="s">
        <v>18</v>
      </c>
      <c r="E182" s="11"/>
      <c r="F182" s="11"/>
      <c r="G182" s="13"/>
      <c r="H182" s="14"/>
      <c r="I182" s="14"/>
      <c r="J182" s="14">
        <f>SUMIF(ENTRADAS!B:B,A:A,ENTRADAS!F:F)</f>
        <v>0</v>
      </c>
      <c r="K182" s="14">
        <f>SUMIF(SAÍDAS!B:B,A:A,SAÍDAS!F:F)</f>
        <v>0</v>
      </c>
      <c r="L182" s="14">
        <f t="shared" si="19"/>
        <v>0</v>
      </c>
      <c r="M182" s="13">
        <f>'SALDO ATUAL'!$G248*'SALDO ATUAL'!$I248</f>
        <v>699.91</v>
      </c>
      <c r="N182" s="13">
        <f>'SALDO ATUAL'!$G248*'SALDO ATUAL'!$L248</f>
        <v>2099.73</v>
      </c>
      <c r="O182" s="14" t="str">
        <f t="shared" si="17"/>
        <v>OK</v>
      </c>
      <c r="P182" s="15">
        <f t="shared" si="18"/>
        <v>0</v>
      </c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4" customHeight="1">
      <c r="A183" s="10">
        <v>246</v>
      </c>
      <c r="B183" s="11"/>
      <c r="C183" s="12" t="s">
        <v>268</v>
      </c>
      <c r="D183" s="12" t="s">
        <v>69</v>
      </c>
      <c r="E183" s="11" t="s">
        <v>269</v>
      </c>
      <c r="F183" s="11" t="s">
        <v>270</v>
      </c>
      <c r="G183" s="13">
        <v>27.39</v>
      </c>
      <c r="H183" s="14">
        <v>1</v>
      </c>
      <c r="I183" s="14">
        <v>1</v>
      </c>
      <c r="J183" s="14">
        <f>SUMIF(ENTRADAS!B:B,A:A,ENTRADAS!F:F)</f>
        <v>0</v>
      </c>
      <c r="K183" s="14">
        <f>SUMIF(SAÍDAS!B:B,A:A,SAÍDAS!F:F)</f>
        <v>0</v>
      </c>
      <c r="L183" s="14">
        <f t="shared" si="19"/>
        <v>1</v>
      </c>
      <c r="M183" s="13">
        <f>'SALDO ATUAL'!$G129*'SALDO ATUAL'!$I129</f>
        <v>0</v>
      </c>
      <c r="N183" s="13">
        <f>'SALDO ATUAL'!$G129*'SALDO ATUAL'!$L129</f>
        <v>0</v>
      </c>
      <c r="O183" s="14" t="str">
        <f t="shared" si="17"/>
        <v>OK</v>
      </c>
      <c r="P183" s="15">
        <f t="shared" si="18"/>
        <v>0</v>
      </c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4" customHeight="1">
      <c r="A184" s="10">
        <v>247</v>
      </c>
      <c r="B184" s="11"/>
      <c r="C184" s="12" t="s">
        <v>271</v>
      </c>
      <c r="D184" s="12" t="s">
        <v>69</v>
      </c>
      <c r="E184" s="11" t="s">
        <v>272</v>
      </c>
      <c r="F184" s="11" t="s">
        <v>133</v>
      </c>
      <c r="G184" s="13">
        <v>23.99</v>
      </c>
      <c r="H184" s="14">
        <v>0</v>
      </c>
      <c r="I184" s="14">
        <v>2</v>
      </c>
      <c r="J184" s="14">
        <f>SUMIF(ENTRADAS!B:B,A:A,ENTRADAS!F:F)</f>
        <v>0</v>
      </c>
      <c r="K184" s="14">
        <f>SUMIF(SAÍDAS!B:B,A:A,SAÍDAS!F:F)</f>
        <v>0</v>
      </c>
      <c r="L184" s="14">
        <f t="shared" si="19"/>
        <v>0</v>
      </c>
      <c r="M184" s="13">
        <f>'SALDO ATUAL'!$G126*'SALDO ATUAL'!$I126</f>
        <v>0</v>
      </c>
      <c r="N184" s="13">
        <f>'SALDO ATUAL'!$G126*'SALDO ATUAL'!$L126</f>
        <v>0</v>
      </c>
      <c r="O184" s="14" t="str">
        <f t="shared" si="17"/>
        <v>COMPRAR</v>
      </c>
      <c r="P184" s="15">
        <f t="shared" si="18"/>
        <v>2</v>
      </c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4" customHeight="1">
      <c r="A185" s="10">
        <v>248</v>
      </c>
      <c r="B185" s="11"/>
      <c r="C185" s="12" t="s">
        <v>273</v>
      </c>
      <c r="D185" s="12" t="s">
        <v>30</v>
      </c>
      <c r="E185" s="11" t="s">
        <v>274</v>
      </c>
      <c r="F185" s="11" t="s">
        <v>133</v>
      </c>
      <c r="G185" s="13">
        <v>5.1100000000000003</v>
      </c>
      <c r="H185" s="14">
        <v>0</v>
      </c>
      <c r="I185" s="14">
        <v>30</v>
      </c>
      <c r="J185" s="14">
        <f>SUMIF(ENTRADAS!B:B,A:A,ENTRADAS!F:F)</f>
        <v>20000</v>
      </c>
      <c r="K185" s="14">
        <f>SUMIF(SAÍDAS!B:B,A:A,SAÍDAS!F:F)</f>
        <v>0</v>
      </c>
      <c r="L185" s="14">
        <f t="shared" si="19"/>
        <v>20000</v>
      </c>
      <c r="M185" s="13">
        <f>'SALDO ATUAL'!$G124*'SALDO ATUAL'!$I124</f>
        <v>0</v>
      </c>
      <c r="N185" s="13">
        <f>'SALDO ATUAL'!$G124*'SALDO ATUAL'!$L124</f>
        <v>0</v>
      </c>
      <c r="O185" s="14" t="str">
        <f t="shared" si="17"/>
        <v>OK</v>
      </c>
      <c r="P185" s="15">
        <f t="shared" si="18"/>
        <v>0</v>
      </c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4" customHeight="1">
      <c r="A186" s="10">
        <v>249</v>
      </c>
      <c r="B186" s="11"/>
      <c r="C186" s="12" t="s">
        <v>275</v>
      </c>
      <c r="D186" s="12" t="s">
        <v>137</v>
      </c>
      <c r="E186" s="11" t="s">
        <v>276</v>
      </c>
      <c r="F186" s="11" t="s">
        <v>138</v>
      </c>
      <c r="G186" s="13">
        <v>137</v>
      </c>
      <c r="H186" s="14">
        <v>62</v>
      </c>
      <c r="I186" s="14">
        <v>25</v>
      </c>
      <c r="J186" s="14">
        <f>SUMIF(ENTRADAS!B:B,A:A,ENTRADAS!F:F)</f>
        <v>0</v>
      </c>
      <c r="K186" s="14">
        <f>SUMIF(SAÍDAS!B:B,A:A,SAÍDAS!F:F)</f>
        <v>8</v>
      </c>
      <c r="L186" s="14">
        <f t="shared" si="19"/>
        <v>54</v>
      </c>
      <c r="M186" s="13">
        <f>'SALDO ATUAL'!$G56*'SALDO ATUAL'!$I56</f>
        <v>0</v>
      </c>
      <c r="N186" s="13">
        <f>'SALDO ATUAL'!$G56*'SALDO ATUAL'!$L56</f>
        <v>0</v>
      </c>
      <c r="O186" s="14" t="str">
        <f t="shared" si="17"/>
        <v>OK</v>
      </c>
      <c r="P186" s="15">
        <f t="shared" si="18"/>
        <v>0</v>
      </c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4" customHeight="1">
      <c r="A187" s="10">
        <v>250</v>
      </c>
      <c r="B187" s="11"/>
      <c r="C187" s="12" t="s">
        <v>277</v>
      </c>
      <c r="D187" s="12" t="s">
        <v>137</v>
      </c>
      <c r="E187" s="11" t="s">
        <v>276</v>
      </c>
      <c r="F187" s="11" t="s">
        <v>138</v>
      </c>
      <c r="G187" s="13">
        <v>137</v>
      </c>
      <c r="H187" s="14">
        <v>43</v>
      </c>
      <c r="I187" s="14">
        <v>10</v>
      </c>
      <c r="J187" s="14">
        <f>SUMIF(ENTRADAS!B:B,A:A,ENTRADAS!F:F)</f>
        <v>0</v>
      </c>
      <c r="K187" s="14">
        <f>SUMIF(SAÍDAS!B:B,A:A,SAÍDAS!F:F)</f>
        <v>15</v>
      </c>
      <c r="L187" s="14">
        <f t="shared" si="19"/>
        <v>28</v>
      </c>
      <c r="M187" s="13">
        <f>'SALDO ATUAL'!$G54*'SALDO ATUAL'!$I54</f>
        <v>41.97</v>
      </c>
      <c r="N187" s="13">
        <f>'SALDO ATUAL'!$G54*'SALDO ATUAL'!$L54</f>
        <v>55.96</v>
      </c>
      <c r="O187" s="14" t="str">
        <f t="shared" si="17"/>
        <v>OK</v>
      </c>
      <c r="P187" s="15">
        <f t="shared" si="18"/>
        <v>0</v>
      </c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4" customHeight="1">
      <c r="A188" s="10">
        <v>251</v>
      </c>
      <c r="B188" s="11"/>
      <c r="C188" s="12" t="s">
        <v>278</v>
      </c>
      <c r="D188" s="12" t="s">
        <v>137</v>
      </c>
      <c r="E188" s="11" t="s">
        <v>276</v>
      </c>
      <c r="F188" s="11" t="s">
        <v>138</v>
      </c>
      <c r="G188" s="13">
        <v>137</v>
      </c>
      <c r="H188" s="14">
        <v>33</v>
      </c>
      <c r="I188" s="14">
        <v>10</v>
      </c>
      <c r="J188" s="14">
        <f>SUMIF(ENTRADAS!B:B,A:A,ENTRADAS!F:F)</f>
        <v>0</v>
      </c>
      <c r="K188" s="14">
        <f>SUMIF(SAÍDAS!B:B,A:A,SAÍDAS!F:F)</f>
        <v>2</v>
      </c>
      <c r="L188" s="14">
        <f t="shared" si="19"/>
        <v>31</v>
      </c>
      <c r="M188" s="13">
        <f>'SALDO ATUAL'!$G52*'SALDO ATUAL'!$I52</f>
        <v>0</v>
      </c>
      <c r="N188" s="13">
        <f>'SALDO ATUAL'!$G52*'SALDO ATUAL'!$L52</f>
        <v>0</v>
      </c>
      <c r="O188" s="14" t="str">
        <f t="shared" si="17"/>
        <v>OK</v>
      </c>
      <c r="P188" s="15">
        <f t="shared" si="18"/>
        <v>0</v>
      </c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4" customHeight="1">
      <c r="A189" s="10">
        <v>252</v>
      </c>
      <c r="B189" s="11"/>
      <c r="C189" s="12" t="s">
        <v>279</v>
      </c>
      <c r="D189" s="12" t="s">
        <v>69</v>
      </c>
      <c r="E189" s="11"/>
      <c r="F189" s="11"/>
      <c r="G189" s="13"/>
      <c r="H189" s="14"/>
      <c r="I189" s="14"/>
      <c r="J189" s="14">
        <f>SUMIF(ENTRADAS!B:B,A:A,ENTRADAS!F:F)</f>
        <v>0</v>
      </c>
      <c r="K189" s="14">
        <f>SUMIF(SAÍDAS!B:B,A:A,SAÍDAS!F:F)</f>
        <v>0</v>
      </c>
      <c r="L189" s="14">
        <f t="shared" si="19"/>
        <v>0</v>
      </c>
      <c r="M189" s="13">
        <f>'SALDO ATUAL'!$G144*'SALDO ATUAL'!$I144</f>
        <v>0</v>
      </c>
      <c r="N189" s="13">
        <f>'SALDO ATUAL'!$G144*'SALDO ATUAL'!$L144</f>
        <v>0</v>
      </c>
      <c r="O189" s="14" t="str">
        <f t="shared" si="17"/>
        <v>OK</v>
      </c>
      <c r="P189" s="15">
        <f t="shared" si="18"/>
        <v>0</v>
      </c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4" customHeight="1">
      <c r="A190" s="10">
        <v>253</v>
      </c>
      <c r="B190" s="11"/>
      <c r="C190" s="12" t="s">
        <v>280</v>
      </c>
      <c r="D190" s="12" t="s">
        <v>281</v>
      </c>
      <c r="E190" s="11"/>
      <c r="F190" s="11"/>
      <c r="G190" s="13"/>
      <c r="H190" s="14">
        <v>0</v>
      </c>
      <c r="I190" s="14"/>
      <c r="J190" s="14">
        <f>SUMIF(ENTRADAS!B:B,A:A,ENTRADAS!F:F)</f>
        <v>0</v>
      </c>
      <c r="K190" s="14">
        <f>SUMIF(SAÍDAS!B:B,A:A,SAÍDAS!F:F)</f>
        <v>0</v>
      </c>
      <c r="L190" s="14">
        <f t="shared" si="19"/>
        <v>0</v>
      </c>
      <c r="M190" s="13">
        <f>'SALDO ATUAL'!$G23*'SALDO ATUAL'!$I23</f>
        <v>0</v>
      </c>
      <c r="N190" s="13">
        <f>'SALDO ATUAL'!$G23*'SALDO ATUAL'!$L23</f>
        <v>0</v>
      </c>
      <c r="O190" s="14" t="str">
        <f t="shared" si="17"/>
        <v>OK</v>
      </c>
      <c r="P190" s="15">
        <f t="shared" si="18"/>
        <v>0</v>
      </c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4" customHeight="1">
      <c r="A191" s="10">
        <v>254</v>
      </c>
      <c r="B191" s="11"/>
      <c r="C191" s="12" t="s">
        <v>282</v>
      </c>
      <c r="D191" s="12" t="s">
        <v>281</v>
      </c>
      <c r="E191" s="11" t="s">
        <v>283</v>
      </c>
      <c r="F191" s="11" t="s">
        <v>20</v>
      </c>
      <c r="G191" s="13"/>
      <c r="H191" s="14">
        <v>1</v>
      </c>
      <c r="I191" s="14">
        <v>1</v>
      </c>
      <c r="J191" s="14">
        <f>SUMIF(ENTRADAS!B:B,A:A,ENTRADAS!F:F)</f>
        <v>0</v>
      </c>
      <c r="K191" s="14">
        <f>SUMIF(SAÍDAS!B:B,A:A,SAÍDAS!F:F)</f>
        <v>0</v>
      </c>
      <c r="L191" s="14">
        <f t="shared" si="19"/>
        <v>1</v>
      </c>
      <c r="M191" s="13">
        <f>'SALDO ATUAL'!$G131*'SALDO ATUAL'!$I131</f>
        <v>0</v>
      </c>
      <c r="N191" s="13">
        <f>'SALDO ATUAL'!$G131*'SALDO ATUAL'!$L131</f>
        <v>0</v>
      </c>
      <c r="O191" s="14" t="str">
        <f t="shared" si="17"/>
        <v>OK</v>
      </c>
      <c r="P191" s="15">
        <f t="shared" si="18"/>
        <v>0</v>
      </c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4" customHeight="1">
      <c r="A192" s="10">
        <v>255</v>
      </c>
      <c r="B192" s="11"/>
      <c r="C192" s="12" t="s">
        <v>284</v>
      </c>
      <c r="D192" s="12" t="s">
        <v>281</v>
      </c>
      <c r="E192" s="11"/>
      <c r="F192" s="11"/>
      <c r="G192" s="13"/>
      <c r="H192" s="14">
        <v>0</v>
      </c>
      <c r="I192" s="14"/>
      <c r="J192" s="14">
        <f>SUMIF(ENTRADAS!B:B,A:A,ENTRADAS!F:F)</f>
        <v>0</v>
      </c>
      <c r="K192" s="14">
        <f>SUMIF(SAÍDAS!B:B,A:A,SAÍDAS!F:F)</f>
        <v>0</v>
      </c>
      <c r="L192" s="14">
        <f t="shared" si="19"/>
        <v>0</v>
      </c>
      <c r="M192" s="13">
        <f>'SALDO ATUAL'!$G233*'SALDO ATUAL'!$I233</f>
        <v>0</v>
      </c>
      <c r="N192" s="13">
        <f>'SALDO ATUAL'!$G233*'SALDO ATUAL'!$L233</f>
        <v>0</v>
      </c>
      <c r="O192" s="14" t="str">
        <f t="shared" si="17"/>
        <v>OK</v>
      </c>
      <c r="P192" s="15">
        <f t="shared" si="18"/>
        <v>0</v>
      </c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4" customHeight="1">
      <c r="A193" s="10">
        <v>256</v>
      </c>
      <c r="B193" s="11"/>
      <c r="C193" s="12" t="s">
        <v>285</v>
      </c>
      <c r="D193" s="12" t="s">
        <v>281</v>
      </c>
      <c r="E193" s="11"/>
      <c r="F193" s="11"/>
      <c r="G193" s="13"/>
      <c r="H193" s="14">
        <v>0</v>
      </c>
      <c r="I193" s="14"/>
      <c r="J193" s="14">
        <f>SUMIF(ENTRADAS!B:B,A:A,ENTRADAS!F:F)</f>
        <v>0</v>
      </c>
      <c r="K193" s="14">
        <f>SUMIF(SAÍDAS!B:B,A:A,SAÍDAS!F:F)</f>
        <v>0</v>
      </c>
      <c r="L193" s="14">
        <f t="shared" si="19"/>
        <v>0</v>
      </c>
      <c r="M193" s="13">
        <f>'SALDO ATUAL'!$G105*'SALDO ATUAL'!$I105</f>
        <v>0</v>
      </c>
      <c r="N193" s="13">
        <f>'SALDO ATUAL'!$G105*'SALDO ATUAL'!$L105</f>
        <v>0</v>
      </c>
      <c r="O193" s="14" t="str">
        <f t="shared" si="17"/>
        <v>OK</v>
      </c>
      <c r="P193" s="15">
        <f t="shared" si="18"/>
        <v>0</v>
      </c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4" customHeight="1">
      <c r="A194" s="10">
        <v>257</v>
      </c>
      <c r="B194" s="11"/>
      <c r="C194" s="12" t="s">
        <v>286</v>
      </c>
      <c r="D194" s="12" t="s">
        <v>287</v>
      </c>
      <c r="E194" s="11"/>
      <c r="F194" s="11"/>
      <c r="G194" s="13"/>
      <c r="H194" s="14">
        <v>0</v>
      </c>
      <c r="I194" s="14"/>
      <c r="J194" s="14">
        <f>SUMIF(ENTRADAS!B:B,A:A,ENTRADAS!F:F)</f>
        <v>0</v>
      </c>
      <c r="K194" s="14">
        <f>SUMIF(SAÍDAS!B:B,A:A,SAÍDAS!F:F)</f>
        <v>0</v>
      </c>
      <c r="L194" s="14">
        <f t="shared" si="19"/>
        <v>0</v>
      </c>
      <c r="M194" s="13">
        <f>'SALDO ATUAL'!$G522*'SALDO ATUAL'!$I522</f>
        <v>0</v>
      </c>
      <c r="N194" s="13">
        <f>'SALDO ATUAL'!$G522*'SALDO ATUAL'!$L522</f>
        <v>0</v>
      </c>
      <c r="O194" s="14" t="str">
        <f t="shared" si="17"/>
        <v>OK</v>
      </c>
      <c r="P194" s="15">
        <f t="shared" si="18"/>
        <v>0</v>
      </c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4" customHeight="1">
      <c r="A195" s="10">
        <v>258</v>
      </c>
      <c r="B195" s="11"/>
      <c r="C195" s="12" t="s">
        <v>288</v>
      </c>
      <c r="D195" s="12" t="s">
        <v>287</v>
      </c>
      <c r="E195" s="11"/>
      <c r="F195" s="11"/>
      <c r="G195" s="13"/>
      <c r="H195" s="14">
        <v>0</v>
      </c>
      <c r="I195" s="14"/>
      <c r="J195" s="14">
        <f>SUMIF(ENTRADAS!B:B,A:A,ENTRADAS!F:F)</f>
        <v>0</v>
      </c>
      <c r="K195" s="14">
        <f>SUMIF(SAÍDAS!B:B,A:A,SAÍDAS!F:F)</f>
        <v>0</v>
      </c>
      <c r="L195" s="14">
        <f t="shared" si="19"/>
        <v>0</v>
      </c>
      <c r="M195" s="13">
        <f>'SALDO ATUAL'!$G24*'SALDO ATUAL'!$I24</f>
        <v>0</v>
      </c>
      <c r="N195" s="13">
        <f>'SALDO ATUAL'!$G24*'SALDO ATUAL'!$L24</f>
        <v>0</v>
      </c>
      <c r="O195" s="14" t="str">
        <f t="shared" si="17"/>
        <v>OK</v>
      </c>
      <c r="P195" s="15">
        <f t="shared" si="18"/>
        <v>0</v>
      </c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4" customHeight="1">
      <c r="A196" s="10">
        <v>259</v>
      </c>
      <c r="B196" s="11"/>
      <c r="C196" s="12" t="s">
        <v>289</v>
      </c>
      <c r="D196" s="12" t="s">
        <v>26</v>
      </c>
      <c r="E196" s="11"/>
      <c r="F196" s="11"/>
      <c r="G196" s="13"/>
      <c r="H196" s="14">
        <v>1</v>
      </c>
      <c r="I196" s="14"/>
      <c r="J196" s="14">
        <f>SUMIF(ENTRADAS!B:B,A:A,ENTRADAS!F:F)</f>
        <v>0</v>
      </c>
      <c r="K196" s="14">
        <f>SUMIF(SAÍDAS!B:B,A:A,SAÍDAS!F:F)</f>
        <v>1</v>
      </c>
      <c r="L196" s="14">
        <f t="shared" si="19"/>
        <v>0</v>
      </c>
      <c r="M196" s="13">
        <f>'SALDO ATUAL'!$G64*'SALDO ATUAL'!$I64</f>
        <v>99.800000000000011</v>
      </c>
      <c r="N196" s="13">
        <f>'SALDO ATUAL'!$G64*'SALDO ATUAL'!$L64</f>
        <v>109.78</v>
      </c>
      <c r="O196" s="14" t="str">
        <f t="shared" si="17"/>
        <v>OK</v>
      </c>
      <c r="P196" s="15">
        <f t="shared" si="18"/>
        <v>0</v>
      </c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4" customHeight="1">
      <c r="A197" s="10">
        <v>260</v>
      </c>
      <c r="B197" s="11"/>
      <c r="C197" s="12" t="s">
        <v>290</v>
      </c>
      <c r="D197" s="12" t="s">
        <v>287</v>
      </c>
      <c r="E197" s="11"/>
      <c r="F197" s="11"/>
      <c r="G197" s="13"/>
      <c r="H197" s="14">
        <v>0</v>
      </c>
      <c r="I197" s="14"/>
      <c r="J197" s="14">
        <f>SUMIF(ENTRADAS!B:B,A:A,ENTRADAS!F:F)</f>
        <v>0</v>
      </c>
      <c r="K197" s="14">
        <f>SUMIF(SAÍDAS!B:B,A:A,SAÍDAS!F:F)</f>
        <v>0</v>
      </c>
      <c r="L197" s="14">
        <f t="shared" si="19"/>
        <v>0</v>
      </c>
      <c r="M197" s="13">
        <f>'SALDO ATUAL'!$G3*'SALDO ATUAL'!$I3</f>
        <v>0</v>
      </c>
      <c r="N197" s="13">
        <f>'SALDO ATUAL'!$G3*'SALDO ATUAL'!$L3</f>
        <v>0</v>
      </c>
      <c r="O197" s="14" t="str">
        <f t="shared" si="17"/>
        <v>OK</v>
      </c>
      <c r="P197" s="15">
        <f t="shared" si="18"/>
        <v>0</v>
      </c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4" customHeight="1">
      <c r="A198" s="10">
        <v>261</v>
      </c>
      <c r="B198" s="11"/>
      <c r="C198" s="12" t="s">
        <v>291</v>
      </c>
      <c r="D198" s="12" t="s">
        <v>287</v>
      </c>
      <c r="E198" s="11"/>
      <c r="F198" s="11"/>
      <c r="G198" s="13"/>
      <c r="H198" s="14">
        <v>0</v>
      </c>
      <c r="I198" s="14"/>
      <c r="J198" s="14">
        <f>SUMIF(ENTRADAS!B:B,A:A,ENTRADAS!F:F)</f>
        <v>0</v>
      </c>
      <c r="K198" s="14">
        <f>SUMIF(SAÍDAS!B:B,A:A,SAÍDAS!F:F)</f>
        <v>0</v>
      </c>
      <c r="L198" s="14">
        <f t="shared" si="19"/>
        <v>0</v>
      </c>
      <c r="M198" s="13">
        <f>'SALDO ATUAL'!$G268*'SALDO ATUAL'!$I268</f>
        <v>253.2</v>
      </c>
      <c r="N198" s="13">
        <f>'SALDO ATUAL'!$G268*'SALDO ATUAL'!$L268</f>
        <v>696.3</v>
      </c>
      <c r="O198" s="14" t="str">
        <f t="shared" si="17"/>
        <v>OK</v>
      </c>
      <c r="P198" s="15">
        <f t="shared" si="18"/>
        <v>0</v>
      </c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4" customHeight="1">
      <c r="A199" s="10">
        <v>262</v>
      </c>
      <c r="B199" s="11"/>
      <c r="C199" s="12" t="s">
        <v>292</v>
      </c>
      <c r="D199" s="12" t="s">
        <v>287</v>
      </c>
      <c r="E199" s="11"/>
      <c r="F199" s="11"/>
      <c r="G199" s="13"/>
      <c r="H199" s="14">
        <v>0</v>
      </c>
      <c r="I199" s="14"/>
      <c r="J199" s="14">
        <f>SUMIF(ENTRADAS!B:B,A:A,ENTRADAS!F:F)</f>
        <v>0</v>
      </c>
      <c r="K199" s="14">
        <f>SUMIF(SAÍDAS!B:B,A:A,SAÍDAS!F:F)</f>
        <v>0</v>
      </c>
      <c r="L199" s="14">
        <f t="shared" si="19"/>
        <v>0</v>
      </c>
      <c r="M199" s="13">
        <f>'SALDO ATUAL'!$G190*'SALDO ATUAL'!$I190</f>
        <v>0</v>
      </c>
      <c r="N199" s="13">
        <f>'SALDO ATUAL'!$G190*'SALDO ATUAL'!$L190</f>
        <v>0</v>
      </c>
      <c r="O199" s="14" t="str">
        <f t="shared" si="17"/>
        <v>OK</v>
      </c>
      <c r="P199" s="15">
        <f t="shared" si="18"/>
        <v>0</v>
      </c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4" customHeight="1">
      <c r="A200" s="10">
        <v>263</v>
      </c>
      <c r="B200" s="11"/>
      <c r="C200" s="12" t="s">
        <v>293</v>
      </c>
      <c r="D200" s="12" t="s">
        <v>287</v>
      </c>
      <c r="E200" s="11"/>
      <c r="F200" s="11"/>
      <c r="G200" s="13"/>
      <c r="H200" s="14">
        <v>0</v>
      </c>
      <c r="I200" s="14"/>
      <c r="J200" s="14">
        <f>SUMIF(ENTRADAS!B:B,A:A,ENTRADAS!F:F)</f>
        <v>0</v>
      </c>
      <c r="K200" s="14">
        <f>SUMIF(SAÍDAS!B:B,A:A,SAÍDAS!F:F)</f>
        <v>0</v>
      </c>
      <c r="L200" s="14">
        <f t="shared" si="19"/>
        <v>0</v>
      </c>
      <c r="M200" s="13">
        <f>'SALDO ATUAL'!$G259*'SALDO ATUAL'!$I259</f>
        <v>0</v>
      </c>
      <c r="N200" s="13">
        <f>'SALDO ATUAL'!$G259*'SALDO ATUAL'!$L259</f>
        <v>0</v>
      </c>
      <c r="O200" s="14" t="str">
        <f t="shared" si="17"/>
        <v>OK</v>
      </c>
      <c r="P200" s="15">
        <f t="shared" si="18"/>
        <v>0</v>
      </c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4" customHeight="1">
      <c r="A201" s="10">
        <v>264</v>
      </c>
      <c r="B201" s="11"/>
      <c r="C201" s="12" t="s">
        <v>294</v>
      </c>
      <c r="D201" s="12" t="s">
        <v>18</v>
      </c>
      <c r="E201" s="11"/>
      <c r="F201" s="11"/>
      <c r="G201" s="13"/>
      <c r="H201" s="14">
        <v>0</v>
      </c>
      <c r="I201" s="14"/>
      <c r="J201" s="14">
        <f>SUMIF(ENTRADAS!B:B,A:A,ENTRADAS!F:F)</f>
        <v>0</v>
      </c>
      <c r="K201" s="14">
        <f>SUMIF(SAÍDAS!B:B,A:A,SAÍDAS!F:F)</f>
        <v>0</v>
      </c>
      <c r="L201" s="14">
        <f t="shared" si="19"/>
        <v>0</v>
      </c>
      <c r="M201" s="13">
        <f>'SALDO ATUAL'!$G256*'SALDO ATUAL'!$I256</f>
        <v>129.86000000000001</v>
      </c>
      <c r="N201" s="13">
        <f>'SALDO ATUAL'!$G256*'SALDO ATUAL'!$L256</f>
        <v>454.51000000000005</v>
      </c>
      <c r="O201" s="14" t="str">
        <f t="shared" si="17"/>
        <v>OK</v>
      </c>
      <c r="P201" s="15">
        <f t="shared" si="18"/>
        <v>0</v>
      </c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4" customHeight="1">
      <c r="A202" s="10">
        <v>265</v>
      </c>
      <c r="B202" s="11"/>
      <c r="C202" s="12" t="s">
        <v>295</v>
      </c>
      <c r="D202" s="12" t="s">
        <v>18</v>
      </c>
      <c r="E202" s="11"/>
      <c r="F202" s="11"/>
      <c r="G202" s="13"/>
      <c r="H202" s="14">
        <v>0</v>
      </c>
      <c r="I202" s="14"/>
      <c r="J202" s="14">
        <f>SUMIF(ENTRADAS!B:B,A:A,ENTRADAS!F:F)</f>
        <v>0</v>
      </c>
      <c r="K202" s="14">
        <f>SUMIF(SAÍDAS!B:B,A:A,SAÍDAS!F:F)</f>
        <v>0</v>
      </c>
      <c r="L202" s="14">
        <f t="shared" si="19"/>
        <v>0</v>
      </c>
      <c r="M202" s="13">
        <f>'SALDO ATUAL'!$G35*'SALDO ATUAL'!$I35</f>
        <v>117.18</v>
      </c>
      <c r="N202" s="13">
        <f>'SALDO ATUAL'!$G35*'SALDO ATUAL'!$L35</f>
        <v>0</v>
      </c>
      <c r="O202" s="14" t="str">
        <f t="shared" si="17"/>
        <v>OK</v>
      </c>
      <c r="P202" s="15">
        <f t="shared" si="18"/>
        <v>0</v>
      </c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4" customHeight="1">
      <c r="A203" s="10">
        <v>266</v>
      </c>
      <c r="B203" s="11"/>
      <c r="C203" s="12" t="s">
        <v>296</v>
      </c>
      <c r="D203" s="12" t="s">
        <v>218</v>
      </c>
      <c r="E203" s="11"/>
      <c r="F203" s="11"/>
      <c r="G203" s="13"/>
      <c r="H203" s="14">
        <v>10</v>
      </c>
      <c r="I203" s="14"/>
      <c r="J203" s="14">
        <f>SUMIF(ENTRADAS!B:B,A:A,ENTRADAS!F:F)</f>
        <v>0</v>
      </c>
      <c r="K203" s="14">
        <f>SUMIF(SAÍDAS!B:B,A:A,SAÍDAS!F:F)</f>
        <v>0</v>
      </c>
      <c r="L203" s="14">
        <f t="shared" si="19"/>
        <v>10</v>
      </c>
      <c r="M203" s="13">
        <f>'SALDO ATUAL'!$G79*'SALDO ATUAL'!$I79</f>
        <v>104.78</v>
      </c>
      <c r="N203" s="13">
        <f>'SALDO ATUAL'!$G79*'SALDO ATUAL'!$L79</f>
        <v>0</v>
      </c>
      <c r="O203" s="14" t="str">
        <f t="shared" si="17"/>
        <v>OK</v>
      </c>
      <c r="P203" s="15">
        <f t="shared" si="18"/>
        <v>0</v>
      </c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4" customHeight="1">
      <c r="A204" s="10">
        <v>267</v>
      </c>
      <c r="B204" s="11"/>
      <c r="C204" s="12" t="s">
        <v>297</v>
      </c>
      <c r="D204" s="12" t="s">
        <v>218</v>
      </c>
      <c r="E204" s="11" t="s">
        <v>276</v>
      </c>
      <c r="F204" s="11" t="s">
        <v>149</v>
      </c>
      <c r="G204" s="13">
        <v>1639.73</v>
      </c>
      <c r="H204" s="14">
        <v>3</v>
      </c>
      <c r="I204" s="14">
        <v>10</v>
      </c>
      <c r="J204" s="14">
        <f>SUMIF(ENTRADAS!B:B,A:A,ENTRADAS!F:F)</f>
        <v>6</v>
      </c>
      <c r="K204" s="14">
        <f>SUMIF(SAÍDAS!B:B,A:A,SAÍDAS!F:F)</f>
        <v>3</v>
      </c>
      <c r="L204" s="14">
        <f t="shared" si="19"/>
        <v>6</v>
      </c>
      <c r="M204" s="13">
        <f>'SALDO ATUAL'!$G88*'SALDO ATUAL'!$I88</f>
        <v>0</v>
      </c>
      <c r="N204" s="13">
        <f>'SALDO ATUAL'!$G88*'SALDO ATUAL'!$L88</f>
        <v>0</v>
      </c>
      <c r="O204" s="14" t="str">
        <f t="shared" si="17"/>
        <v>COMPRAR</v>
      </c>
      <c r="P204" s="15">
        <f t="shared" si="18"/>
        <v>4</v>
      </c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4" customHeight="1">
      <c r="A205" s="10">
        <v>268</v>
      </c>
      <c r="B205" s="11"/>
      <c r="C205" s="12" t="s">
        <v>298</v>
      </c>
      <c r="D205" s="12" t="s">
        <v>218</v>
      </c>
      <c r="E205" s="11" t="s">
        <v>276</v>
      </c>
      <c r="F205" s="11" t="s">
        <v>149</v>
      </c>
      <c r="G205" s="13">
        <v>1639.73</v>
      </c>
      <c r="H205" s="14">
        <v>89</v>
      </c>
      <c r="I205" s="14">
        <v>20</v>
      </c>
      <c r="J205" s="14">
        <f>SUMIF(ENTRADAS!B:B,A:A,ENTRADAS!F:F)</f>
        <v>0</v>
      </c>
      <c r="K205" s="14">
        <f>SUMIF(SAÍDAS!B:B,A:A,SAÍDAS!F:F)</f>
        <v>6</v>
      </c>
      <c r="L205" s="14">
        <f t="shared" si="19"/>
        <v>83</v>
      </c>
      <c r="M205" s="13">
        <f>'SALDO ATUAL'!$G55*'SALDO ATUAL'!$I55</f>
        <v>0</v>
      </c>
      <c r="N205" s="13">
        <f>'SALDO ATUAL'!$G55*'SALDO ATUAL'!$L55</f>
        <v>0</v>
      </c>
      <c r="O205" s="14" t="str">
        <f t="shared" si="17"/>
        <v>OK</v>
      </c>
      <c r="P205" s="15">
        <f t="shared" si="18"/>
        <v>0</v>
      </c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4" customHeight="1">
      <c r="A206" s="10">
        <v>269</v>
      </c>
      <c r="B206" s="11"/>
      <c r="C206" s="12" t="s">
        <v>299</v>
      </c>
      <c r="D206" s="12" t="s">
        <v>218</v>
      </c>
      <c r="E206" s="11" t="s">
        <v>276</v>
      </c>
      <c r="F206" s="11" t="s">
        <v>300</v>
      </c>
      <c r="G206" s="13"/>
      <c r="H206" s="14">
        <v>2</v>
      </c>
      <c r="I206" s="14">
        <v>1</v>
      </c>
      <c r="J206" s="14">
        <f>SUMIF(ENTRADAS!B:B,A:A,ENTRADAS!F:F)</f>
        <v>0</v>
      </c>
      <c r="K206" s="14">
        <f>SUMIF(SAÍDAS!B:B,A:A,SAÍDAS!F:F)</f>
        <v>0</v>
      </c>
      <c r="L206" s="14">
        <f t="shared" si="19"/>
        <v>2</v>
      </c>
      <c r="M206" s="13">
        <f>'SALDO ATUAL'!$G271*'SALDO ATUAL'!$I271</f>
        <v>0</v>
      </c>
      <c r="N206" s="13">
        <f>'SALDO ATUAL'!$G271*'SALDO ATUAL'!$L271</f>
        <v>0</v>
      </c>
      <c r="O206" s="14" t="str">
        <f t="shared" si="17"/>
        <v>OK</v>
      </c>
      <c r="P206" s="15">
        <f t="shared" si="18"/>
        <v>0</v>
      </c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4" customHeight="1">
      <c r="A207" s="10">
        <v>270</v>
      </c>
      <c r="B207" s="11"/>
      <c r="C207" s="12" t="s">
        <v>301</v>
      </c>
      <c r="D207" s="12" t="s">
        <v>172</v>
      </c>
      <c r="E207" s="11"/>
      <c r="F207" s="11"/>
      <c r="G207" s="13"/>
      <c r="H207" s="14"/>
      <c r="I207" s="14"/>
      <c r="J207" s="14">
        <f>SUMIF(ENTRADAS!B:B,A:A,ENTRADAS!F:F)</f>
        <v>0</v>
      </c>
      <c r="K207" s="14">
        <f>SUMIF(SAÍDAS!B:B,A:A,SAÍDAS!F:F)</f>
        <v>0</v>
      </c>
      <c r="L207" s="14">
        <f t="shared" si="19"/>
        <v>0</v>
      </c>
      <c r="M207" s="13">
        <f>'SALDO ATUAL'!$G73*'SALDO ATUAL'!$I73</f>
        <v>4000</v>
      </c>
      <c r="N207" s="13">
        <f>'SALDO ATUAL'!$G73*'SALDO ATUAL'!$L73</f>
        <v>5400</v>
      </c>
      <c r="O207" s="14" t="str">
        <f t="shared" si="17"/>
        <v>OK</v>
      </c>
      <c r="P207" s="15">
        <f t="shared" si="18"/>
        <v>0</v>
      </c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4" customHeight="1">
      <c r="A208" s="10">
        <v>271</v>
      </c>
      <c r="B208" s="11"/>
      <c r="C208" s="12" t="s">
        <v>302</v>
      </c>
      <c r="D208" s="12" t="s">
        <v>137</v>
      </c>
      <c r="E208" s="11"/>
      <c r="F208" s="11"/>
      <c r="G208" s="13"/>
      <c r="H208" s="14">
        <v>0</v>
      </c>
      <c r="I208" s="14"/>
      <c r="J208" s="14">
        <f>SUMIF(ENTRADAS!B:B,A:A,ENTRADAS!F:F)</f>
        <v>0</v>
      </c>
      <c r="K208" s="14">
        <f>SUMIF(SAÍDAS!B:B,A:A,SAÍDAS!F:F)</f>
        <v>0</v>
      </c>
      <c r="L208" s="14">
        <f t="shared" si="19"/>
        <v>0</v>
      </c>
      <c r="M208" s="13">
        <f>'SALDO ATUAL'!$G36*'SALDO ATUAL'!$I36</f>
        <v>0</v>
      </c>
      <c r="N208" s="13">
        <f>'SALDO ATUAL'!$G36*'SALDO ATUAL'!$L36</f>
        <v>0</v>
      </c>
      <c r="O208" s="14" t="str">
        <f t="shared" si="17"/>
        <v>OK</v>
      </c>
      <c r="P208" s="15">
        <f t="shared" si="18"/>
        <v>0</v>
      </c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4" customHeight="1">
      <c r="A209" s="10">
        <v>272</v>
      </c>
      <c r="B209" s="11"/>
      <c r="C209" s="12" t="s">
        <v>303</v>
      </c>
      <c r="D209" s="12" t="s">
        <v>69</v>
      </c>
      <c r="E209" s="11"/>
      <c r="F209" s="11"/>
      <c r="G209" s="13"/>
      <c r="H209" s="14"/>
      <c r="I209" s="14"/>
      <c r="J209" s="14">
        <f>SUMIF(ENTRADAS!B:B,A:A,ENTRADAS!F:F)</f>
        <v>0</v>
      </c>
      <c r="K209" s="14">
        <f>SUMIF(SAÍDAS!B:B,A:A,SAÍDAS!F:F)</f>
        <v>0</v>
      </c>
      <c r="L209" s="14">
        <f t="shared" si="19"/>
        <v>0</v>
      </c>
      <c r="M209" s="13">
        <f>'SALDO ATUAL'!$G127*'SALDO ATUAL'!$I127</f>
        <v>0</v>
      </c>
      <c r="N209" s="13">
        <f>'SALDO ATUAL'!$G127*'SALDO ATUAL'!$L127</f>
        <v>0</v>
      </c>
      <c r="O209" s="14" t="str">
        <f t="shared" si="17"/>
        <v>OK</v>
      </c>
      <c r="P209" s="15">
        <f t="shared" si="18"/>
        <v>0</v>
      </c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4" customHeight="1">
      <c r="A210" s="10">
        <v>273</v>
      </c>
      <c r="B210" s="11"/>
      <c r="C210" s="12" t="s">
        <v>304</v>
      </c>
      <c r="D210" s="12" t="s">
        <v>69</v>
      </c>
      <c r="E210" s="11" t="s">
        <v>305</v>
      </c>
      <c r="F210" s="11" t="s">
        <v>306</v>
      </c>
      <c r="G210" s="13">
        <v>11.83</v>
      </c>
      <c r="H210" s="14">
        <v>3</v>
      </c>
      <c r="I210" s="14">
        <v>2</v>
      </c>
      <c r="J210" s="14"/>
      <c r="K210" s="14"/>
      <c r="L210" s="14"/>
      <c r="M210" s="13"/>
      <c r="N210" s="13"/>
      <c r="O210" s="14"/>
      <c r="P210" s="15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4" customHeight="1">
      <c r="A211" s="10">
        <v>274</v>
      </c>
      <c r="B211" s="11"/>
      <c r="C211" s="12" t="s">
        <v>307</v>
      </c>
      <c r="D211" s="12" t="s">
        <v>69</v>
      </c>
      <c r="E211" s="11"/>
      <c r="F211" s="11"/>
      <c r="G211" s="13"/>
      <c r="H211" s="14">
        <v>0</v>
      </c>
      <c r="I211" s="14"/>
      <c r="J211" s="14">
        <f>SUMIF(ENTRADAS!B:B,A:A,ENTRADAS!F:F)</f>
        <v>0</v>
      </c>
      <c r="K211" s="14">
        <f>SUMIF(SAÍDAS!B:B,A:A,SAÍDAS!F:F)</f>
        <v>0</v>
      </c>
      <c r="L211" s="14">
        <f t="shared" ref="L211:L279" si="20">H211+J211-K211</f>
        <v>0</v>
      </c>
      <c r="M211" s="13">
        <f>'SALDO ATUAL'!$G123*'SALDO ATUAL'!$I123</f>
        <v>0</v>
      </c>
      <c r="N211" s="13">
        <f>'SALDO ATUAL'!$G123*'SALDO ATUAL'!$L123</f>
        <v>0</v>
      </c>
      <c r="O211" s="14" t="str">
        <f t="shared" ref="O211:O279" si="21">IF(L211&gt;=I211,"OK","COMPRAR")</f>
        <v>OK</v>
      </c>
      <c r="P211" s="15">
        <f t="shared" ref="P211:P279" si="22">IF(O211="COMPRAR",I211-L211,0)</f>
        <v>0</v>
      </c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4" customHeight="1">
      <c r="A212" s="10">
        <v>275</v>
      </c>
      <c r="B212" s="11"/>
      <c r="C212" s="12" t="s">
        <v>308</v>
      </c>
      <c r="D212" s="12" t="s">
        <v>309</v>
      </c>
      <c r="E212" s="11" t="s">
        <v>310</v>
      </c>
      <c r="F212" s="11" t="s">
        <v>308</v>
      </c>
      <c r="G212" s="13">
        <v>603.66999999999996</v>
      </c>
      <c r="H212" s="14">
        <v>50</v>
      </c>
      <c r="I212" s="14">
        <v>30</v>
      </c>
      <c r="J212" s="14">
        <f>SUMIF(ENTRADAS!B:B,A:A,ENTRADAS!F:F)</f>
        <v>4</v>
      </c>
      <c r="K212" s="14">
        <f>SUMIF(SAÍDAS!B:B,A:A,SAÍDAS!F:F)</f>
        <v>24</v>
      </c>
      <c r="L212" s="14">
        <f t="shared" si="20"/>
        <v>30</v>
      </c>
      <c r="M212" s="13">
        <f>'SALDO ATUAL'!$G143*'SALDO ATUAL'!$I143</f>
        <v>0</v>
      </c>
      <c r="N212" s="13">
        <f>'SALDO ATUAL'!$G143*'SALDO ATUAL'!$L143</f>
        <v>0</v>
      </c>
      <c r="O212" s="14" t="str">
        <f t="shared" si="21"/>
        <v>OK</v>
      </c>
      <c r="P212" s="15">
        <f t="shared" si="22"/>
        <v>0</v>
      </c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4" customHeight="1">
      <c r="A213" s="10">
        <v>276</v>
      </c>
      <c r="B213" s="11"/>
      <c r="C213" s="12" t="s">
        <v>311</v>
      </c>
      <c r="D213" s="12" t="s">
        <v>26</v>
      </c>
      <c r="E213" s="11" t="s">
        <v>312</v>
      </c>
      <c r="F213" s="11" t="s">
        <v>313</v>
      </c>
      <c r="G213" s="13">
        <v>70.569999999999993</v>
      </c>
      <c r="H213" s="14">
        <v>0</v>
      </c>
      <c r="I213" s="14">
        <v>2</v>
      </c>
      <c r="J213" s="14">
        <f>SUMIF(ENTRADAS!B:B,A:A,ENTRADAS!F:F)</f>
        <v>0</v>
      </c>
      <c r="K213" s="14">
        <f>SUMIF(SAÍDAS!B:B,A:A,SAÍDAS!F:F)</f>
        <v>0</v>
      </c>
      <c r="L213" s="14">
        <f t="shared" si="20"/>
        <v>0</v>
      </c>
      <c r="M213" s="13">
        <f>'SALDO ATUAL'!$G70*'SALDO ATUAL'!$I70</f>
        <v>0</v>
      </c>
      <c r="N213" s="13">
        <f>'SALDO ATUAL'!$G70*'SALDO ATUAL'!$L70</f>
        <v>0</v>
      </c>
      <c r="O213" s="14" t="str">
        <f t="shared" si="21"/>
        <v>COMPRAR</v>
      </c>
      <c r="P213" s="15">
        <f t="shared" si="22"/>
        <v>2</v>
      </c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4" customHeight="1">
      <c r="A214" s="10">
        <v>277</v>
      </c>
      <c r="B214" s="11"/>
      <c r="C214" s="12" t="s">
        <v>314</v>
      </c>
      <c r="D214" s="12" t="s">
        <v>26</v>
      </c>
      <c r="E214" s="11" t="s">
        <v>312</v>
      </c>
      <c r="F214" s="11" t="s">
        <v>313</v>
      </c>
      <c r="G214" s="13">
        <v>70.569999999999993</v>
      </c>
      <c r="H214" s="14">
        <v>2</v>
      </c>
      <c r="I214" s="14">
        <v>1</v>
      </c>
      <c r="J214" s="14">
        <f>SUMIF(ENTRADAS!B:B,A:A,ENTRADAS!F:F)</f>
        <v>0</v>
      </c>
      <c r="K214" s="14">
        <f>SUMIF(SAÍDAS!B:B,A:A,SAÍDAS!F:F)</f>
        <v>1</v>
      </c>
      <c r="L214" s="14">
        <f t="shared" si="20"/>
        <v>1</v>
      </c>
      <c r="M214" s="13">
        <f>'SALDO ATUAL'!$G72*'SALDO ATUAL'!$I72</f>
        <v>0</v>
      </c>
      <c r="N214" s="13">
        <f>'SALDO ATUAL'!$G72*'SALDO ATUAL'!$L72</f>
        <v>0</v>
      </c>
      <c r="O214" s="14" t="str">
        <f t="shared" si="21"/>
        <v>OK</v>
      </c>
      <c r="P214" s="15">
        <f t="shared" si="22"/>
        <v>0</v>
      </c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4" customHeight="1">
      <c r="A215" s="10">
        <v>278</v>
      </c>
      <c r="B215" s="11"/>
      <c r="C215" s="12" t="s">
        <v>315</v>
      </c>
      <c r="D215" s="12" t="s">
        <v>26</v>
      </c>
      <c r="E215" s="11" t="s">
        <v>312</v>
      </c>
      <c r="F215" s="11" t="s">
        <v>313</v>
      </c>
      <c r="G215" s="13">
        <v>70.569999999999993</v>
      </c>
      <c r="H215" s="14">
        <v>0</v>
      </c>
      <c r="I215" s="14">
        <v>2</v>
      </c>
      <c r="J215" s="14">
        <f>SUMIF(ENTRADAS!B:B,A:A,ENTRADAS!F:F)</f>
        <v>0</v>
      </c>
      <c r="K215" s="14">
        <f>SUMIF(SAÍDAS!B:B,A:A,SAÍDAS!F:F)</f>
        <v>0</v>
      </c>
      <c r="L215" s="14">
        <f t="shared" si="20"/>
        <v>0</v>
      </c>
      <c r="M215" s="13">
        <f>'SALDO ATUAL'!$G71*'SALDO ATUAL'!$I71</f>
        <v>0</v>
      </c>
      <c r="N215" s="13">
        <f>'SALDO ATUAL'!$G71*'SALDO ATUAL'!$L71</f>
        <v>0</v>
      </c>
      <c r="O215" s="14" t="str">
        <f t="shared" si="21"/>
        <v>COMPRAR</v>
      </c>
      <c r="P215" s="15">
        <f t="shared" si="22"/>
        <v>2</v>
      </c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4" customHeight="1">
      <c r="A216" s="10">
        <v>279</v>
      </c>
      <c r="B216" s="11"/>
      <c r="C216" s="12" t="s">
        <v>316</v>
      </c>
      <c r="D216" s="12" t="s">
        <v>30</v>
      </c>
      <c r="E216" s="11" t="s">
        <v>317</v>
      </c>
      <c r="F216" s="11" t="s">
        <v>48</v>
      </c>
      <c r="G216" s="13">
        <v>18.5</v>
      </c>
      <c r="H216" s="14">
        <v>1</v>
      </c>
      <c r="I216" s="14">
        <v>1</v>
      </c>
      <c r="J216" s="14">
        <f>SUMIF(ENTRADAS!B:B,A:A,ENTRADAS!F:F)</f>
        <v>0</v>
      </c>
      <c r="K216" s="14">
        <f>SUMIF(SAÍDAS!B:B,A:A,SAÍDAS!F:F)</f>
        <v>0</v>
      </c>
      <c r="L216" s="14">
        <f t="shared" si="20"/>
        <v>1</v>
      </c>
      <c r="M216" s="13">
        <f>'SALDO ATUAL'!$G4*'SALDO ATUAL'!$I4</f>
        <v>0</v>
      </c>
      <c r="N216" s="13">
        <f>'SALDO ATUAL'!$G4*'SALDO ATUAL'!$L4</f>
        <v>0</v>
      </c>
      <c r="O216" s="14" t="str">
        <f t="shared" si="21"/>
        <v>OK</v>
      </c>
      <c r="P216" s="15">
        <f t="shared" si="22"/>
        <v>0</v>
      </c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4" customHeight="1">
      <c r="A217" s="10">
        <v>280</v>
      </c>
      <c r="B217" s="11"/>
      <c r="C217" s="12" t="s">
        <v>318</v>
      </c>
      <c r="D217" s="12" t="s">
        <v>30</v>
      </c>
      <c r="E217" s="11"/>
      <c r="F217" s="11"/>
      <c r="G217" s="13"/>
      <c r="H217" s="14">
        <v>0</v>
      </c>
      <c r="I217" s="14"/>
      <c r="J217" s="14">
        <f>SUMIF(ENTRADAS!B:B,A:A,ENTRADAS!F:F)</f>
        <v>0</v>
      </c>
      <c r="K217" s="14">
        <f>SUMIF(SAÍDAS!B:B,A:A,SAÍDAS!F:F)</f>
        <v>0</v>
      </c>
      <c r="L217" s="14">
        <f t="shared" si="20"/>
        <v>0</v>
      </c>
      <c r="M217" s="13">
        <f>'SALDO ATUAL'!$G179*'SALDO ATUAL'!$I179</f>
        <v>0</v>
      </c>
      <c r="N217" s="13">
        <f>'SALDO ATUAL'!$G179*'SALDO ATUAL'!$L179</f>
        <v>0</v>
      </c>
      <c r="O217" s="14" t="str">
        <f t="shared" si="21"/>
        <v>OK</v>
      </c>
      <c r="P217" s="15">
        <f t="shared" si="22"/>
        <v>0</v>
      </c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4" customHeight="1">
      <c r="A218" s="10">
        <v>281</v>
      </c>
      <c r="B218" s="11"/>
      <c r="C218" s="12" t="s">
        <v>319</v>
      </c>
      <c r="D218" s="12" t="s">
        <v>30</v>
      </c>
      <c r="E218" s="11"/>
      <c r="F218" s="11"/>
      <c r="G218" s="13"/>
      <c r="H218" s="14">
        <v>0</v>
      </c>
      <c r="I218" s="14"/>
      <c r="J218" s="14">
        <f>SUMIF(ENTRADAS!B:B,A:A,ENTRADAS!F:F)</f>
        <v>0</v>
      </c>
      <c r="K218" s="14">
        <f>SUMIF(SAÍDAS!B:B,A:A,SAÍDAS!F:F)</f>
        <v>0</v>
      </c>
      <c r="L218" s="14">
        <f t="shared" si="20"/>
        <v>0</v>
      </c>
      <c r="M218" s="13">
        <f>'SALDO ATUAL'!$G226*'SALDO ATUAL'!$I226</f>
        <v>0</v>
      </c>
      <c r="N218" s="13">
        <f>'SALDO ATUAL'!$G226*'SALDO ATUAL'!$L226</f>
        <v>0</v>
      </c>
      <c r="O218" s="14" t="str">
        <f t="shared" si="21"/>
        <v>OK</v>
      </c>
      <c r="P218" s="15">
        <f t="shared" si="22"/>
        <v>0</v>
      </c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4" customHeight="1">
      <c r="A219" s="10">
        <v>282</v>
      </c>
      <c r="B219" s="11"/>
      <c r="C219" s="12" t="s">
        <v>320</v>
      </c>
      <c r="D219" s="12" t="s">
        <v>172</v>
      </c>
      <c r="E219" s="11"/>
      <c r="F219" s="11"/>
      <c r="G219" s="13"/>
      <c r="H219" s="14">
        <v>0</v>
      </c>
      <c r="I219" s="14"/>
      <c r="J219" s="14">
        <f>SUMIF(ENTRADAS!B:B,A:A,ENTRADAS!F:F)</f>
        <v>0</v>
      </c>
      <c r="K219" s="14">
        <f>SUMIF(SAÍDAS!B:B,A:A,SAÍDAS!F:F)</f>
        <v>0</v>
      </c>
      <c r="L219" s="14">
        <f t="shared" si="20"/>
        <v>0</v>
      </c>
      <c r="M219" s="13">
        <f>'SALDO ATUAL'!$G80*'SALDO ATUAL'!$I80</f>
        <v>0</v>
      </c>
      <c r="N219" s="13">
        <f>'SALDO ATUAL'!$G80*'SALDO ATUAL'!$L80</f>
        <v>0</v>
      </c>
      <c r="O219" s="14" t="str">
        <f t="shared" si="21"/>
        <v>OK</v>
      </c>
      <c r="P219" s="15">
        <f t="shared" si="22"/>
        <v>0</v>
      </c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4" customHeight="1">
      <c r="A220" s="10">
        <v>283</v>
      </c>
      <c r="B220" s="11"/>
      <c r="C220" s="12" t="s">
        <v>321</v>
      </c>
      <c r="D220" s="12" t="s">
        <v>30</v>
      </c>
      <c r="E220" s="11" t="s">
        <v>317</v>
      </c>
      <c r="F220" s="11" t="s">
        <v>48</v>
      </c>
      <c r="G220" s="13">
        <v>18.5</v>
      </c>
      <c r="H220" s="14">
        <v>1</v>
      </c>
      <c r="I220" s="14">
        <v>1</v>
      </c>
      <c r="J220" s="14">
        <f>SUMIF(ENTRADAS!B:B,A:A,ENTRADAS!F:F)</f>
        <v>0</v>
      </c>
      <c r="K220" s="14">
        <f>SUMIF(SAÍDAS!B:B,A:A,SAÍDAS!F:F)</f>
        <v>0</v>
      </c>
      <c r="L220" s="14">
        <f t="shared" si="20"/>
        <v>1</v>
      </c>
      <c r="M220" s="13">
        <f>'SALDO ATUAL'!$G178*'SALDO ATUAL'!$I178</f>
        <v>0</v>
      </c>
      <c r="N220" s="13">
        <f>'SALDO ATUAL'!$G178*'SALDO ATUAL'!$L178</f>
        <v>0</v>
      </c>
      <c r="O220" s="14" t="str">
        <f t="shared" si="21"/>
        <v>OK</v>
      </c>
      <c r="P220" s="15">
        <f t="shared" si="22"/>
        <v>0</v>
      </c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4" customHeight="1">
      <c r="A221" s="10">
        <v>284</v>
      </c>
      <c r="B221" s="11"/>
      <c r="C221" s="12" t="s">
        <v>322</v>
      </c>
      <c r="D221" s="12" t="s">
        <v>18</v>
      </c>
      <c r="E221" s="11" t="s">
        <v>118</v>
      </c>
      <c r="F221" s="11" t="s">
        <v>20</v>
      </c>
      <c r="G221" s="13"/>
      <c r="H221" s="14">
        <v>2</v>
      </c>
      <c r="I221" s="14">
        <v>4</v>
      </c>
      <c r="J221" s="14">
        <f>SUMIF(ENTRADAS!B:B,A:A,ENTRADAS!F:F)</f>
        <v>6</v>
      </c>
      <c r="K221" s="14">
        <f>SUMIF(SAÍDAS!B:B,A:A,SAÍDAS!F:F)</f>
        <v>5</v>
      </c>
      <c r="L221" s="14">
        <f t="shared" si="20"/>
        <v>3</v>
      </c>
      <c r="M221" s="13">
        <f>'SALDO ATUAL'!$G258*'SALDO ATUAL'!$I258</f>
        <v>0</v>
      </c>
      <c r="N221" s="13">
        <f>'SALDO ATUAL'!$G258*'SALDO ATUAL'!$L258</f>
        <v>0</v>
      </c>
      <c r="O221" s="14" t="str">
        <f t="shared" si="21"/>
        <v>COMPRAR</v>
      </c>
      <c r="P221" s="15">
        <f t="shared" si="22"/>
        <v>1</v>
      </c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4" customHeight="1">
      <c r="A222" s="10">
        <v>285</v>
      </c>
      <c r="B222" s="11"/>
      <c r="C222" s="12" t="s">
        <v>323</v>
      </c>
      <c r="D222" s="12" t="s">
        <v>30</v>
      </c>
      <c r="E222" s="11" t="s">
        <v>312</v>
      </c>
      <c r="F222" s="11" t="s">
        <v>324</v>
      </c>
      <c r="G222" s="13">
        <v>49.99</v>
      </c>
      <c r="H222" s="14">
        <v>0</v>
      </c>
      <c r="I222" s="14">
        <v>1</v>
      </c>
      <c r="J222" s="14">
        <f>SUMIF(ENTRADAS!B:B,A:A,ENTRADAS!F:F)</f>
        <v>4</v>
      </c>
      <c r="K222" s="14">
        <f>SUMIF(SAÍDAS!B:B,A:A,SAÍDAS!F:F)</f>
        <v>0</v>
      </c>
      <c r="L222" s="14">
        <f t="shared" si="20"/>
        <v>4</v>
      </c>
      <c r="M222" s="13">
        <f>'SALDO ATUAL'!$G242*'SALDO ATUAL'!$I242</f>
        <v>0</v>
      </c>
      <c r="N222" s="13">
        <f>'SALDO ATUAL'!$G242*'SALDO ATUAL'!$L242</f>
        <v>0</v>
      </c>
      <c r="O222" s="14" t="str">
        <f t="shared" si="21"/>
        <v>OK</v>
      </c>
      <c r="P222" s="15">
        <f t="shared" si="22"/>
        <v>0</v>
      </c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4" customHeight="1">
      <c r="A223" s="10">
        <v>287</v>
      </c>
      <c r="B223" s="11"/>
      <c r="C223" s="12" t="s">
        <v>325</v>
      </c>
      <c r="D223" s="12" t="s">
        <v>30</v>
      </c>
      <c r="E223" s="11"/>
      <c r="F223" s="11"/>
      <c r="G223" s="13"/>
      <c r="H223" s="14">
        <v>0</v>
      </c>
      <c r="I223" s="14"/>
      <c r="J223" s="14">
        <f>SUMIF(ENTRADAS!B:B,A:A,ENTRADAS!F:F)</f>
        <v>0</v>
      </c>
      <c r="K223" s="14">
        <f>SUMIF(SAÍDAS!B:B,A:A,SAÍDAS!F:F)</f>
        <v>0</v>
      </c>
      <c r="L223" s="14">
        <f t="shared" si="20"/>
        <v>0</v>
      </c>
      <c r="M223" s="13">
        <f>'SALDO ATUAL'!$G181*'SALDO ATUAL'!$I181</f>
        <v>0</v>
      </c>
      <c r="N223" s="13">
        <f>'SALDO ATUAL'!$G181*'SALDO ATUAL'!$L181</f>
        <v>0</v>
      </c>
      <c r="O223" s="14" t="str">
        <f t="shared" si="21"/>
        <v>OK</v>
      </c>
      <c r="P223" s="15">
        <f t="shared" si="22"/>
        <v>0</v>
      </c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4" customHeight="1">
      <c r="A224" s="10">
        <v>288</v>
      </c>
      <c r="B224" s="11"/>
      <c r="C224" s="12" t="s">
        <v>326</v>
      </c>
      <c r="D224" s="12" t="s">
        <v>18</v>
      </c>
      <c r="E224" s="11" t="s">
        <v>118</v>
      </c>
      <c r="F224" s="11" t="s">
        <v>20</v>
      </c>
      <c r="G224" s="13">
        <v>45.21</v>
      </c>
      <c r="H224" s="14">
        <v>5</v>
      </c>
      <c r="I224" s="14">
        <v>4</v>
      </c>
      <c r="J224" s="14">
        <f>SUMIF(ENTRADAS!B:B,A:A,ENTRADAS!F:F)</f>
        <v>10</v>
      </c>
      <c r="K224" s="14">
        <f>SUMIF(SAÍDAS!B:B,A:A,SAÍDAS!F:F)</f>
        <v>7</v>
      </c>
      <c r="L224" s="14">
        <f t="shared" si="20"/>
        <v>8</v>
      </c>
      <c r="M224" s="13">
        <f>'SALDO ATUAL'!$G279*'SALDO ATUAL'!$I279</f>
        <v>0</v>
      </c>
      <c r="N224" s="13">
        <f>'SALDO ATUAL'!$G279*'SALDO ATUAL'!$L279</f>
        <v>0</v>
      </c>
      <c r="O224" s="14" t="str">
        <f t="shared" si="21"/>
        <v>OK</v>
      </c>
      <c r="P224" s="15">
        <f t="shared" si="22"/>
        <v>0</v>
      </c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4" customHeight="1">
      <c r="A225" s="10">
        <v>289</v>
      </c>
      <c r="B225" s="11"/>
      <c r="C225" s="12" t="s">
        <v>327</v>
      </c>
      <c r="D225" s="12" t="s">
        <v>328</v>
      </c>
      <c r="E225" s="11" t="s">
        <v>310</v>
      </c>
      <c r="F225" s="11" t="s">
        <v>124</v>
      </c>
      <c r="G225" s="13">
        <v>0.55000000000000004</v>
      </c>
      <c r="H225" s="14">
        <v>10</v>
      </c>
      <c r="I225" s="14">
        <v>5</v>
      </c>
      <c r="J225" s="14">
        <f>SUMIF(ENTRADAS!B:B,A:A,ENTRADAS!F:F)</f>
        <v>30</v>
      </c>
      <c r="K225" s="14">
        <f>SUMIF(SAÍDAS!B:B,A:A,SAÍDAS!F:F)</f>
        <v>30</v>
      </c>
      <c r="L225" s="14">
        <f t="shared" si="20"/>
        <v>10</v>
      </c>
      <c r="M225" s="13">
        <f>'SALDO ATUAL'!$G20*'SALDO ATUAL'!$I20</f>
        <v>0</v>
      </c>
      <c r="N225" s="13">
        <f>'SALDO ATUAL'!$G20*'SALDO ATUAL'!$L20</f>
        <v>0</v>
      </c>
      <c r="O225" s="14" t="str">
        <f t="shared" si="21"/>
        <v>OK</v>
      </c>
      <c r="P225" s="15">
        <f t="shared" si="22"/>
        <v>0</v>
      </c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4" customHeight="1">
      <c r="A226" s="10">
        <v>290</v>
      </c>
      <c r="B226" s="11"/>
      <c r="C226" s="12" t="s">
        <v>329</v>
      </c>
      <c r="D226" s="12" t="s">
        <v>328</v>
      </c>
      <c r="E226" s="11"/>
      <c r="F226" s="11"/>
      <c r="G226" s="13"/>
      <c r="H226" s="14"/>
      <c r="I226" s="14"/>
      <c r="J226" s="14">
        <f>SUMIF(ENTRADAS!B:B,A:A,ENTRADAS!F:F)</f>
        <v>0</v>
      </c>
      <c r="K226" s="14">
        <f>SUMIF(SAÍDAS!B:B,A:A,SAÍDAS!F:F)</f>
        <v>0</v>
      </c>
      <c r="L226" s="14">
        <f t="shared" si="20"/>
        <v>0</v>
      </c>
      <c r="M226" s="13">
        <f>'SALDO ATUAL'!$G15*'SALDO ATUAL'!$I15</f>
        <v>6300</v>
      </c>
      <c r="N226" s="13">
        <f>'SALDO ATUAL'!$G15*'SALDO ATUAL'!$L15</f>
        <v>14070</v>
      </c>
      <c r="O226" s="14" t="str">
        <f t="shared" si="21"/>
        <v>OK</v>
      </c>
      <c r="P226" s="15">
        <f t="shared" si="22"/>
        <v>0</v>
      </c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4" customHeight="1">
      <c r="A227" s="10">
        <v>291</v>
      </c>
      <c r="B227" s="11"/>
      <c r="C227" s="12" t="s">
        <v>330</v>
      </c>
      <c r="D227" s="12" t="s">
        <v>328</v>
      </c>
      <c r="E227" s="11" t="s">
        <v>312</v>
      </c>
      <c r="F227" s="11" t="s">
        <v>40</v>
      </c>
      <c r="G227" s="13"/>
      <c r="H227" s="14"/>
      <c r="I227" s="14"/>
      <c r="J227" s="14">
        <f>SUMIF(ENTRADAS!B:B,A:A,ENTRADAS!F:F)</f>
        <v>5</v>
      </c>
      <c r="K227" s="14">
        <f>SUMIF(SAÍDAS!B:B,A:A,SAÍDAS!F:F)</f>
        <v>0</v>
      </c>
      <c r="L227" s="14">
        <f t="shared" si="20"/>
        <v>5</v>
      </c>
      <c r="M227" s="13">
        <f>'SALDO ATUAL'!$G203*'SALDO ATUAL'!$I203</f>
        <v>0</v>
      </c>
      <c r="N227" s="13">
        <f>'SALDO ATUAL'!$G203*'SALDO ATUAL'!$L203</f>
        <v>0</v>
      </c>
      <c r="O227" s="14" t="str">
        <f t="shared" si="21"/>
        <v>OK</v>
      </c>
      <c r="P227" s="15">
        <f t="shared" si="22"/>
        <v>0</v>
      </c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4" customHeight="1">
      <c r="A228" s="10">
        <v>292</v>
      </c>
      <c r="B228" s="11"/>
      <c r="C228" s="12" t="s">
        <v>331</v>
      </c>
      <c r="D228" s="12" t="s">
        <v>328</v>
      </c>
      <c r="E228" s="11"/>
      <c r="F228" s="11"/>
      <c r="G228" s="13"/>
      <c r="H228" s="14"/>
      <c r="I228" s="14"/>
      <c r="J228" s="14">
        <f>SUMIF(ENTRADAS!B:B,A:A,ENTRADAS!F:F)</f>
        <v>0</v>
      </c>
      <c r="K228" s="14">
        <f>SUMIF(SAÍDAS!B:B,A:A,SAÍDAS!F:F)</f>
        <v>0</v>
      </c>
      <c r="L228" s="14">
        <f t="shared" si="20"/>
        <v>0</v>
      </c>
      <c r="M228" s="13">
        <f>'SALDO ATUAL'!$G18*'SALDO ATUAL'!$I18</f>
        <v>0</v>
      </c>
      <c r="N228" s="13">
        <f>'SALDO ATUAL'!$G18*'SALDO ATUAL'!$L18</f>
        <v>0</v>
      </c>
      <c r="O228" s="14" t="str">
        <f t="shared" si="21"/>
        <v>OK</v>
      </c>
      <c r="P228" s="15">
        <f t="shared" si="22"/>
        <v>0</v>
      </c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4" customHeight="1">
      <c r="A229" s="10">
        <v>293</v>
      </c>
      <c r="B229" s="11"/>
      <c r="C229" s="12" t="s">
        <v>332</v>
      </c>
      <c r="D229" s="12" t="s">
        <v>328</v>
      </c>
      <c r="E229" s="11"/>
      <c r="F229" s="11"/>
      <c r="G229" s="13"/>
      <c r="H229" s="14">
        <v>0</v>
      </c>
      <c r="I229" s="14"/>
      <c r="J229" s="14">
        <f>SUMIF(ENTRADAS!B:B,A:A,ENTRADAS!F:F)</f>
        <v>0</v>
      </c>
      <c r="K229" s="14">
        <f>SUMIF(SAÍDAS!B:B,A:A,SAÍDAS!F:F)</f>
        <v>0</v>
      </c>
      <c r="L229" s="14">
        <f t="shared" si="20"/>
        <v>0</v>
      </c>
      <c r="M229" s="13">
        <f>'SALDO ATUAL'!$G7*'SALDO ATUAL'!$I7</f>
        <v>23.75</v>
      </c>
      <c r="N229" s="13">
        <f>'SALDO ATUAL'!$G7*'SALDO ATUAL'!$L7</f>
        <v>95</v>
      </c>
      <c r="O229" s="14" t="str">
        <f t="shared" si="21"/>
        <v>OK</v>
      </c>
      <c r="P229" s="15">
        <f t="shared" si="22"/>
        <v>0</v>
      </c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4" customHeight="1">
      <c r="A230" s="10">
        <v>294</v>
      </c>
      <c r="B230" s="11"/>
      <c r="C230" s="12" t="s">
        <v>333</v>
      </c>
      <c r="D230" s="12" t="s">
        <v>328</v>
      </c>
      <c r="E230" s="11" t="s">
        <v>310</v>
      </c>
      <c r="F230" s="11" t="s">
        <v>124</v>
      </c>
      <c r="G230" s="13">
        <v>25</v>
      </c>
      <c r="H230" s="14">
        <v>60</v>
      </c>
      <c r="I230" s="14">
        <v>30</v>
      </c>
      <c r="J230" s="14">
        <f>SUMIF(ENTRADAS!B:B,A:A,ENTRADAS!F:F)</f>
        <v>70</v>
      </c>
      <c r="K230" s="14">
        <f>SUMIF(SAÍDAS!B:B,A:A,SAÍDAS!F:F)</f>
        <v>120</v>
      </c>
      <c r="L230" s="14">
        <f t="shared" si="20"/>
        <v>10</v>
      </c>
      <c r="M230" s="13">
        <f>'SALDO ATUAL'!$G230*'SALDO ATUAL'!$I230</f>
        <v>750</v>
      </c>
      <c r="N230" s="13">
        <f>'SALDO ATUAL'!$G230*'SALDO ATUAL'!$L230</f>
        <v>250</v>
      </c>
      <c r="O230" s="14" t="str">
        <f t="shared" si="21"/>
        <v>COMPRAR</v>
      </c>
      <c r="P230" s="15">
        <f t="shared" si="22"/>
        <v>20</v>
      </c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4" customHeight="1">
      <c r="A231" s="10">
        <v>295</v>
      </c>
      <c r="B231" s="11"/>
      <c r="C231" s="12" t="s">
        <v>334</v>
      </c>
      <c r="D231" s="12" t="s">
        <v>328</v>
      </c>
      <c r="E231" s="11"/>
      <c r="F231" s="11"/>
      <c r="G231" s="13"/>
      <c r="H231" s="14">
        <v>0</v>
      </c>
      <c r="I231" s="14"/>
      <c r="J231" s="14">
        <f>SUMIF(ENTRADAS!B:B,A:A,ENTRADAS!F:F)</f>
        <v>0</v>
      </c>
      <c r="K231" s="14">
        <f>SUMIF(SAÍDAS!B:B,A:A,SAÍDAS!F:F)</f>
        <v>0</v>
      </c>
      <c r="L231" s="14">
        <f t="shared" si="20"/>
        <v>0</v>
      </c>
      <c r="M231" s="13">
        <f>'SALDO ATUAL'!$G135*'SALDO ATUAL'!$I135</f>
        <v>699.91</v>
      </c>
      <c r="N231" s="13">
        <f>'SALDO ATUAL'!$G135*'SALDO ATUAL'!$L135</f>
        <v>699.91</v>
      </c>
      <c r="O231" s="14" t="str">
        <f t="shared" si="21"/>
        <v>OK</v>
      </c>
      <c r="P231" s="15">
        <f t="shared" si="22"/>
        <v>0</v>
      </c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4" customHeight="1">
      <c r="A232" s="10">
        <v>296</v>
      </c>
      <c r="B232" s="11"/>
      <c r="C232" s="12" t="s">
        <v>335</v>
      </c>
      <c r="D232" s="12" t="s">
        <v>328</v>
      </c>
      <c r="E232" s="11"/>
      <c r="F232" s="11"/>
      <c r="G232" s="13"/>
      <c r="H232" s="14">
        <v>0</v>
      </c>
      <c r="I232" s="14"/>
      <c r="J232" s="14">
        <f>SUMIF(ENTRADAS!B:B,A:A,ENTRADAS!F:F)</f>
        <v>0</v>
      </c>
      <c r="K232" s="14">
        <f>SUMIF(SAÍDAS!B:B,A:A,SAÍDAS!F:F)</f>
        <v>0</v>
      </c>
      <c r="L232" s="14">
        <f t="shared" si="20"/>
        <v>0</v>
      </c>
      <c r="M232" s="13">
        <f>'SALDO ATUAL'!$G85*'SALDO ATUAL'!$I85</f>
        <v>0</v>
      </c>
      <c r="N232" s="13">
        <f>'SALDO ATUAL'!$G85*'SALDO ATUAL'!$L85</f>
        <v>0</v>
      </c>
      <c r="O232" s="14" t="str">
        <f t="shared" si="21"/>
        <v>OK</v>
      </c>
      <c r="P232" s="15">
        <f t="shared" si="22"/>
        <v>0</v>
      </c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4" customHeight="1">
      <c r="A233" s="10">
        <v>297</v>
      </c>
      <c r="B233" s="11"/>
      <c r="C233" s="12" t="s">
        <v>336</v>
      </c>
      <c r="D233" s="12" t="s">
        <v>328</v>
      </c>
      <c r="E233" s="11"/>
      <c r="F233" s="11"/>
      <c r="G233" s="13"/>
      <c r="H233" s="14">
        <v>30</v>
      </c>
      <c r="I233" s="14"/>
      <c r="J233" s="14">
        <f>SUMIF(ENTRADAS!B:B,A:A,ENTRADAS!F:F)</f>
        <v>0</v>
      </c>
      <c r="K233" s="14">
        <f>SUMIF(SAÍDAS!B:B,A:A,SAÍDAS!F:F)</f>
        <v>0</v>
      </c>
      <c r="L233" s="14">
        <f t="shared" si="20"/>
        <v>30</v>
      </c>
      <c r="M233" s="13">
        <f>'SALDO ATUAL'!$G205*'SALDO ATUAL'!$I205</f>
        <v>32794.6</v>
      </c>
      <c r="N233" s="13">
        <f>'SALDO ATUAL'!$G205*'SALDO ATUAL'!$L205</f>
        <v>136097.59</v>
      </c>
      <c r="O233" s="14" t="str">
        <f t="shared" si="21"/>
        <v>OK</v>
      </c>
      <c r="P233" s="15">
        <f t="shared" si="22"/>
        <v>0</v>
      </c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4" customHeight="1">
      <c r="A234" s="10">
        <v>298</v>
      </c>
      <c r="B234" s="11"/>
      <c r="C234" s="12" t="s">
        <v>337</v>
      </c>
      <c r="D234" s="12" t="s">
        <v>328</v>
      </c>
      <c r="E234" s="11" t="s">
        <v>312</v>
      </c>
      <c r="F234" s="11" t="s">
        <v>40</v>
      </c>
      <c r="G234" s="13">
        <v>0.82</v>
      </c>
      <c r="H234" s="14">
        <v>60</v>
      </c>
      <c r="I234" s="14">
        <v>30</v>
      </c>
      <c r="J234" s="14">
        <f>SUMIF(ENTRADAS!B:B,A:A,ENTRADAS!F:F)</f>
        <v>0</v>
      </c>
      <c r="K234" s="14">
        <f>SUMIF(SAÍDAS!B:B,A:A,SAÍDAS!F:F)</f>
        <v>31</v>
      </c>
      <c r="L234" s="14">
        <f t="shared" si="20"/>
        <v>29</v>
      </c>
      <c r="M234" s="13">
        <f>'SALDO ATUAL'!$G231*'SALDO ATUAL'!$I231</f>
        <v>0</v>
      </c>
      <c r="N234" s="13">
        <f>'SALDO ATUAL'!$G231*'SALDO ATUAL'!$L231</f>
        <v>0</v>
      </c>
      <c r="O234" s="14" t="str">
        <f t="shared" si="21"/>
        <v>COMPRAR</v>
      </c>
      <c r="P234" s="15">
        <f t="shared" si="22"/>
        <v>1</v>
      </c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4" customHeight="1">
      <c r="A235" s="10">
        <v>299</v>
      </c>
      <c r="B235" s="11"/>
      <c r="C235" s="12" t="s">
        <v>338</v>
      </c>
      <c r="D235" s="12" t="s">
        <v>328</v>
      </c>
      <c r="E235" s="11" t="s">
        <v>312</v>
      </c>
      <c r="F235" s="11" t="s">
        <v>40</v>
      </c>
      <c r="G235" s="13">
        <v>0.4</v>
      </c>
      <c r="H235" s="14">
        <v>0</v>
      </c>
      <c r="I235" s="14">
        <v>10</v>
      </c>
      <c r="J235" s="14">
        <f>SUMIF(ENTRADAS!B:B,A:A,ENTRADAS!F:F)</f>
        <v>40</v>
      </c>
      <c r="K235" s="14">
        <f>SUMIF(SAÍDAS!B:B,A:A,SAÍDAS!F:F)</f>
        <v>10</v>
      </c>
      <c r="L235" s="14">
        <f t="shared" si="20"/>
        <v>30</v>
      </c>
      <c r="M235" s="13">
        <f>'SALDO ATUAL'!$G57*'SALDO ATUAL'!$I57</f>
        <v>0</v>
      </c>
      <c r="N235" s="13">
        <f>'SALDO ATUAL'!$G57*'SALDO ATUAL'!$L57</f>
        <v>0</v>
      </c>
      <c r="O235" s="14" t="str">
        <f t="shared" si="21"/>
        <v>OK</v>
      </c>
      <c r="P235" s="15">
        <f t="shared" si="22"/>
        <v>0</v>
      </c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4" customHeight="1">
      <c r="A236" s="10">
        <v>301</v>
      </c>
      <c r="B236" s="11"/>
      <c r="C236" s="12" t="s">
        <v>339</v>
      </c>
      <c r="D236" s="12" t="s">
        <v>328</v>
      </c>
      <c r="E236" s="11" t="s">
        <v>312</v>
      </c>
      <c r="F236" s="11" t="s">
        <v>133</v>
      </c>
      <c r="G236" s="13">
        <v>10.9</v>
      </c>
      <c r="H236" s="14">
        <v>0</v>
      </c>
      <c r="I236" s="14">
        <v>5</v>
      </c>
      <c r="J236" s="14">
        <f>SUMIF(ENTRADAS!B:B,A:A,ENTRADAS!F:F)</f>
        <v>20</v>
      </c>
      <c r="K236" s="14">
        <f>SUMIF(SAÍDAS!B:B,A:A,SAÍDAS!F:F)</f>
        <v>0</v>
      </c>
      <c r="L236" s="14">
        <f t="shared" si="20"/>
        <v>20</v>
      </c>
      <c r="M236" s="13">
        <f>'SALDO ATUAL'!$G214*'SALDO ATUAL'!$I214</f>
        <v>70.569999999999993</v>
      </c>
      <c r="N236" s="13">
        <f>'SALDO ATUAL'!$G214*'SALDO ATUAL'!$L214</f>
        <v>70.569999999999993</v>
      </c>
      <c r="O236" s="14" t="str">
        <f t="shared" si="21"/>
        <v>OK</v>
      </c>
      <c r="P236" s="15">
        <f t="shared" si="22"/>
        <v>0</v>
      </c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4" customHeight="1">
      <c r="A237" s="10">
        <v>302</v>
      </c>
      <c r="B237" s="11"/>
      <c r="C237" s="12" t="s">
        <v>340</v>
      </c>
      <c r="D237" s="12" t="s">
        <v>328</v>
      </c>
      <c r="E237" s="11"/>
      <c r="F237" s="11"/>
      <c r="G237" s="13"/>
      <c r="H237" s="14"/>
      <c r="I237" s="14"/>
      <c r="J237" s="14">
        <f>SUMIF(ENTRADAS!B:B,A:A,ENTRADAS!F:F)</f>
        <v>0</v>
      </c>
      <c r="K237" s="14">
        <f>SUMIF(SAÍDAS!B:B,A:A,SAÍDAS!F:F)</f>
        <v>0</v>
      </c>
      <c r="L237" s="14">
        <f t="shared" si="20"/>
        <v>0</v>
      </c>
      <c r="M237" s="13">
        <f>'SALDO ATUAL'!$G31*'SALDO ATUAL'!$I31</f>
        <v>0</v>
      </c>
      <c r="N237" s="13">
        <f>'SALDO ATUAL'!$G31*'SALDO ATUAL'!$L31</f>
        <v>0</v>
      </c>
      <c r="O237" s="14" t="str">
        <f t="shared" si="21"/>
        <v>OK</v>
      </c>
      <c r="P237" s="15">
        <f t="shared" si="22"/>
        <v>0</v>
      </c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4" customHeight="1">
      <c r="A238" s="10">
        <v>303</v>
      </c>
      <c r="B238" s="11"/>
      <c r="C238" s="12" t="s">
        <v>341</v>
      </c>
      <c r="D238" s="12" t="s">
        <v>328</v>
      </c>
      <c r="E238" s="11"/>
      <c r="F238" s="11"/>
      <c r="G238" s="13"/>
      <c r="H238" s="14"/>
      <c r="I238" s="14"/>
      <c r="J238" s="14">
        <f>SUMIF(ENTRADAS!B:B,A:A,ENTRADAS!F:F)</f>
        <v>0</v>
      </c>
      <c r="K238" s="14">
        <f>SUMIF(SAÍDAS!B:B,A:A,SAÍDAS!F:F)</f>
        <v>0</v>
      </c>
      <c r="L238" s="14">
        <f t="shared" si="20"/>
        <v>0</v>
      </c>
      <c r="M238" s="13">
        <f>'SALDO ATUAL'!$G202*'SALDO ATUAL'!$I202</f>
        <v>0</v>
      </c>
      <c r="N238" s="13">
        <f>'SALDO ATUAL'!$G202*'SALDO ATUAL'!$L202</f>
        <v>0</v>
      </c>
      <c r="O238" s="14" t="str">
        <f t="shared" si="21"/>
        <v>OK</v>
      </c>
      <c r="P238" s="15">
        <f t="shared" si="22"/>
        <v>0</v>
      </c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4" customHeight="1">
      <c r="A239" s="10">
        <v>304</v>
      </c>
      <c r="B239" s="11"/>
      <c r="C239" s="12" t="s">
        <v>342</v>
      </c>
      <c r="D239" s="12" t="s">
        <v>328</v>
      </c>
      <c r="E239" s="11"/>
      <c r="F239" s="11"/>
      <c r="G239" s="13"/>
      <c r="H239" s="14"/>
      <c r="I239" s="14"/>
      <c r="J239" s="14">
        <f>SUMIF(ENTRADAS!B:B,A:A,ENTRADAS!F:F)</f>
        <v>0</v>
      </c>
      <c r="K239" s="14">
        <f>SUMIF(SAÍDAS!B:B,A:A,SAÍDAS!F:F)</f>
        <v>0</v>
      </c>
      <c r="L239" s="14">
        <f t="shared" si="20"/>
        <v>0</v>
      </c>
      <c r="M239" s="13">
        <f>'SALDO ATUAL'!$G9*'SALDO ATUAL'!$I9</f>
        <v>302.89999999999998</v>
      </c>
      <c r="N239" s="13">
        <f>'SALDO ATUAL'!$G9*'SALDO ATUAL'!$L9</f>
        <v>605.79999999999995</v>
      </c>
      <c r="O239" s="14" t="str">
        <f t="shared" si="21"/>
        <v>OK</v>
      </c>
      <c r="P239" s="15">
        <f t="shared" si="22"/>
        <v>0</v>
      </c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4" customHeight="1">
      <c r="A240" s="10">
        <v>305</v>
      </c>
      <c r="B240" s="11"/>
      <c r="C240" s="12" t="s">
        <v>343</v>
      </c>
      <c r="D240" s="12" t="s">
        <v>328</v>
      </c>
      <c r="E240" s="11"/>
      <c r="F240" s="11"/>
      <c r="G240" s="13"/>
      <c r="H240" s="14"/>
      <c r="I240" s="14"/>
      <c r="J240" s="14">
        <f>SUMIF(ENTRADAS!B:B,A:A,ENTRADAS!F:F)</f>
        <v>0</v>
      </c>
      <c r="K240" s="14">
        <f>SUMIF(SAÍDAS!B:B,A:A,SAÍDAS!F:F)</f>
        <v>0</v>
      </c>
      <c r="L240" s="14">
        <f t="shared" si="20"/>
        <v>0</v>
      </c>
      <c r="M240" s="13">
        <f>'SALDO ATUAL'!$G78*'SALDO ATUAL'!$I78</f>
        <v>0</v>
      </c>
      <c r="N240" s="13">
        <f>'SALDO ATUAL'!$G78*'SALDO ATUAL'!$L78</f>
        <v>-83</v>
      </c>
      <c r="O240" s="14" t="str">
        <f t="shared" si="21"/>
        <v>OK</v>
      </c>
      <c r="P240" s="15">
        <f t="shared" si="22"/>
        <v>0</v>
      </c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4" customHeight="1">
      <c r="A241" s="10">
        <v>306</v>
      </c>
      <c r="B241" s="11"/>
      <c r="C241" s="12" t="s">
        <v>344</v>
      </c>
      <c r="D241" s="12" t="s">
        <v>328</v>
      </c>
      <c r="E241" s="11" t="s">
        <v>345</v>
      </c>
      <c r="F241" s="11" t="s">
        <v>40</v>
      </c>
      <c r="G241" s="13">
        <v>3.85</v>
      </c>
      <c r="H241" s="14">
        <v>8</v>
      </c>
      <c r="I241" s="14">
        <v>4</v>
      </c>
      <c r="J241" s="14">
        <f>SUMIF(ENTRADAS!B:B,A:A,ENTRADAS!F:F)</f>
        <v>10</v>
      </c>
      <c r="K241" s="14">
        <f>SUMIF(SAÍDAS!B:B,A:A,SAÍDAS!F:F)</f>
        <v>11</v>
      </c>
      <c r="L241" s="14">
        <f t="shared" si="20"/>
        <v>7</v>
      </c>
      <c r="M241" s="13">
        <f>'SALDO ATUAL'!$G139*'SALDO ATUAL'!$I139</f>
        <v>1292.7</v>
      </c>
      <c r="N241" s="13">
        <f>'SALDO ATUAL'!$G139*'SALDO ATUAL'!$L139</f>
        <v>1939.0500000000002</v>
      </c>
      <c r="O241" s="14" t="str">
        <f t="shared" si="21"/>
        <v>OK</v>
      </c>
      <c r="P241" s="15">
        <f t="shared" si="22"/>
        <v>0</v>
      </c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4" customHeight="1">
      <c r="A242" s="10">
        <v>307</v>
      </c>
      <c r="B242" s="11"/>
      <c r="C242" s="12" t="s">
        <v>346</v>
      </c>
      <c r="D242" s="12" t="s">
        <v>328</v>
      </c>
      <c r="E242" s="11"/>
      <c r="F242" s="11"/>
      <c r="G242" s="13"/>
      <c r="H242" s="14"/>
      <c r="I242" s="14"/>
      <c r="J242" s="14">
        <f>SUMIF(ENTRADAS!B:B,A:A,ENTRADAS!F:F)</f>
        <v>0</v>
      </c>
      <c r="K242" s="14">
        <f>SUMIF(SAÍDAS!B:B,A:A,SAÍDAS!F:F)</f>
        <v>0</v>
      </c>
      <c r="L242" s="14">
        <f t="shared" si="20"/>
        <v>0</v>
      </c>
      <c r="M242" s="13">
        <f>'SALDO ATUAL'!$G19*'SALDO ATUAL'!$I19</f>
        <v>0</v>
      </c>
      <c r="N242" s="13">
        <f>'SALDO ATUAL'!$G19*'SALDO ATUAL'!$L19</f>
        <v>0</v>
      </c>
      <c r="O242" s="14" t="str">
        <f t="shared" si="21"/>
        <v>OK</v>
      </c>
      <c r="P242" s="15">
        <f t="shared" si="22"/>
        <v>0</v>
      </c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4" customHeight="1">
      <c r="A243" s="10">
        <v>308</v>
      </c>
      <c r="B243" s="11"/>
      <c r="C243" s="12" t="s">
        <v>347</v>
      </c>
      <c r="D243" s="12" t="s">
        <v>328</v>
      </c>
      <c r="E243" s="11"/>
      <c r="F243" s="11"/>
      <c r="G243" s="13"/>
      <c r="H243" s="14"/>
      <c r="I243" s="14"/>
      <c r="J243" s="14">
        <f>SUMIF(ENTRADAS!B:B,A:A,ENTRADAS!F:F)</f>
        <v>0</v>
      </c>
      <c r="K243" s="14">
        <f>SUMIF(SAÍDAS!B:B,A:A,SAÍDAS!F:F)</f>
        <v>0</v>
      </c>
      <c r="L243" s="14">
        <f t="shared" si="20"/>
        <v>0</v>
      </c>
      <c r="M243" s="13">
        <f>'SALDO ATUAL'!$G69*'SALDO ATUAL'!$I69</f>
        <v>385</v>
      </c>
      <c r="N243" s="13">
        <f>'SALDO ATUAL'!$G69*'SALDO ATUAL'!$L69</f>
        <v>275</v>
      </c>
      <c r="O243" s="14" t="str">
        <f t="shared" si="21"/>
        <v>OK</v>
      </c>
      <c r="P243" s="15">
        <f t="shared" si="22"/>
        <v>0</v>
      </c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4" customHeight="1">
      <c r="A244" s="10">
        <v>309</v>
      </c>
      <c r="B244" s="11"/>
      <c r="C244" s="12" t="s">
        <v>348</v>
      </c>
      <c r="D244" s="12" t="s">
        <v>328</v>
      </c>
      <c r="E244" s="11"/>
      <c r="F244" s="11"/>
      <c r="G244" s="13"/>
      <c r="H244" s="14"/>
      <c r="I244" s="14"/>
      <c r="J244" s="14">
        <f>SUMIF(ENTRADAS!B:B,A:A,ENTRADAS!F:F)</f>
        <v>0</v>
      </c>
      <c r="K244" s="14">
        <f>SUMIF(SAÍDAS!B:B,A:A,SAÍDAS!F:F)</f>
        <v>0</v>
      </c>
      <c r="L244" s="14">
        <f t="shared" si="20"/>
        <v>0</v>
      </c>
      <c r="M244" s="13">
        <f>'SALDO ATUAL'!$G86*'SALDO ATUAL'!$I86</f>
        <v>0</v>
      </c>
      <c r="N244" s="13">
        <f>'SALDO ATUAL'!$G86*'SALDO ATUAL'!$L86</f>
        <v>0</v>
      </c>
      <c r="O244" s="14" t="str">
        <f t="shared" si="21"/>
        <v>OK</v>
      </c>
      <c r="P244" s="15">
        <f t="shared" si="22"/>
        <v>0</v>
      </c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4" customHeight="1">
      <c r="A245" s="10">
        <v>310</v>
      </c>
      <c r="B245" s="11"/>
      <c r="C245" s="12" t="s">
        <v>349</v>
      </c>
      <c r="D245" s="12" t="s">
        <v>26</v>
      </c>
      <c r="E245" s="11"/>
      <c r="F245" s="11"/>
      <c r="G245" s="13"/>
      <c r="H245" s="14"/>
      <c r="I245" s="14"/>
      <c r="J245" s="14">
        <f>SUMIF(ENTRADAS!B:B,A:A,ENTRADAS!F:F)</f>
        <v>0</v>
      </c>
      <c r="K245" s="14">
        <f>SUMIF(SAÍDAS!B:B,A:A,SAÍDAS!F:F)</f>
        <v>0</v>
      </c>
      <c r="L245" s="14">
        <f t="shared" si="20"/>
        <v>0</v>
      </c>
      <c r="M245" s="13">
        <f>'SALDO ATUAL'!$G34*'SALDO ATUAL'!$I34</f>
        <v>1270</v>
      </c>
      <c r="N245" s="13">
        <f>'SALDO ATUAL'!$G34*'SALDO ATUAL'!$L34</f>
        <v>1651</v>
      </c>
      <c r="O245" s="14" t="str">
        <f t="shared" si="21"/>
        <v>OK</v>
      </c>
      <c r="P245" s="15">
        <f t="shared" si="22"/>
        <v>0</v>
      </c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4" customHeight="1">
      <c r="A246" s="10">
        <v>311</v>
      </c>
      <c r="B246" s="11"/>
      <c r="C246" s="12" t="s">
        <v>350</v>
      </c>
      <c r="D246" s="12" t="s">
        <v>26</v>
      </c>
      <c r="E246" s="11"/>
      <c r="F246" s="11"/>
      <c r="G246" s="13"/>
      <c r="H246" s="14"/>
      <c r="I246" s="14"/>
      <c r="J246" s="14">
        <f>SUMIF(ENTRADAS!B:B,A:A,ENTRADAS!F:F)</f>
        <v>0</v>
      </c>
      <c r="K246" s="14">
        <f>SUMIF(SAÍDAS!B:B,A:A,SAÍDAS!F:F)</f>
        <v>0</v>
      </c>
      <c r="L246" s="14">
        <f t="shared" si="20"/>
        <v>0</v>
      </c>
      <c r="M246" s="13">
        <f>'SALDO ATUAL'!$G33*'SALDO ATUAL'!$I33</f>
        <v>42.1</v>
      </c>
      <c r="N246" s="13">
        <f>'SALDO ATUAL'!$G33*'SALDO ATUAL'!$L33</f>
        <v>63.150000000000006</v>
      </c>
      <c r="O246" s="14" t="str">
        <f t="shared" si="21"/>
        <v>OK</v>
      </c>
      <c r="P246" s="15">
        <f t="shared" si="22"/>
        <v>0</v>
      </c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4" customHeight="1">
      <c r="A247" s="10">
        <v>312</v>
      </c>
      <c r="B247" s="11"/>
      <c r="C247" s="12" t="s">
        <v>351</v>
      </c>
      <c r="D247" s="12" t="s">
        <v>18</v>
      </c>
      <c r="E247" s="11"/>
      <c r="F247" s="11"/>
      <c r="G247" s="13"/>
      <c r="H247" s="14"/>
      <c r="I247" s="14"/>
      <c r="J247" s="14">
        <f>SUMIF(ENTRADAS!B:B,A:A,ENTRADAS!F:F)</f>
        <v>0</v>
      </c>
      <c r="K247" s="14">
        <f>SUMIF(SAÍDAS!B:B,A:A,SAÍDAS!F:F)</f>
        <v>0</v>
      </c>
      <c r="L247" s="14">
        <f t="shared" si="20"/>
        <v>0</v>
      </c>
      <c r="M247" s="13">
        <f>'SALDO ATUAL'!$G164*'SALDO ATUAL'!$I164</f>
        <v>0</v>
      </c>
      <c r="N247" s="13">
        <f>'SALDO ATUAL'!$G164*'SALDO ATUAL'!$L164</f>
        <v>0</v>
      </c>
      <c r="O247" s="14" t="str">
        <f t="shared" si="21"/>
        <v>OK</v>
      </c>
      <c r="P247" s="15">
        <f t="shared" si="22"/>
        <v>0</v>
      </c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4" customHeight="1">
      <c r="A248" s="10">
        <v>313</v>
      </c>
      <c r="B248" s="11"/>
      <c r="C248" s="12" t="s">
        <v>352</v>
      </c>
      <c r="D248" s="12" t="s">
        <v>18</v>
      </c>
      <c r="E248" s="11" t="s">
        <v>19</v>
      </c>
      <c r="F248" s="11" t="s">
        <v>300</v>
      </c>
      <c r="G248" s="13">
        <v>699.91</v>
      </c>
      <c r="H248" s="14">
        <v>3</v>
      </c>
      <c r="I248" s="14">
        <v>1</v>
      </c>
      <c r="J248" s="14">
        <f>SUMIF(ENTRADAS!B:B,A:A,ENTRADAS!F:F)</f>
        <v>0</v>
      </c>
      <c r="K248" s="14">
        <f>SUMIF(SAÍDAS!B:B,A:A,SAÍDAS!F:F)</f>
        <v>0</v>
      </c>
      <c r="L248" s="14">
        <f t="shared" si="20"/>
        <v>3</v>
      </c>
      <c r="M248" s="13">
        <f>'SALDO ATUAL'!$G249*'SALDO ATUAL'!$I249</f>
        <v>699.91</v>
      </c>
      <c r="N248" s="13">
        <f>'SALDO ATUAL'!$G249*'SALDO ATUAL'!$L249</f>
        <v>0</v>
      </c>
      <c r="O248" s="14" t="str">
        <f t="shared" si="21"/>
        <v>OK</v>
      </c>
      <c r="P248" s="15">
        <f t="shared" si="22"/>
        <v>0</v>
      </c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4" customHeight="1">
      <c r="A249" s="10">
        <v>315</v>
      </c>
      <c r="B249" s="11"/>
      <c r="C249" s="12" t="s">
        <v>353</v>
      </c>
      <c r="D249" s="12" t="s">
        <v>18</v>
      </c>
      <c r="E249" s="11" t="s">
        <v>19</v>
      </c>
      <c r="F249" s="11" t="s">
        <v>300</v>
      </c>
      <c r="G249" s="13">
        <v>699.91</v>
      </c>
      <c r="H249" s="14">
        <v>2</v>
      </c>
      <c r="I249" s="14">
        <v>1</v>
      </c>
      <c r="J249" s="14">
        <f>SUMIF(ENTRADAS!B:B,A:A,ENTRADAS!F:F)</f>
        <v>0</v>
      </c>
      <c r="K249" s="14">
        <f>SUMIF(SAÍDAS!B:B,A:A,SAÍDAS!F:F)</f>
        <v>2</v>
      </c>
      <c r="L249" s="14">
        <f t="shared" si="20"/>
        <v>0</v>
      </c>
      <c r="M249" s="13">
        <f>'SALDO ATUAL'!$G217*'SALDO ATUAL'!$I217</f>
        <v>0</v>
      </c>
      <c r="N249" s="13">
        <f>'SALDO ATUAL'!$G217*'SALDO ATUAL'!$L217</f>
        <v>0</v>
      </c>
      <c r="O249" s="14" t="str">
        <f t="shared" si="21"/>
        <v>COMPRAR</v>
      </c>
      <c r="P249" s="15">
        <f t="shared" si="22"/>
        <v>1</v>
      </c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4" customHeight="1">
      <c r="A250" s="10">
        <v>316</v>
      </c>
      <c r="B250" s="11"/>
      <c r="C250" s="12" t="s">
        <v>354</v>
      </c>
      <c r="D250" s="12" t="s">
        <v>23</v>
      </c>
      <c r="E250" s="11" t="s">
        <v>355</v>
      </c>
      <c r="F250" s="11" t="s">
        <v>356</v>
      </c>
      <c r="G250" s="13">
        <v>4.32</v>
      </c>
      <c r="H250" s="14">
        <v>60</v>
      </c>
      <c r="I250" s="14">
        <v>30</v>
      </c>
      <c r="J250" s="14">
        <f>SUMIF(ENTRADAS!B:B,A:A,ENTRADAS!F:F)</f>
        <v>50</v>
      </c>
      <c r="K250" s="14">
        <f>SUMIF(SAÍDAS!B:B,A:A,SAÍDAS!F:F)</f>
        <v>25</v>
      </c>
      <c r="L250" s="14">
        <f t="shared" si="20"/>
        <v>85</v>
      </c>
      <c r="M250" s="13">
        <f>'SALDO ATUAL'!$G156*'SALDO ATUAL'!$I156</f>
        <v>180</v>
      </c>
      <c r="N250" s="13">
        <f>'SALDO ATUAL'!$G156*'SALDO ATUAL'!$L156</f>
        <v>144</v>
      </c>
      <c r="O250" s="14" t="str">
        <f t="shared" si="21"/>
        <v>OK</v>
      </c>
      <c r="P250" s="15">
        <f t="shared" si="22"/>
        <v>0</v>
      </c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4" customHeight="1">
      <c r="A251" s="10">
        <v>317</v>
      </c>
      <c r="B251" s="11"/>
      <c r="C251" s="12" t="s">
        <v>357</v>
      </c>
      <c r="D251" s="12" t="s">
        <v>23</v>
      </c>
      <c r="E251" s="11">
        <v>0</v>
      </c>
      <c r="F251" s="11">
        <v>0</v>
      </c>
      <c r="G251" s="13">
        <v>0</v>
      </c>
      <c r="H251" s="14">
        <v>0</v>
      </c>
      <c r="I251" s="14">
        <v>0</v>
      </c>
      <c r="J251" s="14">
        <f>SUMIF(ENTRADAS!B:B,A:A,ENTRADAS!F:F)</f>
        <v>0</v>
      </c>
      <c r="K251" s="14">
        <f>SUMIF(SAÍDAS!B:B,A:A,SAÍDAS!F:F)</f>
        <v>0</v>
      </c>
      <c r="L251" s="14">
        <f t="shared" si="20"/>
        <v>0</v>
      </c>
      <c r="M251" s="13">
        <f>'SALDO ATUAL'!$G44*'SALDO ATUAL'!$I44</f>
        <v>0</v>
      </c>
      <c r="N251" s="13">
        <f>'SALDO ATUAL'!$G44*'SALDO ATUAL'!$L44</f>
        <v>0</v>
      </c>
      <c r="O251" s="14" t="str">
        <f t="shared" si="21"/>
        <v>OK</v>
      </c>
      <c r="P251" s="15">
        <f t="shared" si="22"/>
        <v>0</v>
      </c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4" customHeight="1">
      <c r="A252" s="10">
        <v>318</v>
      </c>
      <c r="B252" s="11"/>
      <c r="C252" s="12" t="s">
        <v>358</v>
      </c>
      <c r="D252" s="12" t="s">
        <v>23</v>
      </c>
      <c r="E252" s="11">
        <v>0</v>
      </c>
      <c r="F252" s="11">
        <v>0</v>
      </c>
      <c r="G252" s="13">
        <v>0</v>
      </c>
      <c r="H252" s="14">
        <v>0</v>
      </c>
      <c r="I252" s="14">
        <v>0</v>
      </c>
      <c r="J252" s="14">
        <f>SUMIF(ENTRADAS!B:B,A:A,ENTRADAS!F:F)</f>
        <v>0</v>
      </c>
      <c r="K252" s="14">
        <f>SUMIF(SAÍDAS!B:B,A:A,SAÍDAS!F:F)</f>
        <v>0</v>
      </c>
      <c r="L252" s="14">
        <f t="shared" si="20"/>
        <v>0</v>
      </c>
      <c r="M252" s="13">
        <f>'SALDO ATUAL'!$G266*'SALDO ATUAL'!$I266</f>
        <v>9.3999999999999986</v>
      </c>
      <c r="N252" s="13">
        <f>'SALDO ATUAL'!$G266*'SALDO ATUAL'!$L266</f>
        <v>92.11999999999999</v>
      </c>
      <c r="O252" s="14" t="str">
        <f t="shared" si="21"/>
        <v>OK</v>
      </c>
      <c r="P252" s="15">
        <f t="shared" si="22"/>
        <v>0</v>
      </c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4" customHeight="1">
      <c r="A253" s="10">
        <v>319</v>
      </c>
      <c r="B253" s="11"/>
      <c r="C253" s="12" t="s">
        <v>359</v>
      </c>
      <c r="D253" s="12" t="s">
        <v>23</v>
      </c>
      <c r="E253" s="11">
        <v>0</v>
      </c>
      <c r="F253" s="11">
        <v>0</v>
      </c>
      <c r="G253" s="13">
        <v>0</v>
      </c>
      <c r="H253" s="14">
        <v>0</v>
      </c>
      <c r="I253" s="14">
        <v>0</v>
      </c>
      <c r="J253" s="14">
        <f>SUMIF(ENTRADAS!B:B,A:A,ENTRADAS!F:F)</f>
        <v>0</v>
      </c>
      <c r="K253" s="14">
        <f>SUMIF(SAÍDAS!B:B,A:A,SAÍDAS!F:F)</f>
        <v>0</v>
      </c>
      <c r="L253" s="14">
        <f t="shared" si="20"/>
        <v>0</v>
      </c>
      <c r="M253" s="13">
        <f>'SALDO ATUAL'!$G40*'SALDO ATUAL'!$I40</f>
        <v>0</v>
      </c>
      <c r="N253" s="13">
        <f>'SALDO ATUAL'!$G40*'SALDO ATUAL'!$L40</f>
        <v>0</v>
      </c>
      <c r="O253" s="14" t="str">
        <f t="shared" si="21"/>
        <v>OK</v>
      </c>
      <c r="P253" s="15">
        <f t="shared" si="22"/>
        <v>0</v>
      </c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4" customHeight="1">
      <c r="A254" s="10">
        <v>321</v>
      </c>
      <c r="B254" s="11"/>
      <c r="C254" s="12" t="s">
        <v>360</v>
      </c>
      <c r="D254" s="12" t="s">
        <v>23</v>
      </c>
      <c r="E254" s="11"/>
      <c r="F254" s="11"/>
      <c r="G254" s="13"/>
      <c r="H254" s="14">
        <v>6</v>
      </c>
      <c r="I254" s="14"/>
      <c r="J254" s="14">
        <f>SUMIF(ENTRADAS!B:B,A:A,ENTRADAS!F:F)</f>
        <v>0</v>
      </c>
      <c r="K254" s="14">
        <f>SUMIF(SAÍDAS!B:B,A:A,SAÍDAS!F:F)</f>
        <v>0</v>
      </c>
      <c r="L254" s="14">
        <f t="shared" si="20"/>
        <v>6</v>
      </c>
      <c r="M254" s="13">
        <f>'SALDO ATUAL'!$G265*'SALDO ATUAL'!$I265</f>
        <v>0</v>
      </c>
      <c r="N254" s="13">
        <f>'SALDO ATUAL'!$G265*'SALDO ATUAL'!$L265</f>
        <v>0</v>
      </c>
      <c r="O254" s="14" t="str">
        <f t="shared" si="21"/>
        <v>OK</v>
      </c>
      <c r="P254" s="15">
        <f t="shared" si="22"/>
        <v>0</v>
      </c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4" customHeight="1">
      <c r="A255" s="10">
        <v>322</v>
      </c>
      <c r="B255" s="11"/>
      <c r="C255" s="12" t="s">
        <v>361</v>
      </c>
      <c r="D255" s="12" t="s">
        <v>97</v>
      </c>
      <c r="E255" s="11" t="s">
        <v>19</v>
      </c>
      <c r="F255" s="11" t="s">
        <v>20</v>
      </c>
      <c r="G255" s="13">
        <v>90</v>
      </c>
      <c r="H255" s="14">
        <v>15</v>
      </c>
      <c r="I255" s="14">
        <v>4</v>
      </c>
      <c r="J255" s="14">
        <f>SUMIF(ENTRADAS!B:B,A:A,ENTRADAS!F:F)</f>
        <v>10</v>
      </c>
      <c r="K255" s="14">
        <f>SUMIF(SAÍDAS!B:B,A:A,SAÍDAS!F:F)</f>
        <v>9</v>
      </c>
      <c r="L255" s="14">
        <f t="shared" si="20"/>
        <v>16</v>
      </c>
      <c r="M255" s="13">
        <f>'SALDO ATUAL'!$G104*'SALDO ATUAL'!$I104</f>
        <v>0</v>
      </c>
      <c r="N255" s="13">
        <f>'SALDO ATUAL'!$G104*'SALDO ATUAL'!$L104</f>
        <v>0</v>
      </c>
      <c r="O255" s="14" t="str">
        <f t="shared" si="21"/>
        <v>OK</v>
      </c>
      <c r="P255" s="15">
        <f t="shared" si="22"/>
        <v>0</v>
      </c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4" customHeight="1">
      <c r="A256" s="10">
        <v>323</v>
      </c>
      <c r="B256" s="11"/>
      <c r="C256" s="12" t="s">
        <v>362</v>
      </c>
      <c r="D256" s="12" t="s">
        <v>166</v>
      </c>
      <c r="E256" s="11" t="s">
        <v>312</v>
      </c>
      <c r="F256" s="11" t="s">
        <v>363</v>
      </c>
      <c r="G256" s="13">
        <v>64.930000000000007</v>
      </c>
      <c r="H256" s="14"/>
      <c r="I256" s="14">
        <v>2</v>
      </c>
      <c r="J256" s="14">
        <f>SUMIF(ENTRADAS!B:B,A:A,ENTRADAS!F:F)</f>
        <v>7</v>
      </c>
      <c r="K256" s="14">
        <f>SUMIF(SAÍDAS!B:B,A:A,SAÍDAS!F:F)</f>
        <v>0</v>
      </c>
      <c r="L256" s="14">
        <f t="shared" si="20"/>
        <v>7</v>
      </c>
      <c r="M256" s="13">
        <f>'SALDO ATUAL'!$G8*'SALDO ATUAL'!$I8</f>
        <v>1452.8</v>
      </c>
      <c r="N256" s="13">
        <f>'SALDO ATUAL'!$G8*'SALDO ATUAL'!$L8</f>
        <v>4794.24</v>
      </c>
      <c r="O256" s="14" t="str">
        <f t="shared" si="21"/>
        <v>OK</v>
      </c>
      <c r="P256" s="15">
        <f t="shared" si="22"/>
        <v>0</v>
      </c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4" customHeight="1">
      <c r="A257" s="10">
        <v>324</v>
      </c>
      <c r="B257" s="11"/>
      <c r="C257" s="12" t="s">
        <v>364</v>
      </c>
      <c r="D257" s="12" t="s">
        <v>18</v>
      </c>
      <c r="E257" s="11" t="s">
        <v>19</v>
      </c>
      <c r="F257" s="11" t="s">
        <v>20</v>
      </c>
      <c r="G257" s="13">
        <v>45.21</v>
      </c>
      <c r="H257" s="14">
        <v>5</v>
      </c>
      <c r="I257" s="14">
        <v>4</v>
      </c>
      <c r="J257" s="14">
        <f>SUMIF(ENTRADAS!B:B,A:A,ENTRADAS!F:F)</f>
        <v>10</v>
      </c>
      <c r="K257" s="14">
        <f>SUMIF(SAÍDAS!B:B,A:A,SAÍDAS!F:F)</f>
        <v>7</v>
      </c>
      <c r="L257" s="14">
        <f t="shared" si="20"/>
        <v>8</v>
      </c>
      <c r="M257" s="13">
        <f>'SALDO ATUAL'!$G284*'SALDO ATUAL'!$I284</f>
        <v>0</v>
      </c>
      <c r="N257" s="13">
        <f>'SALDO ATUAL'!$G284*'SALDO ATUAL'!$L284</f>
        <v>0</v>
      </c>
      <c r="O257" s="14" t="str">
        <f t="shared" si="21"/>
        <v>OK</v>
      </c>
      <c r="P257" s="15">
        <f t="shared" si="22"/>
        <v>0</v>
      </c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4" customHeight="1">
      <c r="A258" s="10">
        <v>325</v>
      </c>
      <c r="B258" s="11"/>
      <c r="C258" s="12" t="s">
        <v>365</v>
      </c>
      <c r="D258" s="12" t="s">
        <v>26</v>
      </c>
      <c r="E258" s="11"/>
      <c r="F258" s="11"/>
      <c r="G258" s="13"/>
      <c r="H258" s="14">
        <v>1</v>
      </c>
      <c r="I258" s="14"/>
      <c r="J258" s="14">
        <f>SUMIF(ENTRADAS!B:B,A:A,ENTRADAS!F:F)</f>
        <v>0</v>
      </c>
      <c r="K258" s="14">
        <f>SUMIF(SAÍDAS!B:B,A:A,SAÍDAS!F:F)</f>
        <v>0</v>
      </c>
      <c r="L258" s="14">
        <f t="shared" si="20"/>
        <v>1</v>
      </c>
      <c r="M258" s="13">
        <f>'SALDO ATUAL'!$G65*'SALDO ATUAL'!$I65</f>
        <v>906</v>
      </c>
      <c r="N258" s="13">
        <f>'SALDO ATUAL'!$G65*'SALDO ATUAL'!$L65</f>
        <v>906</v>
      </c>
      <c r="O258" s="14" t="str">
        <f t="shared" si="21"/>
        <v>OK</v>
      </c>
      <c r="P258" s="15">
        <f t="shared" si="22"/>
        <v>0</v>
      </c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4" customHeight="1">
      <c r="A259" s="10">
        <v>326</v>
      </c>
      <c r="B259" s="11"/>
      <c r="C259" s="12" t="s">
        <v>366</v>
      </c>
      <c r="D259" s="12" t="s">
        <v>69</v>
      </c>
      <c r="E259" s="11"/>
      <c r="F259" s="11"/>
      <c r="G259" s="13"/>
      <c r="H259" s="14"/>
      <c r="I259" s="14"/>
      <c r="J259" s="14">
        <f>SUMIF(ENTRADAS!B:B,A:A,ENTRADAS!F:F)</f>
        <v>0</v>
      </c>
      <c r="K259" s="14">
        <f>SUMIF(SAÍDAS!B:B,A:A,SAÍDAS!F:F)</f>
        <v>0</v>
      </c>
      <c r="L259" s="14">
        <f t="shared" si="20"/>
        <v>0</v>
      </c>
      <c r="M259" s="13">
        <f>'SALDO ATUAL'!$G138*'SALDO ATUAL'!$I138</f>
        <v>135.91999999999999</v>
      </c>
      <c r="N259" s="13">
        <f>'SALDO ATUAL'!$G138*'SALDO ATUAL'!$L138</f>
        <v>101.94</v>
      </c>
      <c r="O259" s="14" t="str">
        <f t="shared" si="21"/>
        <v>OK</v>
      </c>
      <c r="P259" s="15">
        <f t="shared" si="22"/>
        <v>0</v>
      </c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4" customHeight="1">
      <c r="A260" s="10">
        <v>327</v>
      </c>
      <c r="B260" s="11"/>
      <c r="C260" s="12" t="s">
        <v>367</v>
      </c>
      <c r="D260" s="12" t="s">
        <v>30</v>
      </c>
      <c r="E260" s="11"/>
      <c r="F260" s="11"/>
      <c r="G260" s="13"/>
      <c r="H260" s="14"/>
      <c r="I260" s="14"/>
      <c r="J260" s="14">
        <f>SUMIF(ENTRADAS!B:B,A:A,ENTRADAS!F:F)</f>
        <v>0</v>
      </c>
      <c r="K260" s="14">
        <f>SUMIF(SAÍDAS!B:B,A:A,SAÍDAS!F:F)</f>
        <v>0</v>
      </c>
      <c r="L260" s="14">
        <f t="shared" si="20"/>
        <v>0</v>
      </c>
      <c r="M260" s="13">
        <f>'SALDO ATUAL'!$G172*'SALDO ATUAL'!$I172</f>
        <v>0</v>
      </c>
      <c r="N260" s="13">
        <f>'SALDO ATUAL'!$G172*'SALDO ATUAL'!$L172</f>
        <v>0</v>
      </c>
      <c r="O260" s="14" t="str">
        <f t="shared" si="21"/>
        <v>OK</v>
      </c>
      <c r="P260" s="15">
        <f t="shared" si="22"/>
        <v>0</v>
      </c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4" customHeight="1">
      <c r="A261" s="10">
        <v>328</v>
      </c>
      <c r="B261" s="11"/>
      <c r="C261" s="12" t="s">
        <v>368</v>
      </c>
      <c r="D261" s="12" t="s">
        <v>369</v>
      </c>
      <c r="E261" s="11" t="s">
        <v>370</v>
      </c>
      <c r="F261" s="11" t="s">
        <v>116</v>
      </c>
      <c r="G261" s="13"/>
      <c r="H261" s="14">
        <v>0</v>
      </c>
      <c r="I261" s="14"/>
      <c r="J261" s="14">
        <f>SUMIF(ENTRADAS!B:B,A:A,ENTRADAS!F:F)</f>
        <v>3</v>
      </c>
      <c r="K261" s="14">
        <f>SUMIF(SAÍDAS!B:B,A:A,SAÍDAS!F:F)</f>
        <v>1</v>
      </c>
      <c r="L261" s="14">
        <f t="shared" si="20"/>
        <v>2</v>
      </c>
      <c r="M261" s="13">
        <f>'SALDO ATUAL'!$G262*'SALDO ATUAL'!$I262</f>
        <v>0</v>
      </c>
      <c r="N261" s="13">
        <f>'SALDO ATUAL'!$G262*'SALDO ATUAL'!$L262</f>
        <v>0</v>
      </c>
      <c r="O261" s="14" t="str">
        <f t="shared" si="21"/>
        <v>OK</v>
      </c>
      <c r="P261" s="15">
        <f t="shared" si="22"/>
        <v>0</v>
      </c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4" customHeight="1">
      <c r="A262" s="10">
        <v>329</v>
      </c>
      <c r="B262" s="11"/>
      <c r="C262" s="12" t="s">
        <v>371</v>
      </c>
      <c r="D262" s="12" t="s">
        <v>369</v>
      </c>
      <c r="E262" s="11" t="s">
        <v>370</v>
      </c>
      <c r="F262" s="11" t="s">
        <v>50</v>
      </c>
      <c r="G262" s="13"/>
      <c r="H262" s="14">
        <v>82</v>
      </c>
      <c r="I262" s="14"/>
      <c r="J262" s="14">
        <f>SUMIF(ENTRADAS!B:B,A:A,ENTRADAS!F:F)</f>
        <v>0</v>
      </c>
      <c r="K262" s="14">
        <f>SUMIF(SAÍDAS!B:B,A:A,SAÍDAS!F:F)</f>
        <v>20</v>
      </c>
      <c r="L262" s="14">
        <f t="shared" si="20"/>
        <v>62</v>
      </c>
      <c r="M262" s="13">
        <f>'SALDO ATUAL'!$G84*'SALDO ATUAL'!$I84</f>
        <v>0</v>
      </c>
      <c r="N262" s="13">
        <f>'SALDO ATUAL'!$G84*'SALDO ATUAL'!$L84</f>
        <v>0</v>
      </c>
      <c r="O262" s="14" t="str">
        <f t="shared" si="21"/>
        <v>OK</v>
      </c>
      <c r="P262" s="15">
        <f t="shared" si="22"/>
        <v>0</v>
      </c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4" customHeight="1">
      <c r="A263" s="10">
        <v>330</v>
      </c>
      <c r="B263" s="11"/>
      <c r="C263" s="12" t="s">
        <v>372</v>
      </c>
      <c r="D263" s="12" t="s">
        <v>69</v>
      </c>
      <c r="E263" s="11"/>
      <c r="F263" s="11"/>
      <c r="G263" s="13"/>
      <c r="H263" s="14"/>
      <c r="I263" s="14"/>
      <c r="J263" s="14">
        <f>SUMIF(ENTRADAS!B:B,A:A,ENTRADAS!F:F)</f>
        <v>0</v>
      </c>
      <c r="K263" s="14">
        <f>SUMIF(SAÍDAS!B:B,A:A,SAÍDAS!F:F)</f>
        <v>0</v>
      </c>
      <c r="L263" s="14">
        <f t="shared" si="20"/>
        <v>0</v>
      </c>
      <c r="M263" s="13">
        <f>'SALDO ATUAL'!$G125*'SALDO ATUAL'!$I125</f>
        <v>6.75</v>
      </c>
      <c r="N263" s="13">
        <f>'SALDO ATUAL'!$G125*'SALDO ATUAL'!$L125</f>
        <v>40.5</v>
      </c>
      <c r="O263" s="14" t="str">
        <f t="shared" si="21"/>
        <v>OK</v>
      </c>
      <c r="P263" s="15">
        <f t="shared" si="22"/>
        <v>0</v>
      </c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4" customHeight="1">
      <c r="A264" s="10">
        <v>331</v>
      </c>
      <c r="B264" s="11"/>
      <c r="C264" s="12" t="s">
        <v>373</v>
      </c>
      <c r="D264" s="12" t="s">
        <v>18</v>
      </c>
      <c r="E264" s="11"/>
      <c r="F264" s="11"/>
      <c r="G264" s="13"/>
      <c r="H264" s="14"/>
      <c r="I264" s="14"/>
      <c r="J264" s="14">
        <f>SUMIF(ENTRADAS!B:B,A:A,ENTRADAS!F:F)</f>
        <v>0</v>
      </c>
      <c r="K264" s="14">
        <f>SUMIF(SAÍDAS!B:B,A:A,SAÍDAS!F:F)</f>
        <v>0</v>
      </c>
      <c r="L264" s="14">
        <f t="shared" si="20"/>
        <v>0</v>
      </c>
      <c r="M264" s="13">
        <f>'SALDO ATUAL'!$G232*'SALDO ATUAL'!$I232</f>
        <v>0</v>
      </c>
      <c r="N264" s="13">
        <f>'SALDO ATUAL'!$G232*'SALDO ATUAL'!$L232</f>
        <v>0</v>
      </c>
      <c r="O264" s="14" t="str">
        <f t="shared" si="21"/>
        <v>OK</v>
      </c>
      <c r="P264" s="15">
        <f t="shared" si="22"/>
        <v>0</v>
      </c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4" customHeight="1">
      <c r="A265" s="10">
        <v>332</v>
      </c>
      <c r="B265" s="11"/>
      <c r="C265" s="12" t="s">
        <v>374</v>
      </c>
      <c r="D265" s="12" t="s">
        <v>69</v>
      </c>
      <c r="E265" s="11"/>
      <c r="F265" s="11"/>
      <c r="G265" s="13"/>
      <c r="H265" s="14"/>
      <c r="I265" s="14"/>
      <c r="J265" s="14">
        <f>SUMIF(ENTRADAS!B:B,A:A,ENTRADAS!F:F)</f>
        <v>0</v>
      </c>
      <c r="K265" s="14">
        <f>SUMIF(SAÍDAS!B:B,A:A,SAÍDAS!F:F)</f>
        <v>0</v>
      </c>
      <c r="L265" s="14">
        <f t="shared" si="20"/>
        <v>0</v>
      </c>
      <c r="M265" s="13">
        <f>'SALDO ATUAL'!$G137*'SALDO ATUAL'!$I137</f>
        <v>0</v>
      </c>
      <c r="N265" s="13">
        <f>'SALDO ATUAL'!$G137*'SALDO ATUAL'!$L137</f>
        <v>0</v>
      </c>
      <c r="O265" s="14" t="str">
        <f t="shared" si="21"/>
        <v>OK</v>
      </c>
      <c r="P265" s="15">
        <f t="shared" si="22"/>
        <v>0</v>
      </c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4" customHeight="1">
      <c r="A266" s="10">
        <v>333</v>
      </c>
      <c r="B266" s="11"/>
      <c r="C266" s="12" t="s">
        <v>375</v>
      </c>
      <c r="D266" s="12" t="s">
        <v>30</v>
      </c>
      <c r="E266" s="11" t="s">
        <v>376</v>
      </c>
      <c r="F266" s="11" t="s">
        <v>377</v>
      </c>
      <c r="G266" s="13">
        <v>1.88</v>
      </c>
      <c r="H266" s="14">
        <v>0</v>
      </c>
      <c r="I266" s="14">
        <v>5</v>
      </c>
      <c r="J266" s="14">
        <f>SUMIF(ENTRADAS!B:B,A:A,ENTRADAS!F:F)</f>
        <v>50</v>
      </c>
      <c r="K266" s="14">
        <f>SUMIF(SAÍDAS!B:B,A:A,SAÍDAS!F:F)</f>
        <v>1</v>
      </c>
      <c r="L266" s="14">
        <f t="shared" si="20"/>
        <v>49</v>
      </c>
      <c r="M266" s="13">
        <f>'SALDO ATUAL'!$G173*'SALDO ATUAL'!$I173</f>
        <v>0</v>
      </c>
      <c r="N266" s="13">
        <f>'SALDO ATUAL'!$G173*'SALDO ATUAL'!$L173</f>
        <v>0</v>
      </c>
      <c r="O266" s="14" t="str">
        <f t="shared" si="21"/>
        <v>OK</v>
      </c>
      <c r="P266" s="15">
        <f t="shared" si="22"/>
        <v>0</v>
      </c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4" customHeight="1">
      <c r="A267" s="10">
        <v>334</v>
      </c>
      <c r="B267" s="11"/>
      <c r="C267" s="12" t="s">
        <v>378</v>
      </c>
      <c r="D267" s="12" t="s">
        <v>30</v>
      </c>
      <c r="E267" s="11" t="s">
        <v>276</v>
      </c>
      <c r="F267" s="11" t="s">
        <v>379</v>
      </c>
      <c r="G267" s="13"/>
      <c r="H267" s="14">
        <v>7</v>
      </c>
      <c r="I267" s="14">
        <v>4</v>
      </c>
      <c r="J267" s="14">
        <f>SUMIF(ENTRADAS!B:B,A:A,ENTRADAS!F:F)</f>
        <v>0</v>
      </c>
      <c r="K267" s="14">
        <f>SUMIF(SAÍDAS!B:B,A:A,SAÍDAS!F:F)</f>
        <v>2</v>
      </c>
      <c r="L267" s="14">
        <f t="shared" si="20"/>
        <v>5</v>
      </c>
      <c r="M267" s="13">
        <f>'SALDO ATUAL'!$G247*'SALDO ATUAL'!$I247</f>
        <v>0</v>
      </c>
      <c r="N267" s="13">
        <f>'SALDO ATUAL'!$G247*'SALDO ATUAL'!$L247</f>
        <v>0</v>
      </c>
      <c r="O267" s="14" t="str">
        <f t="shared" si="21"/>
        <v>OK</v>
      </c>
      <c r="P267" s="15">
        <f t="shared" si="22"/>
        <v>0</v>
      </c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4" customHeight="1">
      <c r="A268" s="10">
        <v>335</v>
      </c>
      <c r="B268" s="11"/>
      <c r="C268" s="12" t="s">
        <v>380</v>
      </c>
      <c r="D268" s="12" t="s">
        <v>18</v>
      </c>
      <c r="E268" s="11" t="s">
        <v>381</v>
      </c>
      <c r="F268" s="11" t="s">
        <v>20</v>
      </c>
      <c r="G268" s="13">
        <v>63.3</v>
      </c>
      <c r="H268" s="14">
        <v>12</v>
      </c>
      <c r="I268" s="14">
        <v>4</v>
      </c>
      <c r="J268" s="14">
        <f>SUMIF(ENTRADAS!B:B,A:A,ENTRADAS!F:F)</f>
        <v>10</v>
      </c>
      <c r="K268" s="14">
        <f>SUMIF(SAÍDAS!B:B,A:A,SAÍDAS!F:F)</f>
        <v>11</v>
      </c>
      <c r="L268" s="14">
        <f t="shared" si="20"/>
        <v>11</v>
      </c>
      <c r="M268" s="13">
        <f>'SALDO ATUAL'!$G282*'SALDO ATUAL'!$I282</f>
        <v>0</v>
      </c>
      <c r="N268" s="13">
        <f>'SALDO ATUAL'!$G282*'SALDO ATUAL'!$L282</f>
        <v>0</v>
      </c>
      <c r="O268" s="14" t="str">
        <f t="shared" si="21"/>
        <v>OK</v>
      </c>
      <c r="P268" s="15">
        <f t="shared" si="22"/>
        <v>0</v>
      </c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4" customHeight="1">
      <c r="A269" s="10">
        <v>336</v>
      </c>
      <c r="B269" s="11"/>
      <c r="C269" s="12" t="s">
        <v>382</v>
      </c>
      <c r="D269" s="12" t="s">
        <v>18</v>
      </c>
      <c r="E269" s="11" t="s">
        <v>381</v>
      </c>
      <c r="F269" s="11" t="s">
        <v>20</v>
      </c>
      <c r="G269" s="13">
        <v>45.21</v>
      </c>
      <c r="H269" s="14">
        <v>17</v>
      </c>
      <c r="I269" s="14">
        <v>4</v>
      </c>
      <c r="J269" s="14">
        <f>SUMIF(ENTRADAS!B:B,A:A,ENTRADAS!F:F)</f>
        <v>16</v>
      </c>
      <c r="K269" s="14">
        <f>SUMIF(SAÍDAS!B:B,A:A,SAÍDAS!F:F)</f>
        <v>15</v>
      </c>
      <c r="L269" s="14">
        <f t="shared" si="20"/>
        <v>18</v>
      </c>
      <c r="M269" s="13">
        <f>'SALDO ATUAL'!$G278*'SALDO ATUAL'!$I278</f>
        <v>110.98</v>
      </c>
      <c r="N269" s="13">
        <f>'SALDO ATUAL'!$G278*'SALDO ATUAL'!$L278</f>
        <v>110.98</v>
      </c>
      <c r="O269" s="14" t="str">
        <f t="shared" si="21"/>
        <v>OK</v>
      </c>
      <c r="P269" s="15">
        <f t="shared" si="22"/>
        <v>0</v>
      </c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4" customHeight="1">
      <c r="A270" s="10">
        <v>337</v>
      </c>
      <c r="B270" s="11"/>
      <c r="C270" s="12" t="s">
        <v>383</v>
      </c>
      <c r="D270" s="12" t="s">
        <v>69</v>
      </c>
      <c r="E270" s="11">
        <v>0</v>
      </c>
      <c r="F270" s="11">
        <v>0</v>
      </c>
      <c r="G270" s="13">
        <v>0</v>
      </c>
      <c r="H270" s="14">
        <v>0</v>
      </c>
      <c r="I270" s="14">
        <v>0</v>
      </c>
      <c r="J270" s="14">
        <f>SUMIF(ENTRADAS!B:B,A:A,ENTRADAS!F:F)</f>
        <v>0</v>
      </c>
      <c r="K270" s="14">
        <f>SUMIF(SAÍDAS!B:B,A:A,SAÍDAS!F:F)</f>
        <v>0</v>
      </c>
      <c r="L270" s="14">
        <f t="shared" si="20"/>
        <v>0</v>
      </c>
      <c r="M270" s="13">
        <f>'SALDO ATUAL'!$G102*'SALDO ATUAL'!$I102</f>
        <v>0</v>
      </c>
      <c r="N270" s="13">
        <f>'SALDO ATUAL'!$G102*'SALDO ATUAL'!$L102</f>
        <v>0</v>
      </c>
      <c r="O270" s="14" t="str">
        <f t="shared" si="21"/>
        <v>OK</v>
      </c>
      <c r="P270" s="15">
        <f t="shared" si="22"/>
        <v>0</v>
      </c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4" customHeight="1">
      <c r="A271" s="10">
        <v>338</v>
      </c>
      <c r="B271" s="11"/>
      <c r="C271" s="12" t="s">
        <v>384</v>
      </c>
      <c r="D271" s="12" t="s">
        <v>73</v>
      </c>
      <c r="E271" s="11">
        <v>0</v>
      </c>
      <c r="F271" s="11">
        <v>0</v>
      </c>
      <c r="G271" s="13">
        <v>0</v>
      </c>
      <c r="H271" s="14">
        <v>0</v>
      </c>
      <c r="I271" s="14">
        <v>0</v>
      </c>
      <c r="J271" s="14">
        <f>SUMIF(ENTRADAS!B:B,A:A,ENTRADAS!F:F)</f>
        <v>0</v>
      </c>
      <c r="K271" s="14">
        <f>SUMIF(SAÍDAS!B:B,A:A,SAÍDAS!F:F)</f>
        <v>0</v>
      </c>
      <c r="L271" s="14">
        <f t="shared" si="20"/>
        <v>0</v>
      </c>
      <c r="M271" s="13" t="e">
        <f t="shared" ref="M271:N271" si="23">#REF!*#REF!</f>
        <v>#REF!</v>
      </c>
      <c r="N271" s="13" t="e">
        <f t="shared" si="23"/>
        <v>#REF!</v>
      </c>
      <c r="O271" s="14" t="str">
        <f t="shared" si="21"/>
        <v>OK</v>
      </c>
      <c r="P271" s="15">
        <f t="shared" si="22"/>
        <v>0</v>
      </c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4" customHeight="1">
      <c r="A272" s="10">
        <v>339</v>
      </c>
      <c r="B272" s="11"/>
      <c r="C272" s="12" t="s">
        <v>385</v>
      </c>
      <c r="D272" s="12" t="s">
        <v>73</v>
      </c>
      <c r="E272" s="11">
        <v>0</v>
      </c>
      <c r="F272" s="11">
        <v>0</v>
      </c>
      <c r="G272" s="13">
        <v>0</v>
      </c>
      <c r="H272" s="14">
        <v>0</v>
      </c>
      <c r="I272" s="14">
        <v>0</v>
      </c>
      <c r="J272" s="14">
        <f>SUMIF(ENTRADAS!B:B,A:A,ENTRADAS!F:F)</f>
        <v>0</v>
      </c>
      <c r="K272" s="14">
        <f>SUMIF(SAÍDAS!B:B,A:A,SAÍDAS!F:F)</f>
        <v>0</v>
      </c>
      <c r="L272" s="14">
        <f t="shared" si="20"/>
        <v>0</v>
      </c>
      <c r="M272" s="13">
        <f>'SALDO ATUAL'!$G292*'SALDO ATUAL'!$I292</f>
        <v>0</v>
      </c>
      <c r="N272" s="13">
        <f>'SALDO ATUAL'!$G292*'SALDO ATUAL'!$L292</f>
        <v>0</v>
      </c>
      <c r="O272" s="14" t="str">
        <f t="shared" si="21"/>
        <v>OK</v>
      </c>
      <c r="P272" s="15">
        <f t="shared" si="22"/>
        <v>0</v>
      </c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4" customHeight="1">
      <c r="A273" s="10">
        <v>341</v>
      </c>
      <c r="B273" s="11"/>
      <c r="C273" s="12" t="s">
        <v>386</v>
      </c>
      <c r="D273" s="12" t="s">
        <v>69</v>
      </c>
      <c r="E273" s="11">
        <v>0</v>
      </c>
      <c r="F273" s="11">
        <v>0</v>
      </c>
      <c r="G273" s="13">
        <v>0</v>
      </c>
      <c r="H273" s="14">
        <v>0</v>
      </c>
      <c r="I273" s="14">
        <v>0</v>
      </c>
      <c r="J273" s="14">
        <f>SUMIF(ENTRADAS!B:B,A:A,ENTRADAS!F:F)</f>
        <v>0</v>
      </c>
      <c r="K273" s="14">
        <f>SUMIF(SAÍDAS!B:B,A:A,SAÍDAS!F:F)</f>
        <v>0</v>
      </c>
      <c r="L273" s="14">
        <f t="shared" si="20"/>
        <v>0</v>
      </c>
      <c r="M273" s="13">
        <f>'SALDO ATUAL'!$G150*'SALDO ATUAL'!$I150</f>
        <v>0</v>
      </c>
      <c r="N273" s="13">
        <f>'SALDO ATUAL'!$G150*'SALDO ATUAL'!$L150</f>
        <v>0</v>
      </c>
      <c r="O273" s="14" t="str">
        <f t="shared" si="21"/>
        <v>OK</v>
      </c>
      <c r="P273" s="15">
        <f t="shared" si="22"/>
        <v>0</v>
      </c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4" customHeight="1">
      <c r="A274" s="10">
        <v>345</v>
      </c>
      <c r="B274" s="11"/>
      <c r="C274" s="12" t="s">
        <v>387</v>
      </c>
      <c r="D274" s="12" t="s">
        <v>388</v>
      </c>
      <c r="E274" s="11" t="s">
        <v>276</v>
      </c>
      <c r="F274" s="11" t="s">
        <v>133</v>
      </c>
      <c r="G274" s="13">
        <v>0</v>
      </c>
      <c r="H274" s="14">
        <v>1</v>
      </c>
      <c r="I274" s="14">
        <v>1</v>
      </c>
      <c r="J274" s="14">
        <f>SUMIF(ENTRADAS!B:B,A:A,ENTRADAS!F:F)</f>
        <v>0</v>
      </c>
      <c r="K274" s="14">
        <f>SUMIF(SAÍDAS!B:B,A:A,SAÍDAS!F:F)</f>
        <v>0</v>
      </c>
      <c r="L274" s="14">
        <f t="shared" si="20"/>
        <v>1</v>
      </c>
      <c r="M274" s="13">
        <f>'SALDO ATUAL'!$G89*'SALDO ATUAL'!$I89</f>
        <v>0</v>
      </c>
      <c r="N274" s="13">
        <f>'SALDO ATUAL'!$G89*'SALDO ATUAL'!$L89</f>
        <v>0</v>
      </c>
      <c r="O274" s="14" t="str">
        <f t="shared" si="21"/>
        <v>OK</v>
      </c>
      <c r="P274" s="15">
        <f t="shared" si="22"/>
        <v>0</v>
      </c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4" customHeight="1">
      <c r="A275" s="10">
        <v>348</v>
      </c>
      <c r="B275" s="11"/>
      <c r="C275" s="12" t="s">
        <v>389</v>
      </c>
      <c r="D275" s="12" t="s">
        <v>26</v>
      </c>
      <c r="E275" s="11" t="s">
        <v>390</v>
      </c>
      <c r="F275" s="11" t="s">
        <v>391</v>
      </c>
      <c r="G275" s="13">
        <v>74.900000000000006</v>
      </c>
      <c r="H275" s="14">
        <v>1</v>
      </c>
      <c r="I275" s="14">
        <v>1</v>
      </c>
      <c r="J275" s="14">
        <f>SUMIF(ENTRADAS!B:B,A:A,ENTRADAS!F:F)</f>
        <v>0</v>
      </c>
      <c r="K275" s="14">
        <f>SUMIF(SAÍDAS!B:B,A:A,SAÍDAS!F:F)</f>
        <v>0</v>
      </c>
      <c r="L275" s="14">
        <f t="shared" si="20"/>
        <v>1</v>
      </c>
      <c r="M275" s="13">
        <f>'SALDO ATUAL'!$G110*'SALDO ATUAL'!$I110</f>
        <v>0</v>
      </c>
      <c r="N275" s="13">
        <f>'SALDO ATUAL'!$G110*'SALDO ATUAL'!$L110</f>
        <v>0</v>
      </c>
      <c r="O275" s="14" t="str">
        <f t="shared" si="21"/>
        <v>OK</v>
      </c>
      <c r="P275" s="15">
        <f t="shared" si="22"/>
        <v>0</v>
      </c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4" customHeight="1">
      <c r="A276" s="10">
        <v>349</v>
      </c>
      <c r="B276" s="11"/>
      <c r="C276" s="12" t="s">
        <v>392</v>
      </c>
      <c r="D276" s="12" t="s">
        <v>26</v>
      </c>
      <c r="E276" s="11" t="s">
        <v>393</v>
      </c>
      <c r="F276" s="11" t="s">
        <v>85</v>
      </c>
      <c r="G276" s="13">
        <v>0</v>
      </c>
      <c r="H276" s="14">
        <v>1</v>
      </c>
      <c r="I276" s="14">
        <v>1</v>
      </c>
      <c r="J276" s="14">
        <f>SUMIF(ENTRADAS!B:B,A:A,ENTRADAS!F:F)</f>
        <v>0</v>
      </c>
      <c r="K276" s="14">
        <f>SUMIF(SAÍDAS!B:B,A:A,SAÍDAS!F:F)</f>
        <v>0</v>
      </c>
      <c r="L276" s="14">
        <f t="shared" si="20"/>
        <v>1</v>
      </c>
      <c r="M276" s="13">
        <f>'SALDO ATUAL'!$G111*'SALDO ATUAL'!$I111</f>
        <v>0</v>
      </c>
      <c r="N276" s="13">
        <f>'SALDO ATUAL'!$G111*'SALDO ATUAL'!$L111</f>
        <v>0</v>
      </c>
      <c r="O276" s="14" t="str">
        <f t="shared" si="21"/>
        <v>OK</v>
      </c>
      <c r="P276" s="15">
        <f t="shared" si="22"/>
        <v>0</v>
      </c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4" customHeight="1">
      <c r="A277" s="10">
        <v>350</v>
      </c>
      <c r="B277" s="11"/>
      <c r="C277" s="12" t="s">
        <v>394</v>
      </c>
      <c r="D277" s="12" t="s">
        <v>26</v>
      </c>
      <c r="E277" s="11" t="s">
        <v>393</v>
      </c>
      <c r="F277" s="11" t="s">
        <v>85</v>
      </c>
      <c r="G277" s="13">
        <v>0</v>
      </c>
      <c r="H277" s="14">
        <v>0</v>
      </c>
      <c r="I277" s="14">
        <v>1</v>
      </c>
      <c r="J277" s="14">
        <f>SUMIF(ENTRADAS!B:B,A:A,ENTRADAS!F:F)</f>
        <v>0</v>
      </c>
      <c r="K277" s="14">
        <f>SUMIF(SAÍDAS!B:B,A:A,SAÍDAS!F:F)</f>
        <v>0</v>
      </c>
      <c r="L277" s="14">
        <f t="shared" si="20"/>
        <v>0</v>
      </c>
      <c r="M277" s="13">
        <f>'SALDO ATUAL'!$G120*'SALDO ATUAL'!$I120</f>
        <v>0</v>
      </c>
      <c r="N277" s="13">
        <f>'SALDO ATUAL'!$G120*'SALDO ATUAL'!$L120</f>
        <v>0</v>
      </c>
      <c r="O277" s="14" t="str">
        <f t="shared" si="21"/>
        <v>COMPRAR</v>
      </c>
      <c r="P277" s="15">
        <f t="shared" si="22"/>
        <v>1</v>
      </c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4" customHeight="1">
      <c r="A278" s="10">
        <v>351</v>
      </c>
      <c r="B278" s="11"/>
      <c r="C278" s="12" t="s">
        <v>395</v>
      </c>
      <c r="D278" s="12" t="s">
        <v>26</v>
      </c>
      <c r="E278" s="11" t="s">
        <v>393</v>
      </c>
      <c r="F278" s="11" t="s">
        <v>85</v>
      </c>
      <c r="G278" s="13">
        <v>110.98</v>
      </c>
      <c r="H278" s="14">
        <v>1</v>
      </c>
      <c r="I278" s="14">
        <v>1</v>
      </c>
      <c r="J278" s="14">
        <f>SUMIF(ENTRADAS!B:B,A:A,ENTRADAS!F:F)</f>
        <v>0</v>
      </c>
      <c r="K278" s="14">
        <f>SUMIF(SAÍDAS!B:B,A:A,SAÍDAS!F:F)</f>
        <v>0</v>
      </c>
      <c r="L278" s="14">
        <f t="shared" si="20"/>
        <v>1</v>
      </c>
      <c r="M278" s="13">
        <f>'SALDO ATUAL'!$G121*'SALDO ATUAL'!$I121</f>
        <v>0</v>
      </c>
      <c r="N278" s="13">
        <f>'SALDO ATUAL'!$G121*'SALDO ATUAL'!$L121</f>
        <v>0</v>
      </c>
      <c r="O278" s="14" t="str">
        <f t="shared" si="21"/>
        <v>OK</v>
      </c>
      <c r="P278" s="15">
        <f t="shared" si="22"/>
        <v>0</v>
      </c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4" customHeight="1">
      <c r="A279" s="10">
        <v>353</v>
      </c>
      <c r="B279" s="11"/>
      <c r="C279" s="12" t="s">
        <v>396</v>
      </c>
      <c r="D279" s="12" t="s">
        <v>388</v>
      </c>
      <c r="E279" s="11">
        <v>0</v>
      </c>
      <c r="F279" s="11">
        <v>0</v>
      </c>
      <c r="G279" s="13">
        <v>0</v>
      </c>
      <c r="H279" s="14">
        <v>0</v>
      </c>
      <c r="I279" s="14">
        <v>0</v>
      </c>
      <c r="J279" s="14">
        <f>SUMIF(ENTRADAS!B:B,A:A,ENTRADAS!F:F)</f>
        <v>0</v>
      </c>
      <c r="K279" s="14">
        <f>SUMIF(SAÍDAS!B:B,A:A,SAÍDAS!F:F)</f>
        <v>0</v>
      </c>
      <c r="L279" s="14">
        <f t="shared" si="20"/>
        <v>0</v>
      </c>
      <c r="M279" s="13">
        <f>'SALDO ATUAL'!$G93*'SALDO ATUAL'!$I93</f>
        <v>0</v>
      </c>
      <c r="N279" s="13">
        <f>'SALDO ATUAL'!$G93*'SALDO ATUAL'!$L93</f>
        <v>0</v>
      </c>
      <c r="O279" s="14" t="str">
        <f t="shared" si="21"/>
        <v>OK</v>
      </c>
      <c r="P279" s="15">
        <f t="shared" si="22"/>
        <v>0</v>
      </c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4" customHeight="1">
      <c r="A280" s="10">
        <v>354</v>
      </c>
      <c r="B280" s="11"/>
      <c r="C280" s="12" t="s">
        <v>397</v>
      </c>
      <c r="D280" s="12" t="s">
        <v>37</v>
      </c>
      <c r="E280" s="11" t="s">
        <v>398</v>
      </c>
      <c r="F280" s="11" t="s">
        <v>40</v>
      </c>
      <c r="G280" s="13"/>
      <c r="H280" s="14">
        <v>48</v>
      </c>
      <c r="I280" s="14">
        <v>20</v>
      </c>
      <c r="J280" s="14"/>
      <c r="K280" s="14"/>
      <c r="L280" s="14"/>
      <c r="M280" s="13"/>
      <c r="N280" s="13"/>
      <c r="O280" s="14"/>
      <c r="P280" s="15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4" customHeight="1">
      <c r="A281" s="10">
        <v>355</v>
      </c>
      <c r="B281" s="11"/>
      <c r="C281" s="12" t="s">
        <v>399</v>
      </c>
      <c r="D281" s="12" t="s">
        <v>30</v>
      </c>
      <c r="E281" s="11" t="s">
        <v>398</v>
      </c>
      <c r="F281" s="11" t="s">
        <v>400</v>
      </c>
      <c r="G281" s="13"/>
      <c r="H281" s="14">
        <v>45</v>
      </c>
      <c r="I281" s="14">
        <v>15</v>
      </c>
      <c r="J281" s="14"/>
      <c r="K281" s="14"/>
      <c r="L281" s="14"/>
      <c r="M281" s="13"/>
      <c r="N281" s="13"/>
      <c r="O281" s="14"/>
      <c r="P281" s="15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4" customHeight="1">
      <c r="A282" s="10">
        <v>356</v>
      </c>
      <c r="B282" s="11"/>
      <c r="C282" s="12" t="s">
        <v>401</v>
      </c>
      <c r="D282" s="12" t="s">
        <v>37</v>
      </c>
      <c r="E282" s="11" t="s">
        <v>398</v>
      </c>
      <c r="F282" s="11" t="s">
        <v>40</v>
      </c>
      <c r="G282" s="13"/>
      <c r="H282" s="14">
        <v>15</v>
      </c>
      <c r="I282" s="14">
        <v>10</v>
      </c>
      <c r="J282" s="14">
        <f>SUMIF(ENTRADAS!B:B,A:A,ENTRADAS!F:F)</f>
        <v>0</v>
      </c>
      <c r="K282" s="14">
        <f>SUMIF(SAÍDAS!B:B,A:A,SAÍDAS!F:F)</f>
        <v>5</v>
      </c>
      <c r="L282" s="14">
        <f>H282+J282-K282</f>
        <v>10</v>
      </c>
      <c r="M282" s="13">
        <f>'SALDO ATUAL'!$G301*'SALDO ATUAL'!$I301</f>
        <v>9.9</v>
      </c>
      <c r="N282" s="13">
        <f>'SALDO ATUAL'!$G301*'SALDO ATUAL'!$L301</f>
        <v>0</v>
      </c>
      <c r="O282" s="14" t="str">
        <f>IF(L282&gt;=I282,"OK","COMPRAR")</f>
        <v>OK</v>
      </c>
      <c r="P282" s="15">
        <f>IF(O282="COMPRAR",I282-L282,0)</f>
        <v>0</v>
      </c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4" customHeight="1">
      <c r="A283" s="10">
        <v>357</v>
      </c>
      <c r="B283" s="11"/>
      <c r="C283" s="12" t="s">
        <v>402</v>
      </c>
      <c r="D283" s="12" t="s">
        <v>30</v>
      </c>
      <c r="E283" s="11" t="s">
        <v>398</v>
      </c>
      <c r="F283" s="11" t="s">
        <v>403</v>
      </c>
      <c r="G283" s="13"/>
      <c r="H283" s="14">
        <v>63</v>
      </c>
      <c r="I283" s="14">
        <v>20</v>
      </c>
      <c r="J283" s="14"/>
      <c r="K283" s="14"/>
      <c r="L283" s="14"/>
      <c r="M283" s="13"/>
      <c r="N283" s="13"/>
      <c r="O283" s="14"/>
      <c r="P283" s="15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4" customHeight="1">
      <c r="A284" s="10">
        <v>358</v>
      </c>
      <c r="B284" s="11"/>
      <c r="C284" s="12" t="s">
        <v>404</v>
      </c>
      <c r="D284" s="12" t="s">
        <v>69</v>
      </c>
      <c r="E284" s="11"/>
      <c r="F284" s="11"/>
      <c r="G284" s="13"/>
      <c r="H284" s="14">
        <v>1</v>
      </c>
      <c r="I284" s="14"/>
      <c r="J284" s="14">
        <f>SUMIF(ENTRADAS!B:B,A:A,ENTRADAS!F:F)</f>
        <v>0</v>
      </c>
      <c r="K284" s="14">
        <f>SUMIF(SAÍDAS!B:B,A:A,SAÍDAS!F:F)</f>
        <v>0</v>
      </c>
      <c r="L284" s="14">
        <f t="shared" ref="L284:L390" si="24">H284+J284-K284</f>
        <v>1</v>
      </c>
      <c r="M284" s="13">
        <f>'SALDO ATUAL'!$G151*'SALDO ATUAL'!$I151</f>
        <v>0</v>
      </c>
      <c r="N284" s="13">
        <f>'SALDO ATUAL'!$G151*'SALDO ATUAL'!$L151</f>
        <v>0</v>
      </c>
      <c r="O284" s="14" t="str">
        <f t="shared" ref="O284:O367" si="25">IF(L284&gt;=I284,"OK","COMPRAR")</f>
        <v>OK</v>
      </c>
      <c r="P284" s="15">
        <f t="shared" ref="P284:P390" si="26">IF(O284="COMPRAR",I284-L284,0)</f>
        <v>0</v>
      </c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4" customHeight="1">
      <c r="A285" s="10">
        <v>359</v>
      </c>
      <c r="B285" s="11"/>
      <c r="C285" s="12" t="s">
        <v>405</v>
      </c>
      <c r="D285" s="12" t="s">
        <v>18</v>
      </c>
      <c r="E285" s="11" t="s">
        <v>118</v>
      </c>
      <c r="F285" s="11" t="s">
        <v>20</v>
      </c>
      <c r="G285" s="13">
        <v>23.28</v>
      </c>
      <c r="H285" s="14">
        <v>1</v>
      </c>
      <c r="I285" s="14">
        <v>2</v>
      </c>
      <c r="J285" s="14">
        <f>SUMIF(ENTRADAS!B:B,A:A,ENTRADAS!F:F)</f>
        <v>39</v>
      </c>
      <c r="K285" s="14">
        <f>SUMIF(SAÍDAS!B:B,A:A,SAÍDAS!F:F)</f>
        <v>8</v>
      </c>
      <c r="L285" s="14">
        <f t="shared" si="24"/>
        <v>32</v>
      </c>
      <c r="M285" s="13">
        <f>'SALDO ATUAL'!$G287*'SALDO ATUAL'!$I287</f>
        <v>0</v>
      </c>
      <c r="N285" s="13">
        <f>'SALDO ATUAL'!$G287*'SALDO ATUAL'!$L287</f>
        <v>0</v>
      </c>
      <c r="O285" s="14" t="str">
        <f t="shared" si="25"/>
        <v>OK</v>
      </c>
      <c r="P285" s="15">
        <f t="shared" si="26"/>
        <v>0</v>
      </c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4" customHeight="1">
      <c r="A286" s="10">
        <v>360</v>
      </c>
      <c r="B286" s="11"/>
      <c r="C286" s="12" t="s">
        <v>406</v>
      </c>
      <c r="D286" s="12" t="s">
        <v>37</v>
      </c>
      <c r="E286" s="11"/>
      <c r="F286" s="11"/>
      <c r="G286" s="13"/>
      <c r="H286" s="14">
        <v>0</v>
      </c>
      <c r="I286" s="14"/>
      <c r="J286" s="14">
        <f>SUMIF(ENTRADAS!B:B,A:A,ENTRADAS!F:F)</f>
        <v>0</v>
      </c>
      <c r="K286" s="14">
        <f>SUMIF(SAÍDAS!B:B,A:A,SAÍDAS!F:F)</f>
        <v>0</v>
      </c>
      <c r="L286" s="14">
        <f t="shared" si="24"/>
        <v>0</v>
      </c>
      <c r="M286" s="13">
        <f>'SALDO ATUAL'!$G300*'SALDO ATUAL'!$I300</f>
        <v>100</v>
      </c>
      <c r="N286" s="13">
        <f>'SALDO ATUAL'!$G300*'SALDO ATUAL'!$L300</f>
        <v>0</v>
      </c>
      <c r="O286" s="14" t="str">
        <f t="shared" si="25"/>
        <v>OK</v>
      </c>
      <c r="P286" s="15">
        <f t="shared" si="26"/>
        <v>0</v>
      </c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4" customHeight="1">
      <c r="A287" s="10">
        <v>361</v>
      </c>
      <c r="B287" s="11"/>
      <c r="C287" s="12" t="s">
        <v>407</v>
      </c>
      <c r="D287" s="12" t="s">
        <v>37</v>
      </c>
      <c r="E287" s="11"/>
      <c r="F287" s="11"/>
      <c r="G287" s="13"/>
      <c r="H287" s="14">
        <v>1</v>
      </c>
      <c r="I287" s="14"/>
      <c r="J287" s="14">
        <f>SUMIF(ENTRADAS!B:B,A:A,ENTRADAS!F:F)</f>
        <v>0</v>
      </c>
      <c r="K287" s="14">
        <f>SUMIF(SAÍDAS!B:B,A:A,SAÍDAS!F:F)</f>
        <v>0</v>
      </c>
      <c r="L287" s="14">
        <f t="shared" si="24"/>
        <v>1</v>
      </c>
      <c r="M287" s="13">
        <f>'SALDO ATUAL'!$G299*'SALDO ATUAL'!$I299</f>
        <v>0</v>
      </c>
      <c r="N287" s="13">
        <f>'SALDO ATUAL'!$G299*'SALDO ATUAL'!$L299</f>
        <v>0</v>
      </c>
      <c r="O287" s="14" t="str">
        <f t="shared" si="25"/>
        <v>OK</v>
      </c>
      <c r="P287" s="15">
        <f t="shared" si="26"/>
        <v>0</v>
      </c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4" customHeight="1">
      <c r="A288" s="10">
        <v>362</v>
      </c>
      <c r="B288" s="11"/>
      <c r="C288" s="12" t="s">
        <v>408</v>
      </c>
      <c r="D288" s="12" t="s">
        <v>137</v>
      </c>
      <c r="E288" s="11"/>
      <c r="F288" s="11"/>
      <c r="G288" s="13"/>
      <c r="H288" s="14"/>
      <c r="I288" s="14"/>
      <c r="J288" s="14">
        <f>SUMIF(ENTRADAS!B:B,A:A,ENTRADAS!F:F)</f>
        <v>0</v>
      </c>
      <c r="K288" s="14">
        <f>SUMIF(SAÍDAS!B:B,A:A,SAÍDAS!F:F)</f>
        <v>0</v>
      </c>
      <c r="L288" s="14">
        <f t="shared" si="24"/>
        <v>0</v>
      </c>
      <c r="M288" s="13">
        <f>'SALDO ATUAL'!$G62*'SALDO ATUAL'!$I62</f>
        <v>49.5</v>
      </c>
      <c r="N288" s="13">
        <f>'SALDO ATUAL'!$G62*'SALDO ATUAL'!$L62</f>
        <v>118.80000000000001</v>
      </c>
      <c r="O288" s="14" t="str">
        <f t="shared" si="25"/>
        <v>OK</v>
      </c>
      <c r="P288" s="15">
        <f t="shared" si="26"/>
        <v>0</v>
      </c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4" customHeight="1">
      <c r="A289" s="10">
        <v>363</v>
      </c>
      <c r="B289" s="11"/>
      <c r="C289" s="12" t="s">
        <v>409</v>
      </c>
      <c r="D289" s="12" t="s">
        <v>137</v>
      </c>
      <c r="E289" s="11" t="s">
        <v>410</v>
      </c>
      <c r="F289" s="11" t="s">
        <v>20</v>
      </c>
      <c r="G289" s="13">
        <v>192</v>
      </c>
      <c r="H289" s="14">
        <v>1</v>
      </c>
      <c r="I289" s="14">
        <v>1</v>
      </c>
      <c r="J289" s="14">
        <f>SUMIF(ENTRADAS!B:B,A:A,ENTRADAS!F:F)</f>
        <v>580</v>
      </c>
      <c r="K289" s="14">
        <f>SUMIF(SAÍDAS!B:B,A:A,SAÍDAS!F:F)</f>
        <v>83</v>
      </c>
      <c r="L289" s="14">
        <f t="shared" si="24"/>
        <v>498</v>
      </c>
      <c r="M289" s="13">
        <f>'SALDO ATUAL'!$G74*'SALDO ATUAL'!$I74</f>
        <v>1200</v>
      </c>
      <c r="N289" s="13">
        <f>'SALDO ATUAL'!$G74*'SALDO ATUAL'!$L74</f>
        <v>1080</v>
      </c>
      <c r="O289" s="14" t="str">
        <f t="shared" si="25"/>
        <v>OK</v>
      </c>
      <c r="P289" s="15">
        <f t="shared" si="26"/>
        <v>0</v>
      </c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4" customHeight="1">
      <c r="A290" s="10">
        <v>365</v>
      </c>
      <c r="B290" s="11"/>
      <c r="C290" s="12" t="s">
        <v>411</v>
      </c>
      <c r="D290" s="12" t="s">
        <v>18</v>
      </c>
      <c r="E290" s="11"/>
      <c r="F290" s="11"/>
      <c r="G290" s="13"/>
      <c r="H290" s="14">
        <v>0</v>
      </c>
      <c r="I290" s="14"/>
      <c r="J290" s="14">
        <f>SUMIF(ENTRADAS!B:B,A:A,ENTRADAS!F:F)</f>
        <v>0</v>
      </c>
      <c r="K290" s="14">
        <f>SUMIF(SAÍDAS!B:B,A:A,SAÍDAS!F:F)</f>
        <v>0</v>
      </c>
      <c r="L290" s="14">
        <f t="shared" si="24"/>
        <v>0</v>
      </c>
      <c r="M290" s="13">
        <f>'SALDO ATUAL'!$G288*'SALDO ATUAL'!$I288</f>
        <v>0</v>
      </c>
      <c r="N290" s="13">
        <f>'SALDO ATUAL'!$G288*'SALDO ATUAL'!$L288</f>
        <v>0</v>
      </c>
      <c r="O290" s="14" t="str">
        <f t="shared" si="25"/>
        <v>OK</v>
      </c>
      <c r="P290" s="15">
        <f t="shared" si="26"/>
        <v>0</v>
      </c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4" customHeight="1">
      <c r="A291" s="10">
        <v>367</v>
      </c>
      <c r="B291" s="11"/>
      <c r="C291" s="12" t="s">
        <v>412</v>
      </c>
      <c r="D291" s="12" t="s">
        <v>137</v>
      </c>
      <c r="E291" s="11" t="s">
        <v>410</v>
      </c>
      <c r="F291" s="11" t="s">
        <v>20</v>
      </c>
      <c r="G291" s="13">
        <v>41.4</v>
      </c>
      <c r="H291" s="14">
        <v>2</v>
      </c>
      <c r="I291" s="14">
        <v>1</v>
      </c>
      <c r="J291" s="14">
        <f>SUMIF(ENTRADAS!B:B,A:A,ENTRADAS!F:F)</f>
        <v>0</v>
      </c>
      <c r="K291" s="14">
        <f>SUMIF(SAÍDAS!B:B,A:A,SAÍDAS!F:F)</f>
        <v>1</v>
      </c>
      <c r="L291" s="14">
        <f t="shared" si="24"/>
        <v>1</v>
      </c>
      <c r="M291" s="13">
        <f>'SALDO ATUAL'!$G75*'SALDO ATUAL'!$I75</f>
        <v>4000</v>
      </c>
      <c r="N291" s="13">
        <f>'SALDO ATUAL'!$G75*'SALDO ATUAL'!$L75</f>
        <v>4200</v>
      </c>
      <c r="O291" s="14" t="str">
        <f t="shared" si="25"/>
        <v>OK</v>
      </c>
      <c r="P291" s="15">
        <f t="shared" si="26"/>
        <v>0</v>
      </c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4" customHeight="1">
      <c r="A292" s="10">
        <v>368</v>
      </c>
      <c r="B292" s="11"/>
      <c r="C292" s="12" t="s">
        <v>413</v>
      </c>
      <c r="D292" s="12" t="s">
        <v>137</v>
      </c>
      <c r="E292" s="11"/>
      <c r="F292" s="11"/>
      <c r="G292" s="13"/>
      <c r="H292" s="14">
        <v>1</v>
      </c>
      <c r="I292" s="14"/>
      <c r="J292" s="14">
        <f>SUMIF(ENTRADAS!B:B,A:A,ENTRADAS!F:F)</f>
        <v>0</v>
      </c>
      <c r="K292" s="14">
        <f>SUMIF(SAÍDAS!B:B,A:A,SAÍDAS!F:F)</f>
        <v>0</v>
      </c>
      <c r="L292" s="14">
        <f t="shared" si="24"/>
        <v>1</v>
      </c>
      <c r="M292" s="13">
        <f>'SALDO ATUAL'!$G87*'SALDO ATUAL'!$I87</f>
        <v>0</v>
      </c>
      <c r="N292" s="13">
        <f>'SALDO ATUAL'!$G87*'SALDO ATUAL'!$L87</f>
        <v>0</v>
      </c>
      <c r="O292" s="14" t="str">
        <f t="shared" si="25"/>
        <v>OK</v>
      </c>
      <c r="P292" s="15">
        <f t="shared" si="26"/>
        <v>0</v>
      </c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4" customHeight="1">
      <c r="A293" s="10">
        <v>369</v>
      </c>
      <c r="B293" s="11"/>
      <c r="C293" s="12" t="s">
        <v>414</v>
      </c>
      <c r="D293" s="12" t="s">
        <v>388</v>
      </c>
      <c r="E293" s="11"/>
      <c r="F293" s="11"/>
      <c r="G293" s="13"/>
      <c r="H293" s="14">
        <v>1</v>
      </c>
      <c r="I293" s="14"/>
      <c r="J293" s="14">
        <f>SUMIF(ENTRADAS!B:B,A:A,ENTRADAS!F:F)</f>
        <v>0</v>
      </c>
      <c r="K293" s="14">
        <f>SUMIF(SAÍDAS!B:B,A:A,SAÍDAS!F:F)</f>
        <v>0</v>
      </c>
      <c r="L293" s="14">
        <f t="shared" si="24"/>
        <v>1</v>
      </c>
      <c r="M293" s="13">
        <f>'SALDO ATUAL'!$G91*'SALDO ATUAL'!$I91</f>
        <v>0</v>
      </c>
      <c r="N293" s="13">
        <f>'SALDO ATUAL'!$G91*'SALDO ATUAL'!$L91</f>
        <v>0</v>
      </c>
      <c r="O293" s="14" t="str">
        <f t="shared" si="25"/>
        <v>OK</v>
      </c>
      <c r="P293" s="15">
        <f t="shared" si="26"/>
        <v>0</v>
      </c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4" customHeight="1">
      <c r="A294" s="10">
        <v>370</v>
      </c>
      <c r="B294" s="11"/>
      <c r="C294" s="12" t="s">
        <v>415</v>
      </c>
      <c r="D294" s="12" t="s">
        <v>388</v>
      </c>
      <c r="E294" s="11"/>
      <c r="F294" s="11"/>
      <c r="G294" s="13"/>
      <c r="H294" s="14">
        <v>1</v>
      </c>
      <c r="I294" s="14"/>
      <c r="J294" s="14">
        <f>SUMIF(ENTRADAS!B:B,A:A,ENTRADAS!F:F)</f>
        <v>0</v>
      </c>
      <c r="K294" s="14">
        <f>SUMIF(SAÍDAS!B:B,A:A,SAÍDAS!F:F)</f>
        <v>0</v>
      </c>
      <c r="L294" s="14">
        <f t="shared" si="24"/>
        <v>1</v>
      </c>
      <c r="M294" s="13">
        <f>'SALDO ATUAL'!$G92*'SALDO ATUAL'!$I92</f>
        <v>57.04</v>
      </c>
      <c r="N294" s="13">
        <f>'SALDO ATUAL'!$G92*'SALDO ATUAL'!$L92</f>
        <v>613.17999999999995</v>
      </c>
      <c r="O294" s="14" t="str">
        <f t="shared" si="25"/>
        <v>OK</v>
      </c>
      <c r="P294" s="15">
        <f t="shared" si="26"/>
        <v>0</v>
      </c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4" customHeight="1">
      <c r="A295" s="10">
        <v>371</v>
      </c>
      <c r="B295" s="11"/>
      <c r="C295" s="12" t="s">
        <v>416</v>
      </c>
      <c r="D295" s="12" t="s">
        <v>97</v>
      </c>
      <c r="E295" s="11" t="s">
        <v>118</v>
      </c>
      <c r="F295" s="11" t="s">
        <v>20</v>
      </c>
      <c r="G295" s="13">
        <v>9.06</v>
      </c>
      <c r="H295" s="14">
        <v>7</v>
      </c>
      <c r="I295" s="14">
        <v>3</v>
      </c>
      <c r="J295" s="14">
        <f>SUMIF(ENTRADAS!B:B,A:A,ENTRADAS!F:F)</f>
        <v>0</v>
      </c>
      <c r="K295" s="14">
        <f>SUMIF(SAÍDAS!B:B,A:A,SAÍDAS!F:F)</f>
        <v>4</v>
      </c>
      <c r="L295" s="14">
        <f t="shared" si="24"/>
        <v>3</v>
      </c>
      <c r="M295" s="13">
        <f>'SALDO ATUAL'!$G106*'SALDO ATUAL'!$I106</f>
        <v>0</v>
      </c>
      <c r="N295" s="13">
        <f>'SALDO ATUAL'!$G106*'SALDO ATUAL'!$L106</f>
        <v>0</v>
      </c>
      <c r="O295" s="14" t="str">
        <f t="shared" si="25"/>
        <v>OK</v>
      </c>
      <c r="P295" s="15">
        <f t="shared" si="26"/>
        <v>0</v>
      </c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4" customHeight="1">
      <c r="A296" s="10">
        <v>372</v>
      </c>
      <c r="B296" s="11"/>
      <c r="C296" s="12" t="s">
        <v>417</v>
      </c>
      <c r="D296" s="12" t="s">
        <v>30</v>
      </c>
      <c r="E296" s="11"/>
      <c r="F296" s="11"/>
      <c r="G296" s="13"/>
      <c r="H296" s="14"/>
      <c r="I296" s="14"/>
      <c r="J296" s="14">
        <f>SUMIF(ENTRADAS!B:B,A:A,ENTRADAS!F:F)</f>
        <v>0</v>
      </c>
      <c r="K296" s="14">
        <f>SUMIF(SAÍDAS!B:B,A:A,SAÍDAS!F:F)</f>
        <v>0</v>
      </c>
      <c r="L296" s="14">
        <f t="shared" si="24"/>
        <v>0</v>
      </c>
      <c r="M296" s="13">
        <f>'SALDO ATUAL'!$G26*'SALDO ATUAL'!$I26</f>
        <v>17.3</v>
      </c>
      <c r="N296" s="13">
        <f>'SALDO ATUAL'!$G26*'SALDO ATUAL'!$L26</f>
        <v>25.950000000000003</v>
      </c>
      <c r="O296" s="14" t="str">
        <f t="shared" si="25"/>
        <v>OK</v>
      </c>
      <c r="P296" s="15">
        <f t="shared" si="26"/>
        <v>0</v>
      </c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4" customHeight="1">
      <c r="A297" s="10">
        <v>372</v>
      </c>
      <c r="B297" s="11"/>
      <c r="C297" s="12" t="s">
        <v>418</v>
      </c>
      <c r="D297" s="12" t="s">
        <v>180</v>
      </c>
      <c r="E297" s="11"/>
      <c r="F297" s="11"/>
      <c r="G297" s="13"/>
      <c r="H297" s="14"/>
      <c r="I297" s="14"/>
      <c r="J297" s="14">
        <f>SUMIF(ENTRADAS!B:B,A:A,ENTRADAS!F:F)</f>
        <v>0</v>
      </c>
      <c r="K297" s="14">
        <f>SUMIF(SAÍDAS!B:B,A:A,SAÍDAS!F:F)</f>
        <v>0</v>
      </c>
      <c r="L297" s="14">
        <f t="shared" si="24"/>
        <v>0</v>
      </c>
      <c r="M297" s="13">
        <f>'SALDO ATUAL'!$G240*'SALDO ATUAL'!$I240</f>
        <v>0</v>
      </c>
      <c r="N297" s="13">
        <f>'SALDO ATUAL'!$G240*'SALDO ATUAL'!$L240</f>
        <v>0</v>
      </c>
      <c r="O297" s="14" t="str">
        <f t="shared" si="25"/>
        <v>OK</v>
      </c>
      <c r="P297" s="15">
        <f t="shared" si="26"/>
        <v>0</v>
      </c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4" customHeight="1">
      <c r="A298" s="10">
        <v>373</v>
      </c>
      <c r="B298" s="11"/>
      <c r="C298" s="12" t="s">
        <v>419</v>
      </c>
      <c r="D298" s="12" t="s">
        <v>30</v>
      </c>
      <c r="E298" s="11" t="s">
        <v>312</v>
      </c>
      <c r="F298" s="11" t="s">
        <v>229</v>
      </c>
      <c r="G298" s="13">
        <v>17</v>
      </c>
      <c r="H298" s="14">
        <v>3</v>
      </c>
      <c r="I298" s="14">
        <v>1</v>
      </c>
      <c r="J298" s="14">
        <f>SUMIF(ENTRADAS!B:B,A:A,ENTRADAS!F:F)</f>
        <v>0</v>
      </c>
      <c r="K298" s="14">
        <f>SUMIF(SAÍDAS!B:B,A:A,SAÍDAS!F:F)</f>
        <v>1</v>
      </c>
      <c r="L298" s="14">
        <f t="shared" si="24"/>
        <v>2</v>
      </c>
      <c r="M298" s="13">
        <f>'SALDO ATUAL'!$G28*'SALDO ATUAL'!$I28</f>
        <v>0</v>
      </c>
      <c r="N298" s="13">
        <f>'SALDO ATUAL'!$G28*'SALDO ATUAL'!$L28</f>
        <v>0</v>
      </c>
      <c r="O298" s="14" t="str">
        <f t="shared" si="25"/>
        <v>OK</v>
      </c>
      <c r="P298" s="15">
        <f t="shared" si="26"/>
        <v>0</v>
      </c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4" customHeight="1">
      <c r="A299" s="10">
        <v>373</v>
      </c>
      <c r="B299" s="11"/>
      <c r="C299" s="12" t="s">
        <v>420</v>
      </c>
      <c r="D299" s="12" t="s">
        <v>180</v>
      </c>
      <c r="E299" s="11"/>
      <c r="F299" s="11"/>
      <c r="G299" s="13"/>
      <c r="H299" s="14"/>
      <c r="I299" s="14"/>
      <c r="J299" s="14">
        <f>SUMIF(ENTRADAS!B:B,A:A,ENTRADAS!F:F)</f>
        <v>0</v>
      </c>
      <c r="K299" s="14">
        <f>SUMIF(SAÍDAS!B:B,A:A,SAÍDAS!F:F)</f>
        <v>1</v>
      </c>
      <c r="L299" s="14">
        <f t="shared" si="24"/>
        <v>-1</v>
      </c>
      <c r="M299" s="13">
        <f>'SALDO ATUAL'!$G66*'SALDO ATUAL'!$I66</f>
        <v>0</v>
      </c>
      <c r="N299" s="13">
        <f>'SALDO ATUAL'!$G66*'SALDO ATUAL'!$L66</f>
        <v>0</v>
      </c>
      <c r="O299" s="14" t="str">
        <f t="shared" si="25"/>
        <v>COMPRAR</v>
      </c>
      <c r="P299" s="15">
        <f t="shared" si="26"/>
        <v>1</v>
      </c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4" customHeight="1">
      <c r="A300" s="10">
        <v>374</v>
      </c>
      <c r="B300" s="11"/>
      <c r="C300" s="12" t="s">
        <v>161</v>
      </c>
      <c r="D300" s="12" t="s">
        <v>328</v>
      </c>
      <c r="E300" s="11" t="s">
        <v>118</v>
      </c>
      <c r="F300" s="11"/>
      <c r="G300" s="13">
        <v>50</v>
      </c>
      <c r="H300" s="14">
        <v>1</v>
      </c>
      <c r="I300" s="14">
        <v>2</v>
      </c>
      <c r="J300" s="14">
        <f>SUMIF(ENTRADAS!B:B,A:A,ENTRADAS!F:F)</f>
        <v>0</v>
      </c>
      <c r="K300" s="14">
        <f>SUMIF(SAÍDAS!B:B,A:A,SAÍDAS!F:F)</f>
        <v>1</v>
      </c>
      <c r="L300" s="14">
        <f t="shared" si="24"/>
        <v>0</v>
      </c>
      <c r="M300" s="13">
        <f>'SALDO ATUAL'!$G81*'SALDO ATUAL'!$I81</f>
        <v>7500</v>
      </c>
      <c r="N300" s="13">
        <f>'SALDO ATUAL'!$G81*'SALDO ATUAL'!$L81</f>
        <v>13500</v>
      </c>
      <c r="O300" s="14" t="str">
        <f t="shared" si="25"/>
        <v>COMPRAR</v>
      </c>
      <c r="P300" s="15">
        <f t="shared" si="26"/>
        <v>2</v>
      </c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4" customHeight="1">
      <c r="A301" s="10">
        <v>375</v>
      </c>
      <c r="B301" s="11"/>
      <c r="C301" s="12" t="s">
        <v>421</v>
      </c>
      <c r="D301" s="12" t="s">
        <v>328</v>
      </c>
      <c r="E301" s="11" t="s">
        <v>312</v>
      </c>
      <c r="F301" s="11" t="s">
        <v>40</v>
      </c>
      <c r="G301" s="13">
        <v>0.99</v>
      </c>
      <c r="H301" s="14">
        <v>30</v>
      </c>
      <c r="I301" s="14">
        <v>10</v>
      </c>
      <c r="J301" s="14">
        <f>SUMIF(ENTRADAS!B:B,A:A,ENTRADAS!F:F)</f>
        <v>0</v>
      </c>
      <c r="K301" s="14">
        <f>SUMIF(SAÍDAS!B:B,A:A,SAÍDAS!F:F)</f>
        <v>30</v>
      </c>
      <c r="L301" s="14">
        <f t="shared" si="24"/>
        <v>0</v>
      </c>
      <c r="M301" s="13">
        <f>'SALDO ATUAL'!$G224*'SALDO ATUAL'!$I224</f>
        <v>180.84</v>
      </c>
      <c r="N301" s="13">
        <f>'SALDO ATUAL'!$G224*'SALDO ATUAL'!$L224</f>
        <v>361.68</v>
      </c>
      <c r="O301" s="14" t="str">
        <f t="shared" si="25"/>
        <v>COMPRAR</v>
      </c>
      <c r="P301" s="15">
        <f t="shared" si="26"/>
        <v>10</v>
      </c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4" customHeight="1">
      <c r="A302" s="19">
        <v>376</v>
      </c>
      <c r="B302" s="11"/>
      <c r="C302" s="20" t="s">
        <v>422</v>
      </c>
      <c r="D302" s="11" t="s">
        <v>30</v>
      </c>
      <c r="E302" s="11"/>
      <c r="F302" s="11"/>
      <c r="G302" s="13"/>
      <c r="H302" s="14">
        <v>2</v>
      </c>
      <c r="I302" s="14"/>
      <c r="J302" s="14">
        <f>SUMIF(ENTRADAS!B:B,A:A,ENTRADAS!F:F)</f>
        <v>0</v>
      </c>
      <c r="K302" s="14">
        <f>SUMIF(SAÍDAS!B:B,A:A,SAÍDAS!F:F)</f>
        <v>0</v>
      </c>
      <c r="L302" s="14">
        <f t="shared" si="24"/>
        <v>2</v>
      </c>
      <c r="M302" s="13">
        <f>'SALDO ATUAL'!$G302*'SALDO ATUAL'!$I302</f>
        <v>0</v>
      </c>
      <c r="N302" s="13">
        <f>'SALDO ATUAL'!$G302*'SALDO ATUAL'!$L302</f>
        <v>0</v>
      </c>
      <c r="O302" s="14" t="str">
        <f t="shared" si="25"/>
        <v>OK</v>
      </c>
      <c r="P302" s="15">
        <f t="shared" si="26"/>
        <v>0</v>
      </c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4" customHeight="1">
      <c r="A303" s="19">
        <v>377</v>
      </c>
      <c r="B303" s="11"/>
      <c r="C303" s="20" t="s">
        <v>423</v>
      </c>
      <c r="D303" s="11" t="s">
        <v>30</v>
      </c>
      <c r="E303" s="11" t="s">
        <v>312</v>
      </c>
      <c r="F303" s="11" t="s">
        <v>424</v>
      </c>
      <c r="G303" s="13">
        <v>200</v>
      </c>
      <c r="H303" s="14">
        <v>2</v>
      </c>
      <c r="I303" s="14">
        <v>1</v>
      </c>
      <c r="J303" s="14">
        <f>SUMIF(ENTRADAS!B:B,A:A,ENTRADAS!F:F)</f>
        <v>0</v>
      </c>
      <c r="K303" s="14">
        <f>SUMIF(SAÍDAS!B:B,A:A,SAÍDAS!F:F)</f>
        <v>1</v>
      </c>
      <c r="L303" s="14">
        <f t="shared" si="24"/>
        <v>1</v>
      </c>
      <c r="M303" s="13">
        <f>'SALDO ATUAL'!$G303*'SALDO ATUAL'!$I303</f>
        <v>200</v>
      </c>
      <c r="N303" s="13">
        <f>'SALDO ATUAL'!$G303*'SALDO ATUAL'!$L303</f>
        <v>200</v>
      </c>
      <c r="O303" s="14" t="str">
        <f t="shared" si="25"/>
        <v>OK</v>
      </c>
      <c r="P303" s="15">
        <f t="shared" si="26"/>
        <v>0</v>
      </c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4" customHeight="1">
      <c r="A304" s="19">
        <v>378</v>
      </c>
      <c r="B304" s="11"/>
      <c r="C304" s="20" t="s">
        <v>425</v>
      </c>
      <c r="D304" s="12" t="s">
        <v>137</v>
      </c>
      <c r="E304" s="11" t="s">
        <v>312</v>
      </c>
      <c r="F304" s="11" t="s">
        <v>20</v>
      </c>
      <c r="G304" s="13">
        <v>51.31</v>
      </c>
      <c r="H304" s="14">
        <v>1</v>
      </c>
      <c r="I304" s="14">
        <v>1</v>
      </c>
      <c r="J304" s="14">
        <f>SUMIF(ENTRADAS!B:B,A:A,ENTRADAS!F:F)</f>
        <v>0</v>
      </c>
      <c r="K304" s="14">
        <f>SUMIF(SAÍDAS!B:B,A:A,SAÍDAS!F:F)</f>
        <v>1</v>
      </c>
      <c r="L304" s="14">
        <f t="shared" si="24"/>
        <v>0</v>
      </c>
      <c r="M304" s="13">
        <f>'SALDO ATUAL'!$G304*'SALDO ATUAL'!$I304</f>
        <v>51.31</v>
      </c>
      <c r="N304" s="13">
        <f>'SALDO ATUAL'!$G304*'SALDO ATUAL'!$L304</f>
        <v>0</v>
      </c>
      <c r="O304" s="14" t="str">
        <f t="shared" si="25"/>
        <v>COMPRAR</v>
      </c>
      <c r="P304" s="15">
        <f t="shared" si="26"/>
        <v>1</v>
      </c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4" customHeight="1">
      <c r="A305" s="19">
        <v>379</v>
      </c>
      <c r="B305" s="11"/>
      <c r="C305" s="20" t="s">
        <v>426</v>
      </c>
      <c r="D305" s="12" t="s">
        <v>137</v>
      </c>
      <c r="E305" s="11" t="s">
        <v>312</v>
      </c>
      <c r="F305" s="11" t="s">
        <v>20</v>
      </c>
      <c r="G305" s="13"/>
      <c r="H305" s="14">
        <v>3</v>
      </c>
      <c r="I305" s="14"/>
      <c r="J305" s="14">
        <f>SUMIF(ENTRADAS!B:B,A:A,ENTRADAS!F:F)</f>
        <v>3</v>
      </c>
      <c r="K305" s="14">
        <f>SUMIF(SAÍDAS!B:B,A:A,SAÍDAS!F:F)</f>
        <v>6</v>
      </c>
      <c r="L305" s="14">
        <f t="shared" si="24"/>
        <v>0</v>
      </c>
      <c r="M305" s="13">
        <f>'SALDO ATUAL'!$G305*'SALDO ATUAL'!$I305</f>
        <v>0</v>
      </c>
      <c r="N305" s="13">
        <f>'SALDO ATUAL'!$G305*'SALDO ATUAL'!$L305</f>
        <v>0</v>
      </c>
      <c r="O305" s="14" t="str">
        <f t="shared" si="25"/>
        <v>OK</v>
      </c>
      <c r="P305" s="15">
        <f t="shared" si="26"/>
        <v>0</v>
      </c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4" customHeight="1">
      <c r="A306" s="19">
        <v>380</v>
      </c>
      <c r="B306" s="11"/>
      <c r="C306" s="20" t="s">
        <v>140</v>
      </c>
      <c r="D306" s="12" t="s">
        <v>137</v>
      </c>
      <c r="E306" s="11" t="s">
        <v>427</v>
      </c>
      <c r="F306" s="11" t="s">
        <v>138</v>
      </c>
      <c r="G306" s="13">
        <v>200</v>
      </c>
      <c r="H306" s="14">
        <v>30</v>
      </c>
      <c r="I306" s="14">
        <v>20</v>
      </c>
      <c r="J306" s="14">
        <f>SUMIF(ENTRADAS!B:B,A:A,ENTRADAS!F:F)</f>
        <v>0</v>
      </c>
      <c r="K306" s="14">
        <f>SUMIF(SAÍDAS!B:B,A:A,SAÍDAS!F:F)</f>
        <v>16</v>
      </c>
      <c r="L306" s="14">
        <f t="shared" si="24"/>
        <v>14</v>
      </c>
      <c r="M306" s="13">
        <f>'SALDO ATUAL'!$G306*'SALDO ATUAL'!$I306</f>
        <v>4000</v>
      </c>
      <c r="N306" s="13">
        <f>'SALDO ATUAL'!$G306*'SALDO ATUAL'!$L306</f>
        <v>2800</v>
      </c>
      <c r="O306" s="14" t="str">
        <f t="shared" si="25"/>
        <v>COMPRAR</v>
      </c>
      <c r="P306" s="15">
        <f t="shared" si="26"/>
        <v>6</v>
      </c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4" customHeight="1">
      <c r="A307" s="19">
        <v>381</v>
      </c>
      <c r="B307" s="11"/>
      <c r="C307" s="20" t="s">
        <v>428</v>
      </c>
      <c r="D307" s="11" t="s">
        <v>166</v>
      </c>
      <c r="E307" s="11" t="s">
        <v>312</v>
      </c>
      <c r="F307" s="11" t="s">
        <v>429</v>
      </c>
      <c r="G307" s="13">
        <v>126.98</v>
      </c>
      <c r="H307" s="14">
        <v>0</v>
      </c>
      <c r="I307" s="14">
        <v>1</v>
      </c>
      <c r="J307" s="14">
        <f>SUMIF(ENTRADAS!B:B,A:A,ENTRADAS!F:F)</f>
        <v>2</v>
      </c>
      <c r="K307" s="14">
        <f>SUMIF(SAÍDAS!B:B,A:A,SAÍDAS!F:F)</f>
        <v>0</v>
      </c>
      <c r="L307" s="14">
        <f t="shared" si="24"/>
        <v>2</v>
      </c>
      <c r="M307" s="13">
        <f>'SALDO ATUAL'!$G307*'SALDO ATUAL'!$I307</f>
        <v>126.98</v>
      </c>
      <c r="N307" s="13">
        <f>'SALDO ATUAL'!$G307*'SALDO ATUAL'!$L307</f>
        <v>253.96</v>
      </c>
      <c r="O307" s="14" t="str">
        <f t="shared" si="25"/>
        <v>OK</v>
      </c>
      <c r="P307" s="15">
        <f t="shared" si="26"/>
        <v>0</v>
      </c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4" customHeight="1">
      <c r="A308" s="21" t="s">
        <v>430</v>
      </c>
      <c r="B308" s="11"/>
      <c r="C308" s="20" t="s">
        <v>431</v>
      </c>
      <c r="D308" s="11" t="s">
        <v>166</v>
      </c>
      <c r="E308" s="11" t="s">
        <v>312</v>
      </c>
      <c r="F308" s="11" t="s">
        <v>432</v>
      </c>
      <c r="G308" s="13">
        <v>405.36</v>
      </c>
      <c r="H308" s="14">
        <v>0</v>
      </c>
      <c r="I308" s="14">
        <v>1</v>
      </c>
      <c r="J308" s="14">
        <f>SUMIF(ENTRADAS!B:B,A:A,ENTRADAS!F:F)</f>
        <v>1</v>
      </c>
      <c r="K308" s="14">
        <f>SUMIF(SAÍDAS!B:B,A:A,SAÍDAS!F:F)</f>
        <v>0</v>
      </c>
      <c r="L308" s="14">
        <f t="shared" si="24"/>
        <v>1</v>
      </c>
      <c r="M308" s="13">
        <f>'SALDO ATUAL'!$G309*'SALDO ATUAL'!$I309</f>
        <v>307.91000000000003</v>
      </c>
      <c r="N308" s="13">
        <f>'SALDO ATUAL'!$G309*'SALDO ATUAL'!$L309</f>
        <v>-1847.46</v>
      </c>
      <c r="O308" s="14" t="str">
        <f t="shared" si="25"/>
        <v>OK</v>
      </c>
      <c r="P308" s="15">
        <f t="shared" si="26"/>
        <v>0</v>
      </c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4" customHeight="1">
      <c r="A309" s="21" t="s">
        <v>433</v>
      </c>
      <c r="B309" s="11"/>
      <c r="C309" s="20" t="s">
        <v>434</v>
      </c>
      <c r="D309" s="11" t="s">
        <v>166</v>
      </c>
      <c r="E309" s="11" t="s">
        <v>312</v>
      </c>
      <c r="F309" s="11" t="s">
        <v>435</v>
      </c>
      <c r="G309" s="13">
        <v>307.91000000000003</v>
      </c>
      <c r="H309" s="14">
        <v>0</v>
      </c>
      <c r="I309" s="14">
        <v>1</v>
      </c>
      <c r="J309" s="14">
        <f>SUMIF(ENTRADAS!B:B,A:A,ENTRADAS!F:F)</f>
        <v>1</v>
      </c>
      <c r="K309" s="14">
        <f>SUMIF(SAÍDAS!B:B,A:A,SAÍDAS!F:F)</f>
        <v>7</v>
      </c>
      <c r="L309" s="14">
        <f t="shared" si="24"/>
        <v>-6</v>
      </c>
      <c r="M309" s="13">
        <f>'SALDO ATUAL'!$G308*'SALDO ATUAL'!$I308</f>
        <v>405.36</v>
      </c>
      <c r="N309" s="13">
        <f>'SALDO ATUAL'!$G308*'SALDO ATUAL'!$L308</f>
        <v>405.36</v>
      </c>
      <c r="O309" s="14" t="str">
        <f t="shared" si="25"/>
        <v>COMPRAR</v>
      </c>
      <c r="P309" s="15">
        <f t="shared" si="26"/>
        <v>7</v>
      </c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4" customHeight="1">
      <c r="A310" s="21" t="s">
        <v>436</v>
      </c>
      <c r="B310" s="11"/>
      <c r="C310" s="20" t="s">
        <v>437</v>
      </c>
      <c r="D310" s="11" t="s">
        <v>438</v>
      </c>
      <c r="E310" s="11" t="s">
        <v>312</v>
      </c>
      <c r="F310" s="11" t="s">
        <v>439</v>
      </c>
      <c r="G310" s="13">
        <v>700</v>
      </c>
      <c r="H310" s="14">
        <v>1</v>
      </c>
      <c r="I310" s="14">
        <v>1</v>
      </c>
      <c r="J310" s="14">
        <f>SUMIF(ENTRADAS!B:B,A:A,ENTRADAS!F:F)</f>
        <v>0</v>
      </c>
      <c r="K310" s="14">
        <f>SUMIF(SAÍDAS!B:B,A:A,SAÍDAS!F:F)</f>
        <v>0</v>
      </c>
      <c r="L310" s="14">
        <f t="shared" si="24"/>
        <v>1</v>
      </c>
      <c r="M310" s="13">
        <f>'SALDO ATUAL'!$G310*'SALDO ATUAL'!$I310</f>
        <v>700</v>
      </c>
      <c r="N310" s="13">
        <f>'SALDO ATUAL'!$G310*'SALDO ATUAL'!$L310</f>
        <v>700</v>
      </c>
      <c r="O310" s="14" t="str">
        <f t="shared" si="25"/>
        <v>OK</v>
      </c>
      <c r="P310" s="15">
        <f t="shared" si="26"/>
        <v>0</v>
      </c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4" customHeight="1">
      <c r="A311" s="19">
        <v>382</v>
      </c>
      <c r="B311" s="11"/>
      <c r="C311" s="20" t="s">
        <v>440</v>
      </c>
      <c r="D311" s="11" t="s">
        <v>388</v>
      </c>
      <c r="E311" s="11" t="s">
        <v>312</v>
      </c>
      <c r="F311" s="11" t="s">
        <v>133</v>
      </c>
      <c r="G311" s="13">
        <v>389.7</v>
      </c>
      <c r="H311" s="14">
        <v>0</v>
      </c>
      <c r="I311" s="14">
        <v>1</v>
      </c>
      <c r="J311" s="14">
        <f>SUMIF(ENTRADAS!B:B,A:A,ENTRADAS!F:F)</f>
        <v>1</v>
      </c>
      <c r="K311" s="14">
        <f>SUMIF(SAÍDAS!B:B,A:A,SAÍDAS!F:F)</f>
        <v>0</v>
      </c>
      <c r="L311" s="14">
        <f t="shared" si="24"/>
        <v>1</v>
      </c>
      <c r="M311" s="13">
        <f>'SALDO ATUAL'!$G311*'SALDO ATUAL'!$I311</f>
        <v>389.7</v>
      </c>
      <c r="N311" s="13">
        <f>'SALDO ATUAL'!$G311*'SALDO ATUAL'!$L311</f>
        <v>389.7</v>
      </c>
      <c r="O311" s="14" t="str">
        <f t="shared" si="25"/>
        <v>OK</v>
      </c>
      <c r="P311" s="15">
        <f t="shared" si="26"/>
        <v>0</v>
      </c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4" customHeight="1">
      <c r="A312" s="19">
        <v>383</v>
      </c>
      <c r="B312" s="11"/>
      <c r="C312" s="20" t="s">
        <v>441</v>
      </c>
      <c r="D312" s="11" t="s">
        <v>442</v>
      </c>
      <c r="E312" s="11" t="s">
        <v>312</v>
      </c>
      <c r="F312" s="11" t="s">
        <v>443</v>
      </c>
      <c r="G312" s="13">
        <v>150</v>
      </c>
      <c r="H312" s="14">
        <v>0</v>
      </c>
      <c r="I312" s="14">
        <v>1</v>
      </c>
      <c r="J312" s="14">
        <f>SUMIF(ENTRADAS!B:B,A:A,ENTRADAS!F:F)</f>
        <v>1</v>
      </c>
      <c r="K312" s="14">
        <f>SUMIF(SAÍDAS!B:B,A:A,SAÍDAS!F:F)</f>
        <v>0</v>
      </c>
      <c r="L312" s="14">
        <f t="shared" si="24"/>
        <v>1</v>
      </c>
      <c r="M312" s="13">
        <f>'SALDO ATUAL'!$G312*'SALDO ATUAL'!$I312</f>
        <v>150</v>
      </c>
      <c r="N312" s="13">
        <f>'SALDO ATUAL'!$G312*'SALDO ATUAL'!$L312</f>
        <v>150</v>
      </c>
      <c r="O312" s="14" t="str">
        <f t="shared" si="25"/>
        <v>OK</v>
      </c>
      <c r="P312" s="15">
        <f t="shared" si="26"/>
        <v>0</v>
      </c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4" customHeight="1">
      <c r="A313" s="19">
        <v>384</v>
      </c>
      <c r="B313" s="11"/>
      <c r="C313" s="20" t="s">
        <v>444</v>
      </c>
      <c r="D313" s="11" t="s">
        <v>442</v>
      </c>
      <c r="E313" s="11" t="s">
        <v>312</v>
      </c>
      <c r="F313" s="11" t="s">
        <v>133</v>
      </c>
      <c r="G313" s="13">
        <v>32.200000000000003</v>
      </c>
      <c r="H313" s="14">
        <v>0</v>
      </c>
      <c r="I313" s="14">
        <v>1</v>
      </c>
      <c r="J313" s="14">
        <f>SUMIF(ENTRADAS!B:B,A:A,ENTRADAS!F:F)</f>
        <v>3</v>
      </c>
      <c r="K313" s="14">
        <f>SUMIF(SAÍDAS!B:B,A:A,SAÍDAS!F:F)</f>
        <v>0</v>
      </c>
      <c r="L313" s="14">
        <f t="shared" si="24"/>
        <v>3</v>
      </c>
      <c r="M313" s="13">
        <f>'SALDO ATUAL'!$G313*'SALDO ATUAL'!$I313</f>
        <v>32.200000000000003</v>
      </c>
      <c r="N313" s="13">
        <f>'SALDO ATUAL'!$G313*'SALDO ATUAL'!$L313</f>
        <v>96.600000000000009</v>
      </c>
      <c r="O313" s="14" t="str">
        <f t="shared" si="25"/>
        <v>OK</v>
      </c>
      <c r="P313" s="15">
        <f t="shared" si="26"/>
        <v>0</v>
      </c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4" customHeight="1">
      <c r="A314" s="19">
        <v>385</v>
      </c>
      <c r="B314" s="11"/>
      <c r="C314" s="20" t="s">
        <v>445</v>
      </c>
      <c r="D314" s="11" t="s">
        <v>388</v>
      </c>
      <c r="E314" s="11" t="s">
        <v>312</v>
      </c>
      <c r="F314" s="11" t="s">
        <v>133</v>
      </c>
      <c r="G314" s="13">
        <v>22.31</v>
      </c>
      <c r="H314" s="14">
        <v>0</v>
      </c>
      <c r="I314" s="14">
        <v>1</v>
      </c>
      <c r="J314" s="14">
        <f>SUMIF(ENTRADAS!B:B,A:A,ENTRADAS!F:F)</f>
        <v>2</v>
      </c>
      <c r="K314" s="14">
        <f>SUMIF(SAÍDAS!B:B,A:A,SAÍDAS!F:F)</f>
        <v>0</v>
      </c>
      <c r="L314" s="14">
        <f t="shared" si="24"/>
        <v>2</v>
      </c>
      <c r="M314" s="13">
        <f>'SALDO ATUAL'!$G314*'SALDO ATUAL'!$I314</f>
        <v>22.31</v>
      </c>
      <c r="N314" s="13">
        <f>'SALDO ATUAL'!$G314*'SALDO ATUAL'!$L314</f>
        <v>44.62</v>
      </c>
      <c r="O314" s="14" t="str">
        <f t="shared" si="25"/>
        <v>OK</v>
      </c>
      <c r="P314" s="15">
        <f t="shared" si="26"/>
        <v>0</v>
      </c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4" customHeight="1">
      <c r="A315" s="19">
        <v>386</v>
      </c>
      <c r="B315" s="11"/>
      <c r="C315" s="20" t="s">
        <v>446</v>
      </c>
      <c r="D315" s="11" t="s">
        <v>388</v>
      </c>
      <c r="E315" s="11" t="s">
        <v>312</v>
      </c>
      <c r="F315" s="11" t="s">
        <v>133</v>
      </c>
      <c r="G315" s="13">
        <v>5.0599999999999996</v>
      </c>
      <c r="H315" s="14">
        <v>0</v>
      </c>
      <c r="I315" s="14">
        <v>1</v>
      </c>
      <c r="J315" s="14">
        <f>SUMIF(ENTRADAS!B:B,A:A,ENTRADAS!F:F)</f>
        <v>4</v>
      </c>
      <c r="K315" s="14">
        <f>SUMIF(SAÍDAS!B:B,A:A,SAÍDAS!F:F)</f>
        <v>0</v>
      </c>
      <c r="L315" s="14">
        <f t="shared" si="24"/>
        <v>4</v>
      </c>
      <c r="M315" s="13">
        <f>'SALDO ATUAL'!$G315*'SALDO ATUAL'!$I315</f>
        <v>5.0599999999999996</v>
      </c>
      <c r="N315" s="13">
        <f>'SALDO ATUAL'!$G315*'SALDO ATUAL'!$L315</f>
        <v>20.239999999999998</v>
      </c>
      <c r="O315" s="14" t="str">
        <f t="shared" si="25"/>
        <v>OK</v>
      </c>
      <c r="P315" s="15">
        <f t="shared" si="26"/>
        <v>0</v>
      </c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4" customHeight="1">
      <c r="A316" s="19">
        <v>389</v>
      </c>
      <c r="B316" s="11"/>
      <c r="C316" s="20" t="s">
        <v>447</v>
      </c>
      <c r="D316" s="11" t="s">
        <v>388</v>
      </c>
      <c r="E316" s="11" t="s">
        <v>312</v>
      </c>
      <c r="F316" s="11" t="s">
        <v>133</v>
      </c>
      <c r="G316" s="13">
        <v>358</v>
      </c>
      <c r="H316" s="14">
        <v>3</v>
      </c>
      <c r="I316" s="14">
        <v>1</v>
      </c>
      <c r="J316" s="14">
        <f>SUMIF(ENTRADAS!B:B,A:A,ENTRADAS!F:F)</f>
        <v>0</v>
      </c>
      <c r="K316" s="14">
        <f>SUMIF(SAÍDAS!B:B,A:A,SAÍDAS!F:F)</f>
        <v>0</v>
      </c>
      <c r="L316" s="14">
        <f t="shared" si="24"/>
        <v>3</v>
      </c>
      <c r="M316" s="13">
        <f>'SALDO ATUAL'!$G316*'SALDO ATUAL'!$I316</f>
        <v>358</v>
      </c>
      <c r="N316" s="13">
        <f>'SALDO ATUAL'!$G316*'SALDO ATUAL'!$L316</f>
        <v>1074</v>
      </c>
      <c r="O316" s="14" t="str">
        <f t="shared" si="25"/>
        <v>OK</v>
      </c>
      <c r="P316" s="15">
        <f t="shared" si="26"/>
        <v>0</v>
      </c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4" customHeight="1">
      <c r="A317" s="19">
        <v>390</v>
      </c>
      <c r="B317" s="11"/>
      <c r="C317" s="20" t="s">
        <v>448</v>
      </c>
      <c r="D317" s="11" t="s">
        <v>449</v>
      </c>
      <c r="E317" s="11" t="s">
        <v>312</v>
      </c>
      <c r="F317" s="11" t="s">
        <v>450</v>
      </c>
      <c r="G317" s="13">
        <v>139.99</v>
      </c>
      <c r="H317" s="14">
        <v>2</v>
      </c>
      <c r="I317" s="14">
        <v>0</v>
      </c>
      <c r="J317" s="14">
        <f>SUMIF(ENTRADAS!B:B,A:A,ENTRADAS!F:F)</f>
        <v>0</v>
      </c>
      <c r="K317" s="14">
        <f>SUMIF(SAÍDAS!B:B,A:A,SAÍDAS!F:F)</f>
        <v>0</v>
      </c>
      <c r="L317" s="14">
        <f t="shared" si="24"/>
        <v>2</v>
      </c>
      <c r="M317" s="13">
        <f>'SALDO ATUAL'!$G317*'SALDO ATUAL'!$I317</f>
        <v>0</v>
      </c>
      <c r="N317" s="13">
        <f>'SALDO ATUAL'!$G317*'SALDO ATUAL'!$L317</f>
        <v>279.98</v>
      </c>
      <c r="O317" s="14" t="str">
        <f t="shared" si="25"/>
        <v>OK</v>
      </c>
      <c r="P317" s="15">
        <f t="shared" si="26"/>
        <v>0</v>
      </c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4" customHeight="1">
      <c r="A318" s="19">
        <v>391</v>
      </c>
      <c r="B318" s="11"/>
      <c r="C318" s="20" t="s">
        <v>451</v>
      </c>
      <c r="D318" s="11" t="s">
        <v>449</v>
      </c>
      <c r="E318" s="11" t="s">
        <v>312</v>
      </c>
      <c r="F318" s="11" t="s">
        <v>450</v>
      </c>
      <c r="G318" s="13">
        <v>159.99</v>
      </c>
      <c r="H318" s="14">
        <v>4</v>
      </c>
      <c r="I318" s="14">
        <v>0</v>
      </c>
      <c r="J318" s="14">
        <f>SUMIF(ENTRADAS!B:B,A:A,ENTRADAS!F:F)</f>
        <v>0</v>
      </c>
      <c r="K318" s="14">
        <f>SUMIF(SAÍDAS!B:B,A:A,SAÍDAS!F:F)</f>
        <v>0</v>
      </c>
      <c r="L318" s="14">
        <f t="shared" si="24"/>
        <v>4</v>
      </c>
      <c r="M318" s="13">
        <f>'SALDO ATUAL'!$G318*'SALDO ATUAL'!$I318</f>
        <v>0</v>
      </c>
      <c r="N318" s="13">
        <f>'SALDO ATUAL'!$G318*'SALDO ATUAL'!$L318</f>
        <v>639.96</v>
      </c>
      <c r="O318" s="14" t="str">
        <f t="shared" si="25"/>
        <v>OK</v>
      </c>
      <c r="P318" s="15">
        <f t="shared" si="26"/>
        <v>0</v>
      </c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4" customHeight="1">
      <c r="A319" s="19">
        <v>392</v>
      </c>
      <c r="B319" s="11"/>
      <c r="C319" s="20" t="s">
        <v>452</v>
      </c>
      <c r="D319" s="12" t="s">
        <v>30</v>
      </c>
      <c r="E319" s="11" t="s">
        <v>453</v>
      </c>
      <c r="F319" s="11" t="s">
        <v>452</v>
      </c>
      <c r="G319" s="13">
        <v>12.49</v>
      </c>
      <c r="H319" s="14">
        <v>0</v>
      </c>
      <c r="I319" s="14">
        <v>1</v>
      </c>
      <c r="J319" s="14">
        <f>SUMIF(ENTRADAS!B:B,A:A,ENTRADAS!F:F)</f>
        <v>2</v>
      </c>
      <c r="K319" s="14">
        <f>SUMIF(SAÍDAS!B:B,A:A,SAÍDAS!F:F)</f>
        <v>1</v>
      </c>
      <c r="L319" s="14">
        <f t="shared" si="24"/>
        <v>1</v>
      </c>
      <c r="M319" s="13">
        <f>'SALDO ATUAL'!$G319*'SALDO ATUAL'!$I319</f>
        <v>12.49</v>
      </c>
      <c r="N319" s="13">
        <f>'SALDO ATUAL'!$G319*'SALDO ATUAL'!$L319</f>
        <v>12.49</v>
      </c>
      <c r="O319" s="14" t="str">
        <f t="shared" si="25"/>
        <v>OK</v>
      </c>
      <c r="P319" s="15">
        <f t="shared" si="26"/>
        <v>0</v>
      </c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4" customHeight="1">
      <c r="A320" s="19">
        <v>393</v>
      </c>
      <c r="B320" s="11"/>
      <c r="C320" s="20" t="s">
        <v>454</v>
      </c>
      <c r="D320" s="11" t="s">
        <v>26</v>
      </c>
      <c r="E320" s="11" t="s">
        <v>455</v>
      </c>
      <c r="F320" s="11" t="s">
        <v>456</v>
      </c>
      <c r="G320" s="13">
        <v>22.23</v>
      </c>
      <c r="H320" s="14">
        <v>0</v>
      </c>
      <c r="I320" s="14">
        <v>1</v>
      </c>
      <c r="J320" s="14">
        <f>SUMIF(ENTRADAS!B:B,A:A,ENTRADAS!F:F)</f>
        <v>0</v>
      </c>
      <c r="K320" s="14">
        <f>SUMIF(SAÍDAS!B:B,A:A,SAÍDAS!F:F)</f>
        <v>0</v>
      </c>
      <c r="L320" s="14">
        <f t="shared" si="24"/>
        <v>0</v>
      </c>
      <c r="M320" s="13">
        <f>'SALDO ATUAL'!$G320*'SALDO ATUAL'!$I320</f>
        <v>22.23</v>
      </c>
      <c r="N320" s="13">
        <f>'SALDO ATUAL'!$G320*'SALDO ATUAL'!$L320</f>
        <v>0</v>
      </c>
      <c r="O320" s="14" t="str">
        <f t="shared" si="25"/>
        <v>COMPRAR</v>
      </c>
      <c r="P320" s="15">
        <f t="shared" si="26"/>
        <v>1</v>
      </c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4" customHeight="1">
      <c r="A321" s="21" t="s">
        <v>457</v>
      </c>
      <c r="B321" s="11"/>
      <c r="C321" s="20" t="s">
        <v>458</v>
      </c>
      <c r="D321" s="11" t="s">
        <v>449</v>
      </c>
      <c r="E321" s="11" t="s">
        <v>312</v>
      </c>
      <c r="F321" s="11" t="s">
        <v>450</v>
      </c>
      <c r="G321" s="13">
        <v>159.99</v>
      </c>
      <c r="H321" s="14">
        <v>3</v>
      </c>
      <c r="I321" s="14">
        <v>0</v>
      </c>
      <c r="J321" s="14">
        <f>SUMIF(ENTRADAS!B:B,A:A,ENTRADAS!F:F)</f>
        <v>0</v>
      </c>
      <c r="K321" s="14">
        <f>SUMIF(SAÍDAS!B:B,A:A,SAÍDAS!F:F)</f>
        <v>0</v>
      </c>
      <c r="L321" s="14">
        <f t="shared" si="24"/>
        <v>3</v>
      </c>
      <c r="M321" s="13">
        <f>'SALDO ATUAL'!$G321*'SALDO ATUAL'!$I321</f>
        <v>0</v>
      </c>
      <c r="N321" s="13">
        <f>'SALDO ATUAL'!$G321*'SALDO ATUAL'!$L321</f>
        <v>479.97</v>
      </c>
      <c r="O321" s="14" t="str">
        <f t="shared" si="25"/>
        <v>OK</v>
      </c>
      <c r="P321" s="15">
        <f t="shared" si="26"/>
        <v>0</v>
      </c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4" customHeight="1">
      <c r="A322" s="21" t="s">
        <v>459</v>
      </c>
      <c r="B322" s="11"/>
      <c r="C322" s="20" t="s">
        <v>460</v>
      </c>
      <c r="D322" s="11" t="s">
        <v>449</v>
      </c>
      <c r="E322" s="11" t="s">
        <v>312</v>
      </c>
      <c r="F322" s="11" t="s">
        <v>461</v>
      </c>
      <c r="G322" s="13"/>
      <c r="H322" s="14"/>
      <c r="I322" s="14"/>
      <c r="J322" s="14">
        <f>SUMIF(ENTRADAS!B:B,A:A,ENTRADAS!F:F)</f>
        <v>0</v>
      </c>
      <c r="K322" s="14">
        <f>SUMIF(SAÍDAS!B:B,A:A,SAÍDAS!F:F)</f>
        <v>0</v>
      </c>
      <c r="L322" s="14">
        <f t="shared" si="24"/>
        <v>0</v>
      </c>
      <c r="M322" s="13">
        <f>'SALDO ATUAL'!$G322*'SALDO ATUAL'!$I322</f>
        <v>0</v>
      </c>
      <c r="N322" s="13">
        <f>'SALDO ATUAL'!$G322*'SALDO ATUAL'!$L322</f>
        <v>0</v>
      </c>
      <c r="O322" s="14" t="str">
        <f t="shared" si="25"/>
        <v>OK</v>
      </c>
      <c r="P322" s="15">
        <f t="shared" si="26"/>
        <v>0</v>
      </c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4" customHeight="1">
      <c r="A323" s="21" t="s">
        <v>462</v>
      </c>
      <c r="B323" s="11"/>
      <c r="C323" s="20" t="s">
        <v>463</v>
      </c>
      <c r="D323" s="11" t="s">
        <v>18</v>
      </c>
      <c r="E323" s="11" t="s">
        <v>312</v>
      </c>
      <c r="F323" s="11" t="s">
        <v>20</v>
      </c>
      <c r="G323" s="22"/>
      <c r="H323" s="14">
        <v>0</v>
      </c>
      <c r="I323" s="14">
        <v>1</v>
      </c>
      <c r="J323" s="14">
        <f>SUMIF(ENTRADAS!B:B,A:A,ENTRADAS!F:F)</f>
        <v>1</v>
      </c>
      <c r="K323" s="14">
        <f>SUMIF(SAÍDAS!B:B,A:A,SAÍDAS!F:F)</f>
        <v>0</v>
      </c>
      <c r="L323" s="14">
        <f t="shared" si="24"/>
        <v>1</v>
      </c>
      <c r="M323" s="13">
        <f>'SALDO ATUAL'!$G323*'SALDO ATUAL'!$I323</f>
        <v>0</v>
      </c>
      <c r="N323" s="13">
        <f>'SALDO ATUAL'!$G323*'SALDO ATUAL'!$L323</f>
        <v>0</v>
      </c>
      <c r="O323" s="14" t="str">
        <f t="shared" si="25"/>
        <v>OK</v>
      </c>
      <c r="P323" s="15">
        <f t="shared" si="26"/>
        <v>0</v>
      </c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4" customHeight="1">
      <c r="A324" s="21" t="s">
        <v>464</v>
      </c>
      <c r="B324" s="11"/>
      <c r="C324" s="20" t="s">
        <v>465</v>
      </c>
      <c r="D324" s="11" t="s">
        <v>18</v>
      </c>
      <c r="E324" s="11" t="s">
        <v>312</v>
      </c>
      <c r="F324" s="11" t="s">
        <v>20</v>
      </c>
      <c r="G324" s="13">
        <v>50.4</v>
      </c>
      <c r="H324" s="14">
        <v>0</v>
      </c>
      <c r="I324" s="14">
        <v>1</v>
      </c>
      <c r="J324" s="14">
        <f>SUMIF(ENTRADAS!B:B,A:A,ENTRADAS!F:F)</f>
        <v>1</v>
      </c>
      <c r="K324" s="14">
        <f>SUMIF(SAÍDAS!B:B,A:A,SAÍDAS!F:F)</f>
        <v>0</v>
      </c>
      <c r="L324" s="14">
        <f t="shared" si="24"/>
        <v>1</v>
      </c>
      <c r="M324" s="13">
        <f>'SALDO ATUAL'!$G324*'SALDO ATUAL'!$I324</f>
        <v>50.4</v>
      </c>
      <c r="N324" s="13">
        <f>'SALDO ATUAL'!$G324*'SALDO ATUAL'!$L324</f>
        <v>50.4</v>
      </c>
      <c r="O324" s="14" t="str">
        <f t="shared" si="25"/>
        <v>OK</v>
      </c>
      <c r="P324" s="15">
        <f t="shared" si="26"/>
        <v>0</v>
      </c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4" customHeight="1">
      <c r="A325" s="21" t="s">
        <v>466</v>
      </c>
      <c r="B325" s="11"/>
      <c r="C325" s="20" t="s">
        <v>467</v>
      </c>
      <c r="D325" s="11" t="s">
        <v>18</v>
      </c>
      <c r="E325" s="11" t="s">
        <v>312</v>
      </c>
      <c r="F325" s="11" t="s">
        <v>20</v>
      </c>
      <c r="G325" s="13">
        <v>95.13</v>
      </c>
      <c r="H325" s="14">
        <v>0</v>
      </c>
      <c r="I325" s="14">
        <v>1</v>
      </c>
      <c r="J325" s="14">
        <f>SUMIF(ENTRADAS!B:B,A:A,ENTRADAS!F:F)</f>
        <v>1</v>
      </c>
      <c r="K325" s="14">
        <f>SUMIF(SAÍDAS!B:B,A:A,SAÍDAS!F:F)</f>
        <v>0</v>
      </c>
      <c r="L325" s="14">
        <f t="shared" si="24"/>
        <v>1</v>
      </c>
      <c r="M325" s="13">
        <f>'SALDO ATUAL'!$G325*'SALDO ATUAL'!$I325</f>
        <v>95.13</v>
      </c>
      <c r="N325" s="13">
        <f>'SALDO ATUAL'!$G325*'SALDO ATUAL'!$L325</f>
        <v>95.13</v>
      </c>
      <c r="O325" s="14" t="str">
        <f t="shared" si="25"/>
        <v>OK</v>
      </c>
      <c r="P325" s="15">
        <f t="shared" si="26"/>
        <v>0</v>
      </c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4" customHeight="1">
      <c r="A326" s="21" t="s">
        <v>468</v>
      </c>
      <c r="B326" s="11"/>
      <c r="C326" s="20" t="s">
        <v>469</v>
      </c>
      <c r="D326" s="11" t="s">
        <v>388</v>
      </c>
      <c r="E326" s="11" t="s">
        <v>312</v>
      </c>
      <c r="F326" s="11" t="s">
        <v>470</v>
      </c>
      <c r="G326" s="13">
        <v>0</v>
      </c>
      <c r="H326" s="14">
        <v>0</v>
      </c>
      <c r="I326" s="14">
        <v>1</v>
      </c>
      <c r="J326" s="14">
        <f>SUMIF(ENTRADAS!B:B,A:A,ENTRADAS!F:F)</f>
        <v>1</v>
      </c>
      <c r="K326" s="14">
        <f>SUMIF(SAÍDAS!B:B,A:A,SAÍDAS!F:F)</f>
        <v>0</v>
      </c>
      <c r="L326" s="14">
        <f t="shared" si="24"/>
        <v>1</v>
      </c>
      <c r="M326" s="13">
        <f>'SALDO ATUAL'!$G326*'SALDO ATUAL'!$I326</f>
        <v>0</v>
      </c>
      <c r="N326" s="13">
        <f>'SALDO ATUAL'!$G326*'SALDO ATUAL'!$L326</f>
        <v>0</v>
      </c>
      <c r="O326" s="14" t="str">
        <f t="shared" si="25"/>
        <v>OK</v>
      </c>
      <c r="P326" s="15">
        <f t="shared" si="26"/>
        <v>0</v>
      </c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4" customHeight="1">
      <c r="A327" s="21" t="s">
        <v>471</v>
      </c>
      <c r="B327" s="11"/>
      <c r="C327" s="20" t="s">
        <v>472</v>
      </c>
      <c r="D327" s="11" t="s">
        <v>388</v>
      </c>
      <c r="E327" s="11" t="s">
        <v>312</v>
      </c>
      <c r="F327" s="11" t="s">
        <v>470</v>
      </c>
      <c r="G327" s="13">
        <v>0</v>
      </c>
      <c r="H327" s="14">
        <v>0</v>
      </c>
      <c r="I327" s="14">
        <v>1</v>
      </c>
      <c r="J327" s="14">
        <f>SUMIF(ENTRADAS!B:B,A:A,ENTRADAS!F:F)</f>
        <v>1</v>
      </c>
      <c r="K327" s="14">
        <f>SUMIF(SAÍDAS!B:B,A:A,SAÍDAS!F:F)</f>
        <v>0</v>
      </c>
      <c r="L327" s="14">
        <f t="shared" si="24"/>
        <v>1</v>
      </c>
      <c r="M327" s="13">
        <f>'SALDO ATUAL'!$G327*'SALDO ATUAL'!$I327</f>
        <v>0</v>
      </c>
      <c r="N327" s="13">
        <f>'SALDO ATUAL'!$G327*'SALDO ATUAL'!$L327</f>
        <v>0</v>
      </c>
      <c r="O327" s="14" t="str">
        <f t="shared" si="25"/>
        <v>OK</v>
      </c>
      <c r="P327" s="15">
        <f t="shared" si="26"/>
        <v>0</v>
      </c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4" customHeight="1">
      <c r="A328" s="21" t="s">
        <v>473</v>
      </c>
      <c r="B328" s="11"/>
      <c r="C328" s="20" t="s">
        <v>474</v>
      </c>
      <c r="D328" s="11" t="s">
        <v>388</v>
      </c>
      <c r="E328" s="11" t="s">
        <v>312</v>
      </c>
      <c r="F328" s="11" t="s">
        <v>470</v>
      </c>
      <c r="G328" s="13">
        <v>0</v>
      </c>
      <c r="H328" s="14">
        <v>0</v>
      </c>
      <c r="I328" s="14">
        <v>1</v>
      </c>
      <c r="J328" s="14">
        <f>SUMIF(ENTRADAS!B:B,A:A,ENTRADAS!F:F)</f>
        <v>1</v>
      </c>
      <c r="K328" s="14">
        <f>SUMIF(SAÍDAS!B:B,A:A,SAÍDAS!F:F)</f>
        <v>0</v>
      </c>
      <c r="L328" s="14">
        <f t="shared" si="24"/>
        <v>1</v>
      </c>
      <c r="M328" s="13">
        <f>'SALDO ATUAL'!$G328*'SALDO ATUAL'!$I328</f>
        <v>0</v>
      </c>
      <c r="N328" s="13">
        <f>'SALDO ATUAL'!$G328*'SALDO ATUAL'!$L328</f>
        <v>0</v>
      </c>
      <c r="O328" s="14" t="str">
        <f t="shared" si="25"/>
        <v>OK</v>
      </c>
      <c r="P328" s="15">
        <f t="shared" si="26"/>
        <v>0</v>
      </c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4" customHeight="1">
      <c r="A329" s="21" t="s">
        <v>475</v>
      </c>
      <c r="B329" s="11"/>
      <c r="C329" s="20" t="s">
        <v>476</v>
      </c>
      <c r="D329" s="11" t="s">
        <v>388</v>
      </c>
      <c r="E329" s="11" t="s">
        <v>312</v>
      </c>
      <c r="F329" s="11" t="s">
        <v>470</v>
      </c>
      <c r="G329" s="13">
        <v>0</v>
      </c>
      <c r="H329" s="14">
        <v>0</v>
      </c>
      <c r="I329" s="14">
        <v>1</v>
      </c>
      <c r="J329" s="14">
        <f>SUMIF(ENTRADAS!B:B,A:A,ENTRADAS!F:F)</f>
        <v>1</v>
      </c>
      <c r="K329" s="14">
        <f>SUMIF(SAÍDAS!B:B,A:A,SAÍDAS!F:F)</f>
        <v>0</v>
      </c>
      <c r="L329" s="14">
        <f t="shared" si="24"/>
        <v>1</v>
      </c>
      <c r="M329" s="13">
        <f>'SALDO ATUAL'!$G329*'SALDO ATUAL'!$I329</f>
        <v>0</v>
      </c>
      <c r="N329" s="13">
        <f>'SALDO ATUAL'!$G329*'SALDO ATUAL'!$L329</f>
        <v>0</v>
      </c>
      <c r="O329" s="14" t="str">
        <f t="shared" si="25"/>
        <v>OK</v>
      </c>
      <c r="P329" s="15">
        <f t="shared" si="26"/>
        <v>0</v>
      </c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4" customHeight="1">
      <c r="A330" s="21" t="s">
        <v>477</v>
      </c>
      <c r="B330" s="11"/>
      <c r="C330" s="20" t="s">
        <v>478</v>
      </c>
      <c r="D330" s="11" t="s">
        <v>388</v>
      </c>
      <c r="E330" s="11" t="s">
        <v>479</v>
      </c>
      <c r="F330" s="11" t="s">
        <v>470</v>
      </c>
      <c r="G330" s="13">
        <v>0</v>
      </c>
      <c r="H330" s="14">
        <v>0</v>
      </c>
      <c r="I330" s="14">
        <v>1</v>
      </c>
      <c r="J330" s="14">
        <f>SUMIF(ENTRADAS!B:B,A:A,ENTRADAS!F:F)</f>
        <v>1</v>
      </c>
      <c r="K330" s="14">
        <f>SUMIF(SAÍDAS!B:B,A:A,SAÍDAS!F:F)</f>
        <v>0</v>
      </c>
      <c r="L330" s="14">
        <f t="shared" si="24"/>
        <v>1</v>
      </c>
      <c r="M330" s="13">
        <f>'SALDO ATUAL'!$G330*'SALDO ATUAL'!$I330</f>
        <v>0</v>
      </c>
      <c r="N330" s="13">
        <f>'SALDO ATUAL'!$G330*'SALDO ATUAL'!$L330</f>
        <v>0</v>
      </c>
      <c r="O330" s="14" t="str">
        <f t="shared" si="25"/>
        <v>OK</v>
      </c>
      <c r="P330" s="15">
        <f t="shared" si="26"/>
        <v>0</v>
      </c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4" customHeight="1">
      <c r="A331" s="21" t="s">
        <v>480</v>
      </c>
      <c r="B331" s="11"/>
      <c r="C331" s="20" t="s">
        <v>481</v>
      </c>
      <c r="D331" s="11" t="s">
        <v>388</v>
      </c>
      <c r="E331" s="11" t="s">
        <v>312</v>
      </c>
      <c r="F331" s="11" t="s">
        <v>470</v>
      </c>
      <c r="G331" s="13">
        <v>0</v>
      </c>
      <c r="H331" s="14">
        <v>0</v>
      </c>
      <c r="I331" s="14">
        <v>1</v>
      </c>
      <c r="J331" s="14">
        <f>SUMIF(ENTRADAS!B:B,A:A,ENTRADAS!F:F)</f>
        <v>1</v>
      </c>
      <c r="K331" s="14">
        <f>SUMIF(SAÍDAS!B:B,A:A,SAÍDAS!F:F)</f>
        <v>0</v>
      </c>
      <c r="L331" s="14">
        <f t="shared" si="24"/>
        <v>1</v>
      </c>
      <c r="M331" s="13">
        <f>'SALDO ATUAL'!$G331*'SALDO ATUAL'!$I331</f>
        <v>0</v>
      </c>
      <c r="N331" s="13">
        <f>'SALDO ATUAL'!$G331*'SALDO ATUAL'!$L331</f>
        <v>0</v>
      </c>
      <c r="O331" s="14" t="str">
        <f t="shared" si="25"/>
        <v>OK</v>
      </c>
      <c r="P331" s="15">
        <f t="shared" si="26"/>
        <v>0</v>
      </c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4" customHeight="1">
      <c r="A332" s="21" t="s">
        <v>482</v>
      </c>
      <c r="B332" s="11"/>
      <c r="C332" s="20" t="s">
        <v>483</v>
      </c>
      <c r="D332" s="11" t="s">
        <v>388</v>
      </c>
      <c r="E332" s="11" t="s">
        <v>312</v>
      </c>
      <c r="F332" s="11" t="s">
        <v>470</v>
      </c>
      <c r="G332" s="13">
        <v>0</v>
      </c>
      <c r="H332" s="14">
        <v>0</v>
      </c>
      <c r="I332" s="14">
        <v>1</v>
      </c>
      <c r="J332" s="14">
        <f>SUMIF(ENTRADAS!B:B,A:A,ENTRADAS!F:F)</f>
        <v>1</v>
      </c>
      <c r="K332" s="14">
        <f>SUMIF(SAÍDAS!B:B,A:A,SAÍDAS!F:F)</f>
        <v>0</v>
      </c>
      <c r="L332" s="14">
        <f t="shared" si="24"/>
        <v>1</v>
      </c>
      <c r="M332" s="13">
        <f>'SALDO ATUAL'!$G332*'SALDO ATUAL'!$I332</f>
        <v>0</v>
      </c>
      <c r="N332" s="13">
        <f>'SALDO ATUAL'!$G332*'SALDO ATUAL'!$L332</f>
        <v>0</v>
      </c>
      <c r="O332" s="14" t="str">
        <f t="shared" si="25"/>
        <v>OK</v>
      </c>
      <c r="P332" s="15">
        <f t="shared" si="26"/>
        <v>0</v>
      </c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4" customHeight="1">
      <c r="A333" s="21" t="s">
        <v>484</v>
      </c>
      <c r="B333" s="11"/>
      <c r="C333" s="20" t="s">
        <v>485</v>
      </c>
      <c r="D333" s="11" t="s">
        <v>388</v>
      </c>
      <c r="E333" s="11" t="s">
        <v>312</v>
      </c>
      <c r="F333" s="11" t="s">
        <v>470</v>
      </c>
      <c r="G333" s="13">
        <v>0</v>
      </c>
      <c r="H333" s="14">
        <v>0</v>
      </c>
      <c r="I333" s="14">
        <v>1</v>
      </c>
      <c r="J333" s="14">
        <f>SUMIF(ENTRADAS!B:B,A:A,ENTRADAS!F:F)</f>
        <v>1</v>
      </c>
      <c r="K333" s="14">
        <f>SUMIF(SAÍDAS!B:B,A:A,SAÍDAS!F:F)</f>
        <v>0</v>
      </c>
      <c r="L333" s="14">
        <f t="shared" si="24"/>
        <v>1</v>
      </c>
      <c r="M333" s="13">
        <f>'SALDO ATUAL'!$G333*'SALDO ATUAL'!$I333</f>
        <v>0</v>
      </c>
      <c r="N333" s="13">
        <f>'SALDO ATUAL'!$G333*'SALDO ATUAL'!$L333</f>
        <v>0</v>
      </c>
      <c r="O333" s="14" t="str">
        <f t="shared" si="25"/>
        <v>OK</v>
      </c>
      <c r="P333" s="15">
        <f t="shared" si="26"/>
        <v>0</v>
      </c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4" customHeight="1">
      <c r="A334" s="19">
        <v>407</v>
      </c>
      <c r="B334" s="11"/>
      <c r="C334" s="20" t="s">
        <v>486</v>
      </c>
      <c r="D334" s="11" t="s">
        <v>388</v>
      </c>
      <c r="E334" s="11" t="s">
        <v>312</v>
      </c>
      <c r="F334" s="11" t="s">
        <v>470</v>
      </c>
      <c r="G334" s="13">
        <v>0</v>
      </c>
      <c r="H334" s="14">
        <v>0</v>
      </c>
      <c r="I334" s="14">
        <v>1</v>
      </c>
      <c r="J334" s="14">
        <f>SUMIF(ENTRADAS!B:B,A:A,ENTRADAS!F:F)</f>
        <v>1</v>
      </c>
      <c r="K334" s="14">
        <f>SUMIF(SAÍDAS!B:B,A:A,SAÍDAS!F:F)</f>
        <v>0</v>
      </c>
      <c r="L334" s="14">
        <f t="shared" si="24"/>
        <v>1</v>
      </c>
      <c r="M334" s="13">
        <f>'SALDO ATUAL'!$G334*'SALDO ATUAL'!$I334</f>
        <v>0</v>
      </c>
      <c r="N334" s="13">
        <f>'SALDO ATUAL'!$G334*'SALDO ATUAL'!$L334</f>
        <v>0</v>
      </c>
      <c r="O334" s="14" t="str">
        <f t="shared" si="25"/>
        <v>OK</v>
      </c>
      <c r="P334" s="15">
        <f t="shared" si="26"/>
        <v>0</v>
      </c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4" customHeight="1">
      <c r="A335" s="19">
        <v>408</v>
      </c>
      <c r="B335" s="11"/>
      <c r="C335" s="20" t="s">
        <v>487</v>
      </c>
      <c r="D335" s="11" t="s">
        <v>388</v>
      </c>
      <c r="E335" s="11" t="s">
        <v>312</v>
      </c>
      <c r="F335" s="11" t="s">
        <v>470</v>
      </c>
      <c r="G335" s="13">
        <v>0</v>
      </c>
      <c r="H335" s="14">
        <v>0</v>
      </c>
      <c r="I335" s="14">
        <v>1</v>
      </c>
      <c r="J335" s="14">
        <f>SUMIF(ENTRADAS!B:B,A:A,ENTRADAS!F:F)</f>
        <v>1</v>
      </c>
      <c r="K335" s="14">
        <f>SUMIF(SAÍDAS!B:B,A:A,SAÍDAS!F:F)</f>
        <v>0</v>
      </c>
      <c r="L335" s="14">
        <f t="shared" si="24"/>
        <v>1</v>
      </c>
      <c r="M335" s="13">
        <f>'SALDO ATUAL'!$G335*'SALDO ATUAL'!$I335</f>
        <v>0</v>
      </c>
      <c r="N335" s="13">
        <f>'SALDO ATUAL'!$G335*'SALDO ATUAL'!$L335</f>
        <v>0</v>
      </c>
      <c r="O335" s="14" t="str">
        <f t="shared" si="25"/>
        <v>OK</v>
      </c>
      <c r="P335" s="15">
        <f t="shared" si="26"/>
        <v>0</v>
      </c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4" customHeight="1">
      <c r="A336" s="19">
        <v>409</v>
      </c>
      <c r="B336" s="11"/>
      <c r="C336" s="20" t="s">
        <v>488</v>
      </c>
      <c r="D336" s="11" t="s">
        <v>388</v>
      </c>
      <c r="E336" s="11" t="s">
        <v>312</v>
      </c>
      <c r="F336" s="11" t="s">
        <v>470</v>
      </c>
      <c r="G336" s="13">
        <v>0</v>
      </c>
      <c r="H336" s="14">
        <v>0</v>
      </c>
      <c r="I336" s="14">
        <v>1</v>
      </c>
      <c r="J336" s="14">
        <f>SUMIF(ENTRADAS!B:B,A:A,ENTRADAS!F:F)</f>
        <v>1</v>
      </c>
      <c r="K336" s="14">
        <f>SUMIF(SAÍDAS!B:B,A:A,SAÍDAS!F:F)</f>
        <v>0</v>
      </c>
      <c r="L336" s="14">
        <f t="shared" si="24"/>
        <v>1</v>
      </c>
      <c r="M336" s="13">
        <f>'SALDO ATUAL'!$G336*'SALDO ATUAL'!$I336</f>
        <v>0</v>
      </c>
      <c r="N336" s="13">
        <f>'SALDO ATUAL'!$G336*'SALDO ATUAL'!$L336</f>
        <v>0</v>
      </c>
      <c r="O336" s="14" t="str">
        <f t="shared" si="25"/>
        <v>OK</v>
      </c>
      <c r="P336" s="15">
        <f t="shared" si="26"/>
        <v>0</v>
      </c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4" customHeight="1">
      <c r="A337" s="19">
        <v>410</v>
      </c>
      <c r="B337" s="11"/>
      <c r="C337" s="20" t="s">
        <v>489</v>
      </c>
      <c r="D337" s="11" t="s">
        <v>23</v>
      </c>
      <c r="E337" s="11" t="s">
        <v>479</v>
      </c>
      <c r="F337" s="11" t="s">
        <v>490</v>
      </c>
      <c r="G337" s="13">
        <v>0</v>
      </c>
      <c r="H337" s="14">
        <v>0</v>
      </c>
      <c r="I337" s="14">
        <v>1</v>
      </c>
      <c r="J337" s="14">
        <f>SUMIF(ENTRADAS!B:B,A:A,ENTRADAS!F:F)</f>
        <v>3</v>
      </c>
      <c r="K337" s="14">
        <f>SUMIF(SAÍDAS!B:B,A:A,SAÍDAS!F:F)</f>
        <v>0</v>
      </c>
      <c r="L337" s="14">
        <f t="shared" si="24"/>
        <v>3</v>
      </c>
      <c r="M337" s="13">
        <f>'SALDO ATUAL'!$G337*'SALDO ATUAL'!$I337</f>
        <v>0</v>
      </c>
      <c r="N337" s="13">
        <f>'SALDO ATUAL'!$G337*'SALDO ATUAL'!$L337</f>
        <v>0</v>
      </c>
      <c r="O337" s="14" t="str">
        <f t="shared" si="25"/>
        <v>OK</v>
      </c>
      <c r="P337" s="15">
        <f t="shared" si="26"/>
        <v>0</v>
      </c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4" customHeight="1">
      <c r="A338" s="19">
        <v>411</v>
      </c>
      <c r="B338" s="11"/>
      <c r="C338" s="20" t="s">
        <v>491</v>
      </c>
      <c r="D338" s="11" t="s">
        <v>388</v>
      </c>
      <c r="E338" s="11" t="s">
        <v>45</v>
      </c>
      <c r="F338" s="11" t="s">
        <v>492</v>
      </c>
      <c r="G338" s="13">
        <v>15.14</v>
      </c>
      <c r="H338" s="14">
        <v>0</v>
      </c>
      <c r="I338" s="14">
        <v>1</v>
      </c>
      <c r="J338" s="14">
        <f>SUMIF(ENTRADAS!B:B,A:A,ENTRADAS!F:F)</f>
        <v>2</v>
      </c>
      <c r="K338" s="14">
        <f>SUMIF(SAÍDAS!B:B,A:A,SAÍDAS!F:F)</f>
        <v>1</v>
      </c>
      <c r="L338" s="14">
        <f t="shared" si="24"/>
        <v>1</v>
      </c>
      <c r="M338" s="13">
        <f>'SALDO ATUAL'!$G338*'SALDO ATUAL'!$I338</f>
        <v>15.14</v>
      </c>
      <c r="N338" s="13">
        <f>'SALDO ATUAL'!$G338*'SALDO ATUAL'!$L338</f>
        <v>15.14</v>
      </c>
      <c r="O338" s="14" t="str">
        <f t="shared" si="25"/>
        <v>OK</v>
      </c>
      <c r="P338" s="15">
        <f t="shared" si="26"/>
        <v>0</v>
      </c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4" customHeight="1">
      <c r="A339" s="19">
        <v>412</v>
      </c>
      <c r="B339" s="11"/>
      <c r="C339" s="20" t="s">
        <v>493</v>
      </c>
      <c r="D339" s="11" t="s">
        <v>23</v>
      </c>
      <c r="E339" s="11" t="s">
        <v>479</v>
      </c>
      <c r="F339" s="11" t="s">
        <v>494</v>
      </c>
      <c r="G339" s="13">
        <v>57.79</v>
      </c>
      <c r="H339" s="14">
        <v>0</v>
      </c>
      <c r="I339" s="14">
        <v>1</v>
      </c>
      <c r="J339" s="14">
        <f>SUMIF(ENTRADAS!B:B,A:A,ENTRADAS!F:F)</f>
        <v>1</v>
      </c>
      <c r="K339" s="14">
        <f>SUMIF(SAÍDAS!B:B,A:A,SAÍDAS!F:F)</f>
        <v>0</v>
      </c>
      <c r="L339" s="14">
        <f t="shared" si="24"/>
        <v>1</v>
      </c>
      <c r="M339" s="13">
        <f>'SALDO ATUAL'!$G339*'SALDO ATUAL'!$I339</f>
        <v>57.79</v>
      </c>
      <c r="N339" s="13">
        <f>'SALDO ATUAL'!$G339*'SALDO ATUAL'!$L339</f>
        <v>57.79</v>
      </c>
      <c r="O339" s="14" t="str">
        <f t="shared" si="25"/>
        <v>OK</v>
      </c>
      <c r="P339" s="15">
        <f t="shared" si="26"/>
        <v>0</v>
      </c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4" customHeight="1">
      <c r="A340" s="19">
        <v>413</v>
      </c>
      <c r="B340" s="11"/>
      <c r="C340" s="20" t="s">
        <v>495</v>
      </c>
      <c r="D340" s="11" t="s">
        <v>30</v>
      </c>
      <c r="E340" s="11" t="s">
        <v>312</v>
      </c>
      <c r="F340" s="11" t="s">
        <v>496</v>
      </c>
      <c r="G340" s="13">
        <v>59.95</v>
      </c>
      <c r="H340" s="14">
        <v>0</v>
      </c>
      <c r="I340" s="14">
        <v>1</v>
      </c>
      <c r="J340" s="14">
        <f>SUMIF(ENTRADAS!B:B,A:A,ENTRADAS!F:F)</f>
        <v>100</v>
      </c>
      <c r="K340" s="14">
        <f>SUMIF(SAÍDAS!B:B,A:A,SAÍDAS!F:F)</f>
        <v>0</v>
      </c>
      <c r="L340" s="14">
        <f t="shared" si="24"/>
        <v>100</v>
      </c>
      <c r="M340" s="13">
        <f>'SALDO ATUAL'!$G340*'SALDO ATUAL'!$I340</f>
        <v>59.95</v>
      </c>
      <c r="N340" s="13">
        <f>'SALDO ATUAL'!$G340*'SALDO ATUAL'!$L340</f>
        <v>5995</v>
      </c>
      <c r="O340" s="14" t="str">
        <f t="shared" si="25"/>
        <v>OK</v>
      </c>
      <c r="P340" s="15">
        <f t="shared" si="26"/>
        <v>0</v>
      </c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4" customHeight="1">
      <c r="A341" s="19">
        <v>414</v>
      </c>
      <c r="B341" s="11"/>
      <c r="C341" s="20" t="s">
        <v>497</v>
      </c>
      <c r="D341" s="11" t="s">
        <v>30</v>
      </c>
      <c r="E341" s="11" t="s">
        <v>312</v>
      </c>
      <c r="F341" s="11" t="s">
        <v>48</v>
      </c>
      <c r="G341" s="13">
        <v>50.25</v>
      </c>
      <c r="H341" s="14">
        <v>0</v>
      </c>
      <c r="I341" s="14">
        <v>1</v>
      </c>
      <c r="J341" s="14">
        <f>SUMIF(ENTRADAS!B:B,A:A,ENTRADAS!F:F)</f>
        <v>100</v>
      </c>
      <c r="K341" s="14">
        <f>SUMIF(SAÍDAS!B:B,A:A,SAÍDAS!F:F)</f>
        <v>0</v>
      </c>
      <c r="L341" s="14">
        <f t="shared" si="24"/>
        <v>100</v>
      </c>
      <c r="M341" s="13">
        <f>'SALDO ATUAL'!$G341*'SALDO ATUAL'!$I341</f>
        <v>50.25</v>
      </c>
      <c r="N341" s="13">
        <f>'SALDO ATUAL'!$G341*'SALDO ATUAL'!$L341</f>
        <v>5025</v>
      </c>
      <c r="O341" s="14" t="str">
        <f t="shared" si="25"/>
        <v>OK</v>
      </c>
      <c r="P341" s="15">
        <f t="shared" si="26"/>
        <v>0</v>
      </c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4" customHeight="1">
      <c r="A342" s="19">
        <v>415</v>
      </c>
      <c r="B342" s="11"/>
      <c r="C342" s="20" t="s">
        <v>498</v>
      </c>
      <c r="D342" s="11" t="s">
        <v>388</v>
      </c>
      <c r="E342" s="11" t="s">
        <v>312</v>
      </c>
      <c r="F342" s="11" t="s">
        <v>133</v>
      </c>
      <c r="G342" s="13">
        <v>208.28</v>
      </c>
      <c r="H342" s="14">
        <v>0</v>
      </c>
      <c r="I342" s="14">
        <v>1</v>
      </c>
      <c r="J342" s="14">
        <f>SUMIF(ENTRADAS!B:B,A:A,ENTRADAS!F:F)</f>
        <v>1</v>
      </c>
      <c r="K342" s="14">
        <f>SUMIF(SAÍDAS!B:B,A:A,SAÍDAS!F:F)</f>
        <v>0</v>
      </c>
      <c r="L342" s="14">
        <f t="shared" si="24"/>
        <v>1</v>
      </c>
      <c r="M342" s="13">
        <f>'SALDO ATUAL'!$G342*'SALDO ATUAL'!$I342</f>
        <v>208.28</v>
      </c>
      <c r="N342" s="13">
        <f>'SALDO ATUAL'!$G342*'SALDO ATUAL'!$L342</f>
        <v>208.28</v>
      </c>
      <c r="O342" s="14" t="str">
        <f t="shared" si="25"/>
        <v>OK</v>
      </c>
      <c r="P342" s="15">
        <f t="shared" si="26"/>
        <v>0</v>
      </c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4" customHeight="1">
      <c r="A343" s="19">
        <v>416</v>
      </c>
      <c r="B343" s="11"/>
      <c r="C343" s="20" t="s">
        <v>499</v>
      </c>
      <c r="D343" s="11" t="s">
        <v>26</v>
      </c>
      <c r="E343" s="11" t="s">
        <v>146</v>
      </c>
      <c r="F343" s="11" t="s">
        <v>133</v>
      </c>
      <c r="G343" s="13">
        <v>0</v>
      </c>
      <c r="H343" s="14">
        <v>0</v>
      </c>
      <c r="I343" s="14">
        <v>1</v>
      </c>
      <c r="J343" s="14">
        <f>SUMIF(ENTRADAS!B:B,A:A,ENTRADAS!F:F)</f>
        <v>1</v>
      </c>
      <c r="K343" s="14">
        <f>SUMIF(SAÍDAS!B:B,A:A,SAÍDAS!F:F)</f>
        <v>1</v>
      </c>
      <c r="L343" s="14">
        <f t="shared" si="24"/>
        <v>0</v>
      </c>
      <c r="M343" s="13">
        <f>'SALDO ATUAL'!$G343*'SALDO ATUAL'!$I343</f>
        <v>0</v>
      </c>
      <c r="N343" s="13">
        <f>'SALDO ATUAL'!$G343*'SALDO ATUAL'!$L343</f>
        <v>0</v>
      </c>
      <c r="O343" s="14" t="str">
        <f t="shared" si="25"/>
        <v>COMPRAR</v>
      </c>
      <c r="P343" s="15">
        <f t="shared" si="26"/>
        <v>1</v>
      </c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4" customHeight="1">
      <c r="A344" s="19">
        <v>417</v>
      </c>
      <c r="B344" s="11"/>
      <c r="C344" s="20" t="s">
        <v>500</v>
      </c>
      <c r="D344" s="11" t="s">
        <v>30</v>
      </c>
      <c r="E344" s="11" t="s">
        <v>312</v>
      </c>
      <c r="F344" s="11" t="s">
        <v>501</v>
      </c>
      <c r="G344" s="13"/>
      <c r="H344" s="14">
        <v>0</v>
      </c>
      <c r="I344" s="14">
        <v>1</v>
      </c>
      <c r="J344" s="14">
        <f>SUMIF(ENTRADAS!B:B,A:A,ENTRADAS!F:F)</f>
        <v>1</v>
      </c>
      <c r="K344" s="14">
        <f>SUMIF(SAÍDAS!B:B,A:A,SAÍDAS!F:F)</f>
        <v>0</v>
      </c>
      <c r="L344" s="14">
        <f t="shared" si="24"/>
        <v>1</v>
      </c>
      <c r="M344" s="13">
        <f>'SALDO ATUAL'!$G344*'SALDO ATUAL'!$I344</f>
        <v>0</v>
      </c>
      <c r="N344" s="13">
        <f>'SALDO ATUAL'!$G344*'SALDO ATUAL'!$L344</f>
        <v>0</v>
      </c>
      <c r="O344" s="14" t="str">
        <f t="shared" si="25"/>
        <v>OK</v>
      </c>
      <c r="P344" s="15">
        <f t="shared" si="26"/>
        <v>0</v>
      </c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4" customHeight="1">
      <c r="A345" s="19">
        <v>418</v>
      </c>
      <c r="B345" s="11"/>
      <c r="C345" s="20" t="s">
        <v>502</v>
      </c>
      <c r="D345" s="11" t="s">
        <v>30</v>
      </c>
      <c r="E345" s="11" t="s">
        <v>312</v>
      </c>
      <c r="F345" s="11" t="s">
        <v>501</v>
      </c>
      <c r="G345" s="13"/>
      <c r="H345" s="14">
        <v>0</v>
      </c>
      <c r="I345" s="14">
        <v>1</v>
      </c>
      <c r="J345" s="14">
        <f>SUMIF(ENTRADAS!B:B,A:A,ENTRADAS!F:F)</f>
        <v>1</v>
      </c>
      <c r="K345" s="14">
        <f>SUMIF(SAÍDAS!B:B,A:A,SAÍDAS!F:F)</f>
        <v>0</v>
      </c>
      <c r="L345" s="14">
        <f t="shared" si="24"/>
        <v>1</v>
      </c>
      <c r="M345" s="13">
        <f>'SALDO ATUAL'!$G345*'SALDO ATUAL'!$I345</f>
        <v>0</v>
      </c>
      <c r="N345" s="13">
        <f>'SALDO ATUAL'!$G345*'SALDO ATUAL'!$L345</f>
        <v>0</v>
      </c>
      <c r="O345" s="14" t="str">
        <f t="shared" si="25"/>
        <v>OK</v>
      </c>
      <c r="P345" s="15">
        <f t="shared" si="26"/>
        <v>0</v>
      </c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4" customHeight="1">
      <c r="A346" s="19">
        <v>419</v>
      </c>
      <c r="B346" s="11"/>
      <c r="C346" s="20" t="s">
        <v>503</v>
      </c>
      <c r="D346" s="11" t="s">
        <v>30</v>
      </c>
      <c r="E346" s="11" t="s">
        <v>312</v>
      </c>
      <c r="F346" s="11" t="s">
        <v>504</v>
      </c>
      <c r="G346" s="13"/>
      <c r="H346" s="14">
        <v>0</v>
      </c>
      <c r="I346" s="14">
        <v>1</v>
      </c>
      <c r="J346" s="14">
        <f>SUMIF(ENTRADAS!B:B,A:A,ENTRADAS!F:F)</f>
        <v>1</v>
      </c>
      <c r="K346" s="14">
        <f>SUMIF(SAÍDAS!B:B,A:A,SAÍDAS!F:F)</f>
        <v>0</v>
      </c>
      <c r="L346" s="14">
        <f t="shared" si="24"/>
        <v>1</v>
      </c>
      <c r="M346" s="13">
        <f>'SALDO ATUAL'!$G346*'SALDO ATUAL'!$I346</f>
        <v>0</v>
      </c>
      <c r="N346" s="13">
        <f>'SALDO ATUAL'!$G346*'SALDO ATUAL'!$L346</f>
        <v>0</v>
      </c>
      <c r="O346" s="14" t="str">
        <f t="shared" si="25"/>
        <v>OK</v>
      </c>
      <c r="P346" s="15">
        <f t="shared" si="26"/>
        <v>0</v>
      </c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4" customHeight="1">
      <c r="A347" s="19">
        <v>420</v>
      </c>
      <c r="B347" s="11"/>
      <c r="C347" s="20" t="s">
        <v>505</v>
      </c>
      <c r="D347" s="11" t="s">
        <v>30</v>
      </c>
      <c r="E347" s="11" t="s">
        <v>312</v>
      </c>
      <c r="F347" s="11" t="s">
        <v>504</v>
      </c>
      <c r="G347" s="13"/>
      <c r="H347" s="14">
        <v>0</v>
      </c>
      <c r="I347" s="14">
        <v>1</v>
      </c>
      <c r="J347" s="14">
        <f>SUMIF(ENTRADAS!B:B,A:A,ENTRADAS!F:F)</f>
        <v>1</v>
      </c>
      <c r="K347" s="14">
        <f>SUMIF(SAÍDAS!B:B,A:A,SAÍDAS!F:F)</f>
        <v>0</v>
      </c>
      <c r="L347" s="14">
        <f t="shared" si="24"/>
        <v>1</v>
      </c>
      <c r="M347" s="13">
        <f>'SALDO ATUAL'!$G347*'SALDO ATUAL'!$I347</f>
        <v>0</v>
      </c>
      <c r="N347" s="13">
        <f>'SALDO ATUAL'!$G347*'SALDO ATUAL'!$L347</f>
        <v>0</v>
      </c>
      <c r="O347" s="14" t="str">
        <f t="shared" si="25"/>
        <v>OK</v>
      </c>
      <c r="P347" s="15">
        <f t="shared" si="26"/>
        <v>0</v>
      </c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4" customHeight="1">
      <c r="A348" s="19">
        <v>421</v>
      </c>
      <c r="B348" s="11"/>
      <c r="C348" s="20" t="s">
        <v>506</v>
      </c>
      <c r="D348" s="11" t="s">
        <v>30</v>
      </c>
      <c r="E348" s="11" t="s">
        <v>312</v>
      </c>
      <c r="F348" s="11" t="s">
        <v>504</v>
      </c>
      <c r="G348" s="13"/>
      <c r="H348" s="14">
        <v>0</v>
      </c>
      <c r="I348" s="14">
        <v>1</v>
      </c>
      <c r="J348" s="14">
        <f>SUMIF(ENTRADAS!B:B,A:A,ENTRADAS!F:F)</f>
        <v>1</v>
      </c>
      <c r="K348" s="14">
        <f>SUMIF(SAÍDAS!B:B,A:A,SAÍDAS!F:F)</f>
        <v>0</v>
      </c>
      <c r="L348" s="14">
        <f t="shared" si="24"/>
        <v>1</v>
      </c>
      <c r="M348" s="13">
        <f>'SALDO ATUAL'!$G348*'SALDO ATUAL'!$I348</f>
        <v>0</v>
      </c>
      <c r="N348" s="13">
        <f>'SALDO ATUAL'!$G348*'SALDO ATUAL'!$L348</f>
        <v>0</v>
      </c>
      <c r="O348" s="14" t="str">
        <f t="shared" si="25"/>
        <v>OK</v>
      </c>
      <c r="P348" s="15">
        <f t="shared" si="26"/>
        <v>0</v>
      </c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4" customHeight="1">
      <c r="A349" s="19">
        <v>422</v>
      </c>
      <c r="B349" s="11"/>
      <c r="C349" s="20" t="s">
        <v>507</v>
      </c>
      <c r="D349" s="11" t="s">
        <v>30</v>
      </c>
      <c r="E349" s="11" t="s">
        <v>312</v>
      </c>
      <c r="F349" s="11" t="s">
        <v>504</v>
      </c>
      <c r="G349" s="13"/>
      <c r="H349" s="14">
        <v>0</v>
      </c>
      <c r="I349" s="14">
        <v>1</v>
      </c>
      <c r="J349" s="14">
        <f>SUMIF(ENTRADAS!B:B,A:A,ENTRADAS!F:F)</f>
        <v>1</v>
      </c>
      <c r="K349" s="14">
        <f>SUMIF(SAÍDAS!B:B,A:A,SAÍDAS!F:F)</f>
        <v>0</v>
      </c>
      <c r="L349" s="14">
        <f t="shared" si="24"/>
        <v>1</v>
      </c>
      <c r="M349" s="13">
        <f>'SALDO ATUAL'!$G349*'SALDO ATUAL'!$I349</f>
        <v>0</v>
      </c>
      <c r="N349" s="13">
        <f>'SALDO ATUAL'!$G349*'SALDO ATUAL'!$L349</f>
        <v>0</v>
      </c>
      <c r="O349" s="14" t="str">
        <f t="shared" si="25"/>
        <v>OK</v>
      </c>
      <c r="P349" s="15">
        <f t="shared" si="26"/>
        <v>0</v>
      </c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4" customHeight="1">
      <c r="A350" s="19">
        <v>423</v>
      </c>
      <c r="B350" s="11"/>
      <c r="C350" s="20" t="s">
        <v>508</v>
      </c>
      <c r="D350" s="11" t="s">
        <v>30</v>
      </c>
      <c r="E350" s="11" t="s">
        <v>312</v>
      </c>
      <c r="F350" s="11" t="s">
        <v>509</v>
      </c>
      <c r="G350" s="13"/>
      <c r="H350" s="14">
        <v>0</v>
      </c>
      <c r="I350" s="14">
        <v>1</v>
      </c>
      <c r="J350" s="14">
        <f>SUMIF(ENTRADAS!B:B,A:A,ENTRADAS!F:F)</f>
        <v>1</v>
      </c>
      <c r="K350" s="14">
        <f>SUMIF(SAÍDAS!B:B,A:A,SAÍDAS!F:F)</f>
        <v>0</v>
      </c>
      <c r="L350" s="14">
        <f t="shared" si="24"/>
        <v>1</v>
      </c>
      <c r="M350" s="13">
        <f>'SALDO ATUAL'!$G350*'SALDO ATUAL'!$I350</f>
        <v>0</v>
      </c>
      <c r="N350" s="13">
        <f>'SALDO ATUAL'!$G350*'SALDO ATUAL'!$L350</f>
        <v>0</v>
      </c>
      <c r="O350" s="14" t="str">
        <f t="shared" si="25"/>
        <v>OK</v>
      </c>
      <c r="P350" s="15">
        <f t="shared" si="26"/>
        <v>0</v>
      </c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4" customHeight="1">
      <c r="A351" s="19">
        <v>424</v>
      </c>
      <c r="B351" s="11"/>
      <c r="C351" s="20" t="s">
        <v>510</v>
      </c>
      <c r="D351" s="11" t="s">
        <v>30</v>
      </c>
      <c r="E351" s="11" t="s">
        <v>312</v>
      </c>
      <c r="F351" s="11" t="s">
        <v>509</v>
      </c>
      <c r="G351" s="13"/>
      <c r="H351" s="14">
        <v>0</v>
      </c>
      <c r="I351" s="14">
        <v>1</v>
      </c>
      <c r="J351" s="14">
        <f>SUMIF(ENTRADAS!B:B,A:A,ENTRADAS!F:F)</f>
        <v>1</v>
      </c>
      <c r="K351" s="14">
        <f>SUMIF(SAÍDAS!B:B,A:A,SAÍDAS!F:F)</f>
        <v>0</v>
      </c>
      <c r="L351" s="14">
        <f t="shared" si="24"/>
        <v>1</v>
      </c>
      <c r="M351" s="13">
        <f>'SALDO ATUAL'!$G351*'SALDO ATUAL'!$I351</f>
        <v>0</v>
      </c>
      <c r="N351" s="13">
        <f>'SALDO ATUAL'!$G351*'SALDO ATUAL'!$L351</f>
        <v>0</v>
      </c>
      <c r="O351" s="14" t="str">
        <f t="shared" si="25"/>
        <v>OK</v>
      </c>
      <c r="P351" s="15">
        <f t="shared" si="26"/>
        <v>0</v>
      </c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4" customHeight="1">
      <c r="A352" s="19">
        <v>425</v>
      </c>
      <c r="B352" s="11"/>
      <c r="C352" s="20" t="s">
        <v>511</v>
      </c>
      <c r="D352" s="11" t="s">
        <v>512</v>
      </c>
      <c r="E352" s="11" t="s">
        <v>312</v>
      </c>
      <c r="F352" s="11" t="s">
        <v>513</v>
      </c>
      <c r="G352" s="13">
        <v>26.35</v>
      </c>
      <c r="H352" s="14">
        <v>1</v>
      </c>
      <c r="I352" s="14">
        <v>1</v>
      </c>
      <c r="J352" s="14">
        <f>SUMIF(ENTRADAS!B:B,A:A,ENTRADAS!F:F)</f>
        <v>0</v>
      </c>
      <c r="K352" s="14">
        <f>SUMIF(SAÍDAS!B:B,A:A,SAÍDAS!F:F)</f>
        <v>0</v>
      </c>
      <c r="L352" s="14">
        <f t="shared" si="24"/>
        <v>1</v>
      </c>
      <c r="M352" s="13">
        <f>'SALDO ATUAL'!$G352*'SALDO ATUAL'!$I352</f>
        <v>26.35</v>
      </c>
      <c r="N352" s="13">
        <f>'SALDO ATUAL'!$G352*'SALDO ATUAL'!$L352</f>
        <v>26.35</v>
      </c>
      <c r="O352" s="14" t="str">
        <f t="shared" si="25"/>
        <v>OK</v>
      </c>
      <c r="P352" s="15">
        <f t="shared" si="26"/>
        <v>0</v>
      </c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4" customHeight="1">
      <c r="A353" s="19">
        <v>426</v>
      </c>
      <c r="B353" s="11"/>
      <c r="C353" s="20" t="s">
        <v>514</v>
      </c>
      <c r="D353" s="11" t="s">
        <v>512</v>
      </c>
      <c r="E353" s="11" t="s">
        <v>312</v>
      </c>
      <c r="F353" s="11" t="s">
        <v>515</v>
      </c>
      <c r="G353" s="13">
        <v>22.9</v>
      </c>
      <c r="H353" s="14">
        <v>1</v>
      </c>
      <c r="I353" s="14">
        <v>1</v>
      </c>
      <c r="J353" s="14">
        <f>SUMIF(ENTRADAS!B:B,A:A,ENTRADAS!F:F)</f>
        <v>0</v>
      </c>
      <c r="K353" s="14">
        <f>SUMIF(SAÍDAS!B:B,A:A,SAÍDAS!F:F)</f>
        <v>0</v>
      </c>
      <c r="L353" s="14">
        <f t="shared" si="24"/>
        <v>1</v>
      </c>
      <c r="M353" s="13">
        <f>'SALDO ATUAL'!$G353*'SALDO ATUAL'!$I353</f>
        <v>22.9</v>
      </c>
      <c r="N353" s="13">
        <f>'SALDO ATUAL'!$G353*'SALDO ATUAL'!$L353</f>
        <v>22.9</v>
      </c>
      <c r="O353" s="14" t="str">
        <f t="shared" si="25"/>
        <v>OK</v>
      </c>
      <c r="P353" s="15">
        <f t="shared" si="26"/>
        <v>0</v>
      </c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4" customHeight="1">
      <c r="A354" s="19">
        <v>427</v>
      </c>
      <c r="B354" s="11"/>
      <c r="C354" s="20" t="s">
        <v>516</v>
      </c>
      <c r="D354" s="11" t="s">
        <v>512</v>
      </c>
      <c r="E354" s="11" t="s">
        <v>312</v>
      </c>
      <c r="F354" s="11" t="s">
        <v>517</v>
      </c>
      <c r="G354" s="13">
        <v>34.9</v>
      </c>
      <c r="H354" s="14">
        <v>1</v>
      </c>
      <c r="I354" s="14">
        <v>1</v>
      </c>
      <c r="J354" s="14">
        <f>SUMIF(ENTRADAS!B:B,A:A,ENTRADAS!F:F)</f>
        <v>0</v>
      </c>
      <c r="K354" s="14">
        <f>SUMIF(SAÍDAS!B:B,A:A,SAÍDAS!F:F)</f>
        <v>0</v>
      </c>
      <c r="L354" s="14">
        <f t="shared" si="24"/>
        <v>1</v>
      </c>
      <c r="M354" s="13">
        <f>'SALDO ATUAL'!$G354*'SALDO ATUAL'!$I354</f>
        <v>34.9</v>
      </c>
      <c r="N354" s="13">
        <f>'SALDO ATUAL'!$G354*'SALDO ATUAL'!$L354</f>
        <v>34.9</v>
      </c>
      <c r="O354" s="14" t="str">
        <f t="shared" si="25"/>
        <v>OK</v>
      </c>
      <c r="P354" s="15">
        <f t="shared" si="26"/>
        <v>0</v>
      </c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4" customHeight="1">
      <c r="A355" s="19">
        <v>428</v>
      </c>
      <c r="B355" s="11"/>
      <c r="C355" s="20" t="s">
        <v>518</v>
      </c>
      <c r="D355" s="11" t="s">
        <v>512</v>
      </c>
      <c r="E355" s="11" t="s">
        <v>312</v>
      </c>
      <c r="F355" s="11" t="s">
        <v>519</v>
      </c>
      <c r="G355" s="13">
        <v>38.97</v>
      </c>
      <c r="H355" s="14">
        <v>1</v>
      </c>
      <c r="I355" s="14">
        <v>1</v>
      </c>
      <c r="J355" s="14">
        <f>SUMIF(ENTRADAS!B:B,A:A,ENTRADAS!F:F)</f>
        <v>0</v>
      </c>
      <c r="K355" s="14">
        <f>SUMIF(SAÍDAS!B:B,A:A,SAÍDAS!F:F)</f>
        <v>0</v>
      </c>
      <c r="L355" s="14">
        <f t="shared" si="24"/>
        <v>1</v>
      </c>
      <c r="M355" s="13">
        <f>'SALDO ATUAL'!$G355*'SALDO ATUAL'!$I355</f>
        <v>38.97</v>
      </c>
      <c r="N355" s="13">
        <f>'SALDO ATUAL'!$G355*'SALDO ATUAL'!$L355</f>
        <v>38.97</v>
      </c>
      <c r="O355" s="14" t="str">
        <f t="shared" si="25"/>
        <v>OK</v>
      </c>
      <c r="P355" s="15">
        <f t="shared" si="26"/>
        <v>0</v>
      </c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4" customHeight="1">
      <c r="A356" s="19">
        <v>429</v>
      </c>
      <c r="B356" s="11"/>
      <c r="C356" s="20" t="s">
        <v>520</v>
      </c>
      <c r="D356" s="11" t="s">
        <v>521</v>
      </c>
      <c r="E356" s="11" t="s">
        <v>312</v>
      </c>
      <c r="F356" s="11" t="s">
        <v>522</v>
      </c>
      <c r="G356" s="13">
        <v>14.45</v>
      </c>
      <c r="H356" s="14">
        <v>1</v>
      </c>
      <c r="I356" s="14">
        <v>1</v>
      </c>
      <c r="J356" s="14">
        <f>SUMIF(ENTRADAS!B:B,A:A,ENTRADAS!F:F)</f>
        <v>0</v>
      </c>
      <c r="K356" s="14">
        <f>SUMIF(SAÍDAS!B:B,A:A,SAÍDAS!F:F)</f>
        <v>0</v>
      </c>
      <c r="L356" s="14">
        <f t="shared" si="24"/>
        <v>1</v>
      </c>
      <c r="M356" s="13">
        <f>'SALDO ATUAL'!$G356*'SALDO ATUAL'!$I356</f>
        <v>14.45</v>
      </c>
      <c r="N356" s="13">
        <f>'SALDO ATUAL'!$G356*'SALDO ATUAL'!$L356</f>
        <v>14.45</v>
      </c>
      <c r="O356" s="14" t="str">
        <f t="shared" si="25"/>
        <v>OK</v>
      </c>
      <c r="P356" s="15">
        <f t="shared" si="26"/>
        <v>0</v>
      </c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4" customHeight="1">
      <c r="A357" s="19">
        <v>430</v>
      </c>
      <c r="B357" s="11"/>
      <c r="C357" s="20" t="s">
        <v>523</v>
      </c>
      <c r="D357" s="11" t="s">
        <v>30</v>
      </c>
      <c r="E357" s="11" t="s">
        <v>312</v>
      </c>
      <c r="F357" s="11" t="s">
        <v>524</v>
      </c>
      <c r="G357" s="13">
        <v>14.14</v>
      </c>
      <c r="H357" s="14">
        <v>6</v>
      </c>
      <c r="I357" s="14">
        <v>1</v>
      </c>
      <c r="J357" s="14">
        <v>0</v>
      </c>
      <c r="K357" s="14">
        <f>SUMIF(SAÍDAS!B:B,A:A,SAÍDAS!F:F)</f>
        <v>0</v>
      </c>
      <c r="L357" s="14">
        <f t="shared" si="24"/>
        <v>6</v>
      </c>
      <c r="M357" s="13">
        <f>'SALDO ATUAL'!$G357*'SALDO ATUAL'!$I357</f>
        <v>14.14</v>
      </c>
      <c r="N357" s="13">
        <f>'SALDO ATUAL'!$G357*'SALDO ATUAL'!$L357</f>
        <v>84.84</v>
      </c>
      <c r="O357" s="14" t="str">
        <f t="shared" si="25"/>
        <v>OK</v>
      </c>
      <c r="P357" s="15">
        <f t="shared" si="26"/>
        <v>0</v>
      </c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4" customHeight="1">
      <c r="A358" s="19">
        <v>431</v>
      </c>
      <c r="B358" s="11"/>
      <c r="C358" s="20" t="s">
        <v>525</v>
      </c>
      <c r="D358" s="11" t="s">
        <v>30</v>
      </c>
      <c r="E358" s="11" t="s">
        <v>312</v>
      </c>
      <c r="F358" s="11" t="s">
        <v>526</v>
      </c>
      <c r="G358" s="13">
        <v>1.64</v>
      </c>
      <c r="H358" s="14">
        <v>30</v>
      </c>
      <c r="I358" s="14">
        <v>1</v>
      </c>
      <c r="J358" s="14">
        <f>SUMIF(ENTRADAS!B:B,A:A,ENTRADAS!F:F)</f>
        <v>0</v>
      </c>
      <c r="K358" s="14">
        <f>SUMIF(SAÍDAS!B:B,A:A,SAÍDAS!F:F)</f>
        <v>0</v>
      </c>
      <c r="L358" s="14">
        <f t="shared" si="24"/>
        <v>30</v>
      </c>
      <c r="M358" s="13">
        <f>'SALDO ATUAL'!$G358*'SALDO ATUAL'!$I358</f>
        <v>1.64</v>
      </c>
      <c r="N358" s="13">
        <f>'SALDO ATUAL'!$G358*'SALDO ATUAL'!$L358</f>
        <v>49.199999999999996</v>
      </c>
      <c r="O358" s="14" t="str">
        <f t="shared" si="25"/>
        <v>OK</v>
      </c>
      <c r="P358" s="15">
        <f t="shared" si="26"/>
        <v>0</v>
      </c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4" customHeight="1">
      <c r="A359" s="19">
        <v>432</v>
      </c>
      <c r="B359" s="11"/>
      <c r="C359" s="20" t="s">
        <v>527</v>
      </c>
      <c r="D359" s="11" t="s">
        <v>528</v>
      </c>
      <c r="E359" s="11" t="s">
        <v>312</v>
      </c>
      <c r="F359" s="11" t="s">
        <v>529</v>
      </c>
      <c r="G359" s="13">
        <v>1449.69</v>
      </c>
      <c r="H359" s="14">
        <v>1</v>
      </c>
      <c r="I359" s="14">
        <v>1</v>
      </c>
      <c r="J359" s="14">
        <f>SUMIF(ENTRADAS!B:B,A:A,ENTRADAS!F:F)</f>
        <v>0</v>
      </c>
      <c r="K359" s="14">
        <f>SUMIF(SAÍDAS!B:B,A:A,SAÍDAS!F:F)</f>
        <v>0</v>
      </c>
      <c r="L359" s="14">
        <f t="shared" si="24"/>
        <v>1</v>
      </c>
      <c r="M359" s="13">
        <f>'SALDO ATUAL'!$G359*'SALDO ATUAL'!$I359</f>
        <v>1449.69</v>
      </c>
      <c r="N359" s="13">
        <f>'SALDO ATUAL'!$G359*'SALDO ATUAL'!$L359</f>
        <v>1449.69</v>
      </c>
      <c r="O359" s="14" t="str">
        <f t="shared" si="25"/>
        <v>OK</v>
      </c>
      <c r="P359" s="15">
        <f t="shared" si="26"/>
        <v>0</v>
      </c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4" customHeight="1">
      <c r="A360" s="19">
        <v>433</v>
      </c>
      <c r="B360" s="11"/>
      <c r="C360" s="20" t="s">
        <v>530</v>
      </c>
      <c r="D360" s="11" t="s">
        <v>528</v>
      </c>
      <c r="E360" s="11" t="s">
        <v>312</v>
      </c>
      <c r="F360" s="11" t="s">
        <v>531</v>
      </c>
      <c r="G360" s="13"/>
      <c r="H360" s="14">
        <v>0</v>
      </c>
      <c r="I360" s="14">
        <v>1</v>
      </c>
      <c r="J360" s="14">
        <f>SUMIF(ENTRADAS!B:B,A:A,ENTRADAS!F:F)</f>
        <v>1</v>
      </c>
      <c r="K360" s="14">
        <f>SUMIF(SAÍDAS!B:B,A:A,SAÍDAS!F:F)</f>
        <v>0</v>
      </c>
      <c r="L360" s="14">
        <f t="shared" si="24"/>
        <v>1</v>
      </c>
      <c r="M360" s="13">
        <f>'SALDO ATUAL'!$G360*'SALDO ATUAL'!$I360</f>
        <v>0</v>
      </c>
      <c r="N360" s="13">
        <f>'SALDO ATUAL'!$G360*'SALDO ATUAL'!$L360</f>
        <v>0</v>
      </c>
      <c r="O360" s="14" t="str">
        <f t="shared" si="25"/>
        <v>OK</v>
      </c>
      <c r="P360" s="15">
        <f t="shared" si="26"/>
        <v>0</v>
      </c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4" customHeight="1">
      <c r="A361" s="19">
        <v>434</v>
      </c>
      <c r="B361" s="11"/>
      <c r="C361" s="20" t="s">
        <v>532</v>
      </c>
      <c r="D361" s="11" t="s">
        <v>30</v>
      </c>
      <c r="E361" s="11" t="s">
        <v>312</v>
      </c>
      <c r="F361" s="11" t="s">
        <v>531</v>
      </c>
      <c r="G361" s="13"/>
      <c r="H361" s="14">
        <v>0</v>
      </c>
      <c r="I361" s="14">
        <v>1</v>
      </c>
      <c r="J361" s="14">
        <f>SUMIF(ENTRADAS!B:B,A:A,ENTRADAS!F:F)</f>
        <v>10</v>
      </c>
      <c r="K361" s="14">
        <f>SUMIF(SAÍDAS!B:B,A:A,SAÍDAS!F:F)</f>
        <v>0</v>
      </c>
      <c r="L361" s="14">
        <f t="shared" si="24"/>
        <v>10</v>
      </c>
      <c r="M361" s="13">
        <f>'SALDO ATUAL'!$G361*'SALDO ATUAL'!$I361</f>
        <v>0</v>
      </c>
      <c r="N361" s="13">
        <f>'SALDO ATUAL'!$G361*'SALDO ATUAL'!$L361</f>
        <v>0</v>
      </c>
      <c r="O361" s="14" t="str">
        <f t="shared" si="25"/>
        <v>OK</v>
      </c>
      <c r="P361" s="15">
        <f t="shared" si="26"/>
        <v>0</v>
      </c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4" customHeight="1">
      <c r="A362" s="19">
        <v>435</v>
      </c>
      <c r="B362" s="11"/>
      <c r="C362" s="20" t="s">
        <v>533</v>
      </c>
      <c r="D362" s="11" t="s">
        <v>30</v>
      </c>
      <c r="E362" s="11" t="s">
        <v>312</v>
      </c>
      <c r="F362" s="11" t="s">
        <v>135</v>
      </c>
      <c r="G362" s="13"/>
      <c r="H362" s="14">
        <v>0</v>
      </c>
      <c r="I362" s="14">
        <v>1</v>
      </c>
      <c r="J362" s="14">
        <f>SUMIF(ENTRADAS!B:B,A:A,ENTRADAS!F:F)</f>
        <v>1</v>
      </c>
      <c r="K362" s="14">
        <f>SUMIF(SAÍDAS!B:B,A:A,SAÍDAS!F:F)</f>
        <v>0</v>
      </c>
      <c r="L362" s="14">
        <f t="shared" si="24"/>
        <v>1</v>
      </c>
      <c r="M362" s="13">
        <f>'SALDO ATUAL'!$G362*'SALDO ATUAL'!$I362</f>
        <v>0</v>
      </c>
      <c r="N362" s="13">
        <f>'SALDO ATUAL'!$G362*'SALDO ATUAL'!$L362</f>
        <v>0</v>
      </c>
      <c r="O362" s="14" t="str">
        <f t="shared" si="25"/>
        <v>OK</v>
      </c>
      <c r="P362" s="15">
        <f t="shared" si="26"/>
        <v>0</v>
      </c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4" customHeight="1">
      <c r="A363" s="19">
        <v>436</v>
      </c>
      <c r="B363" s="11"/>
      <c r="C363" s="20" t="s">
        <v>534</v>
      </c>
      <c r="D363" s="11" t="s">
        <v>528</v>
      </c>
      <c r="E363" s="11" t="s">
        <v>312</v>
      </c>
      <c r="F363" s="11" t="s">
        <v>501</v>
      </c>
      <c r="G363" s="13"/>
      <c r="H363" s="14">
        <v>0</v>
      </c>
      <c r="I363" s="14">
        <v>1</v>
      </c>
      <c r="J363" s="14">
        <f>SUMIF(ENTRADAS!B:B,A:A,ENTRADAS!F:F)</f>
        <v>1</v>
      </c>
      <c r="K363" s="14">
        <f>SUMIF(SAÍDAS!B:B,A:A,SAÍDAS!F:F)</f>
        <v>0</v>
      </c>
      <c r="L363" s="14">
        <f t="shared" si="24"/>
        <v>1</v>
      </c>
      <c r="M363" s="13">
        <f>'SALDO ATUAL'!$G363*'SALDO ATUAL'!$I363</f>
        <v>0</v>
      </c>
      <c r="N363" s="13">
        <f>'SALDO ATUAL'!$G363*'SALDO ATUAL'!$L363</f>
        <v>0</v>
      </c>
      <c r="O363" s="14" t="str">
        <f t="shared" si="25"/>
        <v>OK</v>
      </c>
      <c r="P363" s="15">
        <f t="shared" si="26"/>
        <v>0</v>
      </c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4" customHeight="1">
      <c r="A364" s="19">
        <v>437</v>
      </c>
      <c r="B364" s="11"/>
      <c r="C364" s="20" t="s">
        <v>535</v>
      </c>
      <c r="D364" s="11" t="s">
        <v>528</v>
      </c>
      <c r="E364" s="11" t="s">
        <v>312</v>
      </c>
      <c r="F364" s="11" t="s">
        <v>536</v>
      </c>
      <c r="G364" s="13"/>
      <c r="H364" s="14">
        <v>0</v>
      </c>
      <c r="I364" s="14">
        <v>1</v>
      </c>
      <c r="J364" s="14">
        <f>SUMIF(ENTRADAS!B:B,A:A,ENTRADAS!F:F)</f>
        <v>0</v>
      </c>
      <c r="K364" s="14">
        <f>SUMIF(SAÍDAS!B:B,A:A,SAÍDAS!F:F)</f>
        <v>0</v>
      </c>
      <c r="L364" s="14">
        <f t="shared" si="24"/>
        <v>0</v>
      </c>
      <c r="M364" s="13">
        <f>'SALDO ATUAL'!$G364*'SALDO ATUAL'!$I364</f>
        <v>0</v>
      </c>
      <c r="N364" s="13">
        <f>'SALDO ATUAL'!$G364*'SALDO ATUAL'!$L364</f>
        <v>0</v>
      </c>
      <c r="O364" s="14" t="str">
        <f t="shared" si="25"/>
        <v>COMPRAR</v>
      </c>
      <c r="P364" s="15">
        <f t="shared" si="26"/>
        <v>1</v>
      </c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4" customHeight="1">
      <c r="A365" s="19">
        <v>438</v>
      </c>
      <c r="B365" s="11"/>
      <c r="C365" s="20" t="s">
        <v>537</v>
      </c>
      <c r="D365" s="11" t="s">
        <v>528</v>
      </c>
      <c r="E365" s="11" t="s">
        <v>312</v>
      </c>
      <c r="F365" s="11" t="s">
        <v>536</v>
      </c>
      <c r="G365" s="13"/>
      <c r="H365" s="14">
        <v>0</v>
      </c>
      <c r="I365" s="14">
        <v>1</v>
      </c>
      <c r="J365" s="14">
        <f>SUMIF(ENTRADAS!B:B,A:A,ENTRADAS!F:F)</f>
        <v>1</v>
      </c>
      <c r="K365" s="14">
        <f>SUMIF(SAÍDAS!B:B,A:A,SAÍDAS!F:F)</f>
        <v>0</v>
      </c>
      <c r="L365" s="14">
        <f t="shared" si="24"/>
        <v>1</v>
      </c>
      <c r="M365" s="13">
        <f>'SALDO ATUAL'!$G365*'SALDO ATUAL'!$I365</f>
        <v>0</v>
      </c>
      <c r="N365" s="13">
        <f>'SALDO ATUAL'!$G365*'SALDO ATUAL'!$L365</f>
        <v>0</v>
      </c>
      <c r="O365" s="14" t="str">
        <f t="shared" si="25"/>
        <v>OK</v>
      </c>
      <c r="P365" s="15">
        <f t="shared" si="26"/>
        <v>0</v>
      </c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4" customHeight="1">
      <c r="A366" s="19">
        <v>439</v>
      </c>
      <c r="B366" s="11"/>
      <c r="C366" s="20" t="s">
        <v>538</v>
      </c>
      <c r="D366" s="11" t="s">
        <v>30</v>
      </c>
      <c r="E366" s="11" t="s">
        <v>312</v>
      </c>
      <c r="F366" s="11" t="s">
        <v>40</v>
      </c>
      <c r="G366" s="13"/>
      <c r="H366" s="14">
        <v>0</v>
      </c>
      <c r="I366" s="14">
        <v>1</v>
      </c>
      <c r="J366" s="14">
        <f>SUMIF(ENTRADAS!B:B,A:A,ENTRADAS!F:F)</f>
        <v>5</v>
      </c>
      <c r="K366" s="14">
        <f>SUMIF(SAÍDAS!B:B,A:A,SAÍDAS!F:F)</f>
        <v>0</v>
      </c>
      <c r="L366" s="14">
        <f t="shared" si="24"/>
        <v>5</v>
      </c>
      <c r="M366" s="13">
        <f>'SALDO ATUAL'!$G366*'SALDO ATUAL'!$I366</f>
        <v>0</v>
      </c>
      <c r="N366" s="13">
        <f>'SALDO ATUAL'!$G366*'SALDO ATUAL'!$L366</f>
        <v>0</v>
      </c>
      <c r="O366" s="14" t="str">
        <f t="shared" si="25"/>
        <v>OK</v>
      </c>
      <c r="P366" s="15">
        <f t="shared" si="26"/>
        <v>0</v>
      </c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4" customHeight="1">
      <c r="A367" s="19">
        <v>440</v>
      </c>
      <c r="B367" s="11"/>
      <c r="C367" s="20" t="s">
        <v>539</v>
      </c>
      <c r="D367" s="11" t="s">
        <v>30</v>
      </c>
      <c r="E367" s="11" t="s">
        <v>312</v>
      </c>
      <c r="F367" s="11" t="s">
        <v>540</v>
      </c>
      <c r="G367" s="13"/>
      <c r="H367" s="14">
        <v>0</v>
      </c>
      <c r="I367" s="14">
        <v>1</v>
      </c>
      <c r="J367" s="14">
        <f>SUMIF(ENTRADAS!B:B,A:A,ENTRADAS!F:F)</f>
        <v>0</v>
      </c>
      <c r="K367" s="14">
        <f>SUMIF(SAÍDAS!B:B,A:A,SAÍDAS!F:F)</f>
        <v>0</v>
      </c>
      <c r="L367" s="14">
        <f t="shared" si="24"/>
        <v>0</v>
      </c>
      <c r="M367" s="13">
        <f>'SALDO ATUAL'!$G367*'SALDO ATUAL'!$I367</f>
        <v>0</v>
      </c>
      <c r="N367" s="13">
        <f>'SALDO ATUAL'!$G367*'SALDO ATUAL'!$L367</f>
        <v>0</v>
      </c>
      <c r="O367" s="14" t="str">
        <f t="shared" si="25"/>
        <v>COMPRAR</v>
      </c>
      <c r="P367" s="15">
        <f t="shared" si="26"/>
        <v>1</v>
      </c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4" customHeight="1">
      <c r="A368" s="19">
        <v>441</v>
      </c>
      <c r="B368" s="11"/>
      <c r="C368" s="20" t="s">
        <v>541</v>
      </c>
      <c r="D368" s="11" t="s">
        <v>30</v>
      </c>
      <c r="E368" s="11" t="s">
        <v>312</v>
      </c>
      <c r="F368" s="11" t="s">
        <v>40</v>
      </c>
      <c r="G368" s="13"/>
      <c r="H368" s="14">
        <v>0</v>
      </c>
      <c r="I368" s="14">
        <v>1</v>
      </c>
      <c r="J368" s="14">
        <f>SUMIF(ENTRADAS!B:B,A:A,ENTRADAS!F:F)</f>
        <v>2</v>
      </c>
      <c r="K368" s="14">
        <f>SUMIF(SAÍDAS!B:B,A:A,SAÍDAS!F:F)</f>
        <v>0</v>
      </c>
      <c r="L368" s="14">
        <f t="shared" si="24"/>
        <v>2</v>
      </c>
      <c r="M368" s="13">
        <f>'SALDO ATUAL'!$G368*'SALDO ATUAL'!$I368</f>
        <v>0</v>
      </c>
      <c r="N368" s="13">
        <f>'SALDO ATUAL'!$G368*'SALDO ATUAL'!$L368</f>
        <v>0</v>
      </c>
      <c r="O368" s="14"/>
      <c r="P368" s="15">
        <f t="shared" si="26"/>
        <v>0</v>
      </c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4" customHeight="1">
      <c r="A369" s="19">
        <v>442</v>
      </c>
      <c r="B369" s="11"/>
      <c r="C369" s="20" t="s">
        <v>542</v>
      </c>
      <c r="D369" s="11" t="s">
        <v>30</v>
      </c>
      <c r="E369" s="11" t="s">
        <v>312</v>
      </c>
      <c r="F369" s="11" t="s">
        <v>40</v>
      </c>
      <c r="G369" s="13"/>
      <c r="H369" s="14">
        <v>0</v>
      </c>
      <c r="I369" s="14">
        <v>1</v>
      </c>
      <c r="J369" s="14">
        <f>SUMIF(ENTRADAS!B:B,A:A,ENTRADAS!F:F)</f>
        <v>2</v>
      </c>
      <c r="K369" s="14">
        <f>SUMIF(SAÍDAS!B:B,A:A,SAÍDAS!F:F)</f>
        <v>0</v>
      </c>
      <c r="L369" s="14">
        <f t="shared" si="24"/>
        <v>2</v>
      </c>
      <c r="M369" s="13">
        <f>'SALDO ATUAL'!$G369*'SALDO ATUAL'!$I369</f>
        <v>0</v>
      </c>
      <c r="N369" s="13">
        <f>'SALDO ATUAL'!$G369*'SALDO ATUAL'!$L369</f>
        <v>0</v>
      </c>
      <c r="O369" s="14"/>
      <c r="P369" s="15">
        <f t="shared" si="26"/>
        <v>0</v>
      </c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4" customHeight="1">
      <c r="A370" s="19">
        <v>443</v>
      </c>
      <c r="B370" s="11"/>
      <c r="C370" s="20" t="s">
        <v>543</v>
      </c>
      <c r="D370" s="11" t="s">
        <v>30</v>
      </c>
      <c r="E370" s="11" t="s">
        <v>312</v>
      </c>
      <c r="F370" s="11" t="s">
        <v>544</v>
      </c>
      <c r="G370" s="13"/>
      <c r="H370" s="14">
        <v>0</v>
      </c>
      <c r="I370" s="14">
        <v>1</v>
      </c>
      <c r="J370" s="14">
        <f>SUMIF(ENTRADAS!B:B,A:A,ENTRADAS!F:F)</f>
        <v>2</v>
      </c>
      <c r="K370" s="14">
        <f>SUMIF(SAÍDAS!B:B,A:A,SAÍDAS!F:F)</f>
        <v>0</v>
      </c>
      <c r="L370" s="14">
        <f t="shared" si="24"/>
        <v>2</v>
      </c>
      <c r="M370" s="13">
        <f>'SALDO ATUAL'!$G370*'SALDO ATUAL'!$I370</f>
        <v>0</v>
      </c>
      <c r="N370" s="13">
        <f>'SALDO ATUAL'!$G370*'SALDO ATUAL'!$L370</f>
        <v>0</v>
      </c>
      <c r="O370" s="14"/>
      <c r="P370" s="15">
        <f t="shared" si="26"/>
        <v>0</v>
      </c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4" customHeight="1">
      <c r="A371" s="19">
        <v>444</v>
      </c>
      <c r="B371" s="11"/>
      <c r="C371" s="20" t="s">
        <v>545</v>
      </c>
      <c r="D371" s="11" t="s">
        <v>546</v>
      </c>
      <c r="E371" s="11" t="s">
        <v>312</v>
      </c>
      <c r="F371" s="11" t="s">
        <v>439</v>
      </c>
      <c r="G371" s="13">
        <v>699</v>
      </c>
      <c r="H371" s="14">
        <v>2</v>
      </c>
      <c r="I371" s="14">
        <v>1</v>
      </c>
      <c r="J371" s="14">
        <f>SUMIF(ENTRADAS!B:B,A:A,ENTRADAS!F:F)</f>
        <v>0</v>
      </c>
      <c r="K371" s="14">
        <f>SUMIF(SAÍDAS!B:B,A:A,SAÍDAS!F:F)</f>
        <v>0</v>
      </c>
      <c r="L371" s="14">
        <f t="shared" si="24"/>
        <v>2</v>
      </c>
      <c r="M371" s="13">
        <f>'SALDO ATUAL'!$G371*'SALDO ATUAL'!$I371</f>
        <v>699</v>
      </c>
      <c r="N371" s="13">
        <f>'SALDO ATUAL'!$G371*'SALDO ATUAL'!$L371</f>
        <v>1398</v>
      </c>
      <c r="O371" s="14" t="s">
        <v>547</v>
      </c>
      <c r="P371" s="15">
        <f t="shared" si="26"/>
        <v>0</v>
      </c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4" customHeight="1">
      <c r="A372" s="19">
        <v>445</v>
      </c>
      <c r="B372" s="11"/>
      <c r="C372" s="20" t="s">
        <v>548</v>
      </c>
      <c r="D372" s="11" t="s">
        <v>26</v>
      </c>
      <c r="E372" s="11" t="s">
        <v>312</v>
      </c>
      <c r="F372" s="11" t="s">
        <v>549</v>
      </c>
      <c r="G372" s="13"/>
      <c r="H372" s="14">
        <v>0</v>
      </c>
      <c r="I372" s="14">
        <v>1</v>
      </c>
      <c r="J372" s="14">
        <f>SUMIF(ENTRADAS!B:B,A:A,ENTRADAS!F:F)</f>
        <v>5</v>
      </c>
      <c r="K372" s="14">
        <f>SUMIF(SAÍDAS!B:B,A:A,SAÍDAS!F:F)</f>
        <v>0</v>
      </c>
      <c r="L372" s="14">
        <f t="shared" si="24"/>
        <v>5</v>
      </c>
      <c r="M372" s="13">
        <f>'SALDO ATUAL'!$G372*'SALDO ATUAL'!$I372</f>
        <v>0</v>
      </c>
      <c r="N372" s="13">
        <f>'SALDO ATUAL'!$G372*'SALDO ATUAL'!$L372</f>
        <v>0</v>
      </c>
      <c r="O372" s="14"/>
      <c r="P372" s="15">
        <f t="shared" si="26"/>
        <v>0</v>
      </c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4" customHeight="1">
      <c r="A373" s="19">
        <v>446</v>
      </c>
      <c r="B373" s="11"/>
      <c r="C373" s="20" t="s">
        <v>550</v>
      </c>
      <c r="D373" s="11" t="s">
        <v>26</v>
      </c>
      <c r="E373" s="11" t="s">
        <v>312</v>
      </c>
      <c r="F373" s="11" t="s">
        <v>549</v>
      </c>
      <c r="G373" s="13"/>
      <c r="H373" s="14">
        <v>2</v>
      </c>
      <c r="I373" s="14">
        <v>1</v>
      </c>
      <c r="J373" s="14">
        <f>SUMIF(ENTRADAS!B:B,A:A,ENTRADAS!F:F)</f>
        <v>4</v>
      </c>
      <c r="K373" s="14">
        <f>SUMIF(SAÍDAS!B:B,A:A,SAÍDAS!F:F)</f>
        <v>0</v>
      </c>
      <c r="L373" s="14">
        <f t="shared" si="24"/>
        <v>6</v>
      </c>
      <c r="M373" s="13">
        <f>'SALDO ATUAL'!$G373*'SALDO ATUAL'!$I373</f>
        <v>0</v>
      </c>
      <c r="N373" s="13">
        <f>'SALDO ATUAL'!$G373*'SALDO ATUAL'!$L373</f>
        <v>0</v>
      </c>
      <c r="O373" s="14"/>
      <c r="P373" s="15">
        <f t="shared" si="26"/>
        <v>0</v>
      </c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4" customHeight="1">
      <c r="A374" s="19">
        <v>447</v>
      </c>
      <c r="B374" s="11"/>
      <c r="C374" s="20" t="s">
        <v>551</v>
      </c>
      <c r="D374" s="11" t="s">
        <v>26</v>
      </c>
      <c r="E374" s="11" t="s">
        <v>312</v>
      </c>
      <c r="F374" s="11" t="s">
        <v>549</v>
      </c>
      <c r="G374" s="13"/>
      <c r="H374" s="14"/>
      <c r="I374" s="14"/>
      <c r="J374" s="14">
        <f>SUMIF(ENTRADAS!B:B,A:A,ENTRADAS!F:F)</f>
        <v>5</v>
      </c>
      <c r="K374" s="14">
        <f>SUMIF(SAÍDAS!B:B,A:A,SAÍDAS!F:F)</f>
        <v>0</v>
      </c>
      <c r="L374" s="14">
        <f t="shared" si="24"/>
        <v>5</v>
      </c>
      <c r="M374" s="13">
        <f>'SALDO ATUAL'!$G374*'SALDO ATUAL'!$I374</f>
        <v>0</v>
      </c>
      <c r="N374" s="13">
        <f>'SALDO ATUAL'!$G374*'SALDO ATUAL'!$L374</f>
        <v>0</v>
      </c>
      <c r="O374" s="14"/>
      <c r="P374" s="15">
        <f t="shared" si="26"/>
        <v>0</v>
      </c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4" customHeight="1">
      <c r="A375" s="19">
        <v>448</v>
      </c>
      <c r="B375" s="11"/>
      <c r="C375" s="20" t="s">
        <v>552</v>
      </c>
      <c r="D375" s="11" t="s">
        <v>26</v>
      </c>
      <c r="E375" s="11" t="s">
        <v>312</v>
      </c>
      <c r="F375" s="11" t="s">
        <v>549</v>
      </c>
      <c r="G375" s="13"/>
      <c r="H375" s="14"/>
      <c r="I375" s="14"/>
      <c r="J375" s="14">
        <f>SUMIF(ENTRADAS!B:B,A:A,ENTRADAS!F:F)</f>
        <v>8</v>
      </c>
      <c r="K375" s="14">
        <f>SUMIF(SAÍDAS!B:B,A:A,SAÍDAS!F:F)</f>
        <v>0</v>
      </c>
      <c r="L375" s="14">
        <f t="shared" si="24"/>
        <v>8</v>
      </c>
      <c r="M375" s="13">
        <f>'SALDO ATUAL'!$G375*'SALDO ATUAL'!$I375</f>
        <v>0</v>
      </c>
      <c r="N375" s="13">
        <f>'SALDO ATUAL'!$G375*'SALDO ATUAL'!$L375</f>
        <v>0</v>
      </c>
      <c r="O375" s="14"/>
      <c r="P375" s="15">
        <f t="shared" si="26"/>
        <v>0</v>
      </c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4" customHeight="1">
      <c r="A376" s="19"/>
      <c r="B376" s="11"/>
      <c r="C376" s="20"/>
      <c r="D376" s="11"/>
      <c r="E376" s="11"/>
      <c r="F376" s="11"/>
      <c r="G376" s="13"/>
      <c r="H376" s="14"/>
      <c r="I376" s="14"/>
      <c r="J376" s="14">
        <f>SUMIF(ENTRADAS!B:B,A:A,ENTRADAS!F:F)</f>
        <v>0</v>
      </c>
      <c r="K376" s="14">
        <f>SUMIF(SAÍDAS!B:B,A:A,SAÍDAS!F:F)</f>
        <v>0</v>
      </c>
      <c r="L376" s="14">
        <f t="shared" si="24"/>
        <v>0</v>
      </c>
      <c r="M376" s="13">
        <f>'SALDO ATUAL'!$G376*'SALDO ATUAL'!$I376</f>
        <v>0</v>
      </c>
      <c r="N376" s="13">
        <f>'SALDO ATUAL'!$G376*'SALDO ATUAL'!$L376</f>
        <v>0</v>
      </c>
      <c r="O376" s="14"/>
      <c r="P376" s="15">
        <f t="shared" si="26"/>
        <v>0</v>
      </c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4" customHeight="1">
      <c r="A377" s="19"/>
      <c r="B377" s="11"/>
      <c r="C377" s="20"/>
      <c r="D377" s="11"/>
      <c r="E377" s="11"/>
      <c r="F377" s="11"/>
      <c r="G377" s="13"/>
      <c r="H377" s="14"/>
      <c r="I377" s="14"/>
      <c r="J377" s="14">
        <f>SUMIF(ENTRADAS!B:B,A:A,ENTRADAS!F:F)</f>
        <v>0</v>
      </c>
      <c r="K377" s="14">
        <f>SUMIF(SAÍDAS!B:B,A:A,SAÍDAS!F:F)</f>
        <v>0</v>
      </c>
      <c r="L377" s="14">
        <f t="shared" si="24"/>
        <v>0</v>
      </c>
      <c r="M377" s="13">
        <f>'SALDO ATUAL'!$G377*'SALDO ATUAL'!$I377</f>
        <v>0</v>
      </c>
      <c r="N377" s="13">
        <f>'SALDO ATUAL'!$G377*'SALDO ATUAL'!$L377</f>
        <v>0</v>
      </c>
      <c r="O377" s="14"/>
      <c r="P377" s="15">
        <f t="shared" si="26"/>
        <v>0</v>
      </c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4" customHeight="1">
      <c r="A378" s="19"/>
      <c r="B378" s="11"/>
      <c r="C378" s="20"/>
      <c r="D378" s="11"/>
      <c r="E378" s="11"/>
      <c r="F378" s="11"/>
      <c r="G378" s="13"/>
      <c r="H378" s="14"/>
      <c r="I378" s="14"/>
      <c r="J378" s="14">
        <f>SUMIF(ENTRADAS!B:B,A:A,ENTRADAS!F:F)</f>
        <v>0</v>
      </c>
      <c r="K378" s="14">
        <f>SUMIF(SAÍDAS!B:B,A:A,SAÍDAS!F:F)</f>
        <v>0</v>
      </c>
      <c r="L378" s="14">
        <f t="shared" si="24"/>
        <v>0</v>
      </c>
      <c r="M378" s="13">
        <f>'SALDO ATUAL'!$G378*'SALDO ATUAL'!$I378</f>
        <v>0</v>
      </c>
      <c r="N378" s="13">
        <f>'SALDO ATUAL'!$G378*'SALDO ATUAL'!$L378</f>
        <v>0</v>
      </c>
      <c r="O378" s="14"/>
      <c r="P378" s="15">
        <f t="shared" si="26"/>
        <v>0</v>
      </c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4" customHeight="1">
      <c r="A379" s="19"/>
      <c r="B379" s="11"/>
      <c r="C379" s="20"/>
      <c r="D379" s="11"/>
      <c r="E379" s="11"/>
      <c r="F379" s="11"/>
      <c r="G379" s="13"/>
      <c r="H379" s="14"/>
      <c r="I379" s="14"/>
      <c r="J379" s="14">
        <f>SUMIF(ENTRADAS!B:B,A:A,ENTRADAS!F:F)</f>
        <v>0</v>
      </c>
      <c r="K379" s="14">
        <f>SUMIF(SAÍDAS!B:B,A:A,SAÍDAS!F:F)</f>
        <v>0</v>
      </c>
      <c r="L379" s="14">
        <f t="shared" si="24"/>
        <v>0</v>
      </c>
      <c r="M379" s="13">
        <f>'SALDO ATUAL'!$G379*'SALDO ATUAL'!$I379</f>
        <v>0</v>
      </c>
      <c r="N379" s="13">
        <f>'SALDO ATUAL'!$G379*'SALDO ATUAL'!$L379</f>
        <v>0</v>
      </c>
      <c r="O379" s="14"/>
      <c r="P379" s="15">
        <f t="shared" si="26"/>
        <v>0</v>
      </c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4" customHeight="1">
      <c r="A380" s="19"/>
      <c r="B380" s="11"/>
      <c r="C380" s="20"/>
      <c r="D380" s="11"/>
      <c r="E380" s="11"/>
      <c r="F380" s="11"/>
      <c r="G380" s="13"/>
      <c r="H380" s="14"/>
      <c r="I380" s="14"/>
      <c r="J380" s="14">
        <f>SUMIF(ENTRADAS!B:B,A:A,ENTRADAS!F:F)</f>
        <v>0</v>
      </c>
      <c r="K380" s="14">
        <f>SUMIF(SAÍDAS!B:B,A:A,SAÍDAS!F:F)</f>
        <v>0</v>
      </c>
      <c r="L380" s="14">
        <f t="shared" si="24"/>
        <v>0</v>
      </c>
      <c r="M380" s="13">
        <f>'SALDO ATUAL'!$G380*'SALDO ATUAL'!$I380</f>
        <v>0</v>
      </c>
      <c r="N380" s="13">
        <f>'SALDO ATUAL'!$G380*'SALDO ATUAL'!$L380</f>
        <v>0</v>
      </c>
      <c r="O380" s="14"/>
      <c r="P380" s="15">
        <f t="shared" si="26"/>
        <v>0</v>
      </c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4" customHeight="1">
      <c r="A381" s="19"/>
      <c r="B381" s="11"/>
      <c r="C381" s="20"/>
      <c r="D381" s="11"/>
      <c r="E381" s="11"/>
      <c r="F381" s="11"/>
      <c r="G381" s="13"/>
      <c r="H381" s="14"/>
      <c r="I381" s="14"/>
      <c r="J381" s="14">
        <f>SUMIF(ENTRADAS!B:B,A:A,ENTRADAS!F:F)</f>
        <v>0</v>
      </c>
      <c r="K381" s="14">
        <f>SUMIF(SAÍDAS!B:B,A:A,SAÍDAS!F:F)</f>
        <v>0</v>
      </c>
      <c r="L381" s="14">
        <f t="shared" si="24"/>
        <v>0</v>
      </c>
      <c r="M381" s="13">
        <f>'SALDO ATUAL'!$G381*'SALDO ATUAL'!$I381</f>
        <v>0</v>
      </c>
      <c r="N381" s="13">
        <f>'SALDO ATUAL'!$G381*'SALDO ATUAL'!$L381</f>
        <v>0</v>
      </c>
      <c r="O381" s="14"/>
      <c r="P381" s="15">
        <f t="shared" si="26"/>
        <v>0</v>
      </c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4" customHeight="1">
      <c r="A382" s="19"/>
      <c r="B382" s="11"/>
      <c r="C382" s="20"/>
      <c r="D382" s="11"/>
      <c r="E382" s="11"/>
      <c r="F382" s="11"/>
      <c r="G382" s="13"/>
      <c r="H382" s="14"/>
      <c r="I382" s="14"/>
      <c r="J382" s="14">
        <f>SUMIF(ENTRADAS!B:B,A:A,ENTRADAS!F:F)</f>
        <v>0</v>
      </c>
      <c r="K382" s="14">
        <f>SUMIF(SAÍDAS!B:B,A:A,SAÍDAS!F:F)</f>
        <v>0</v>
      </c>
      <c r="L382" s="14">
        <f t="shared" si="24"/>
        <v>0</v>
      </c>
      <c r="M382" s="13">
        <f>'SALDO ATUAL'!$G382*'SALDO ATUAL'!$I382</f>
        <v>0</v>
      </c>
      <c r="N382" s="13">
        <f>'SALDO ATUAL'!$G382*'SALDO ATUAL'!$L382</f>
        <v>0</v>
      </c>
      <c r="O382" s="14"/>
      <c r="P382" s="15">
        <f t="shared" si="26"/>
        <v>0</v>
      </c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4" customHeight="1">
      <c r="A383" s="19"/>
      <c r="B383" s="11"/>
      <c r="C383" s="20"/>
      <c r="D383" s="11"/>
      <c r="E383" s="11"/>
      <c r="F383" s="11"/>
      <c r="G383" s="13"/>
      <c r="H383" s="14"/>
      <c r="I383" s="14"/>
      <c r="J383" s="14">
        <f>SUMIF(ENTRADAS!B:B,A:A,ENTRADAS!F:F)</f>
        <v>0</v>
      </c>
      <c r="K383" s="14">
        <f>SUMIF(SAÍDAS!B:B,A:A,SAÍDAS!F:F)</f>
        <v>0</v>
      </c>
      <c r="L383" s="14">
        <f t="shared" si="24"/>
        <v>0</v>
      </c>
      <c r="M383" s="13">
        <f>'SALDO ATUAL'!$G383*'SALDO ATUAL'!$I383</f>
        <v>0</v>
      </c>
      <c r="N383" s="13">
        <f>'SALDO ATUAL'!$G383*'SALDO ATUAL'!$L383</f>
        <v>0</v>
      </c>
      <c r="O383" s="14"/>
      <c r="P383" s="15">
        <f t="shared" si="26"/>
        <v>0</v>
      </c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4" customHeight="1">
      <c r="A384" s="19"/>
      <c r="B384" s="11"/>
      <c r="C384" s="20"/>
      <c r="D384" s="11"/>
      <c r="E384" s="11"/>
      <c r="F384" s="11"/>
      <c r="G384" s="13"/>
      <c r="H384" s="14"/>
      <c r="I384" s="14"/>
      <c r="J384" s="14">
        <f>SUMIF(ENTRADAS!B:B,A:A,ENTRADAS!F:F)</f>
        <v>0</v>
      </c>
      <c r="K384" s="14">
        <f>SUMIF(SAÍDAS!B:B,A:A,SAÍDAS!F:F)</f>
        <v>0</v>
      </c>
      <c r="L384" s="14">
        <f t="shared" si="24"/>
        <v>0</v>
      </c>
      <c r="M384" s="13">
        <f>'SALDO ATUAL'!$G384*'SALDO ATUAL'!$I384</f>
        <v>0</v>
      </c>
      <c r="N384" s="13">
        <f>'SALDO ATUAL'!$G384*'SALDO ATUAL'!$L384</f>
        <v>0</v>
      </c>
      <c r="O384" s="14"/>
      <c r="P384" s="15">
        <f t="shared" si="26"/>
        <v>0</v>
      </c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4" customHeight="1">
      <c r="A385" s="19"/>
      <c r="B385" s="11"/>
      <c r="C385" s="20"/>
      <c r="D385" s="11"/>
      <c r="E385" s="11"/>
      <c r="F385" s="11"/>
      <c r="G385" s="13"/>
      <c r="H385" s="14"/>
      <c r="I385" s="14"/>
      <c r="J385" s="14">
        <f>SUMIF(ENTRADAS!B:B,A:A,ENTRADAS!F:F)</f>
        <v>0</v>
      </c>
      <c r="K385" s="14">
        <f>SUMIF(SAÍDAS!B:B,A:A,SAÍDAS!F:F)</f>
        <v>0</v>
      </c>
      <c r="L385" s="14">
        <f t="shared" si="24"/>
        <v>0</v>
      </c>
      <c r="M385" s="13">
        <f>'SALDO ATUAL'!$G385*'SALDO ATUAL'!$I385</f>
        <v>0</v>
      </c>
      <c r="N385" s="13">
        <f>'SALDO ATUAL'!$G385*'SALDO ATUAL'!$L385</f>
        <v>0</v>
      </c>
      <c r="O385" s="14"/>
      <c r="P385" s="15">
        <f t="shared" si="26"/>
        <v>0</v>
      </c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4" customHeight="1">
      <c r="A386" s="19"/>
      <c r="B386" s="11"/>
      <c r="C386" s="20"/>
      <c r="D386" s="11"/>
      <c r="E386" s="11"/>
      <c r="F386" s="11"/>
      <c r="G386" s="13"/>
      <c r="H386" s="14"/>
      <c r="I386" s="14"/>
      <c r="J386" s="14">
        <f>SUMIF(ENTRADAS!B:B,A:A,ENTRADAS!F:F)</f>
        <v>0</v>
      </c>
      <c r="K386" s="14">
        <f>SUMIF(SAÍDAS!B:B,A:A,SAÍDAS!F:F)</f>
        <v>0</v>
      </c>
      <c r="L386" s="14">
        <f t="shared" si="24"/>
        <v>0</v>
      </c>
      <c r="M386" s="13">
        <f>'SALDO ATUAL'!$G386*'SALDO ATUAL'!$I386</f>
        <v>0</v>
      </c>
      <c r="N386" s="13">
        <f>'SALDO ATUAL'!$G386*'SALDO ATUAL'!$L386</f>
        <v>0</v>
      </c>
      <c r="O386" s="14"/>
      <c r="P386" s="15">
        <f t="shared" si="26"/>
        <v>0</v>
      </c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4" customHeight="1">
      <c r="A387" s="19"/>
      <c r="B387" s="11"/>
      <c r="C387" s="20"/>
      <c r="D387" s="11"/>
      <c r="E387" s="11"/>
      <c r="F387" s="11"/>
      <c r="G387" s="13"/>
      <c r="H387" s="14"/>
      <c r="I387" s="14"/>
      <c r="J387" s="14">
        <f>SUMIF(ENTRADAS!B:B,A:A,ENTRADAS!F:F)</f>
        <v>0</v>
      </c>
      <c r="K387" s="14">
        <f>SUMIF(SAÍDAS!B:B,A:A,SAÍDAS!F:F)</f>
        <v>0</v>
      </c>
      <c r="L387" s="14">
        <f t="shared" si="24"/>
        <v>0</v>
      </c>
      <c r="M387" s="13">
        <f>'SALDO ATUAL'!$G387*'SALDO ATUAL'!$I387</f>
        <v>0</v>
      </c>
      <c r="N387" s="13">
        <f>'SALDO ATUAL'!$G387*'SALDO ATUAL'!$L387</f>
        <v>0</v>
      </c>
      <c r="O387" s="14"/>
      <c r="P387" s="15">
        <f t="shared" si="26"/>
        <v>0</v>
      </c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4" customHeight="1">
      <c r="A388" s="19"/>
      <c r="B388" s="11"/>
      <c r="C388" s="20"/>
      <c r="D388" s="11"/>
      <c r="E388" s="11"/>
      <c r="F388" s="11"/>
      <c r="G388" s="13"/>
      <c r="H388" s="14"/>
      <c r="I388" s="14"/>
      <c r="J388" s="14">
        <f>SUMIF(ENTRADAS!B:B,A:A,ENTRADAS!F:F)</f>
        <v>0</v>
      </c>
      <c r="K388" s="14">
        <f>SUMIF(SAÍDAS!B:B,A:A,SAÍDAS!F:F)</f>
        <v>0</v>
      </c>
      <c r="L388" s="14">
        <f t="shared" si="24"/>
        <v>0</v>
      </c>
      <c r="M388" s="13">
        <f>'SALDO ATUAL'!$G388*'SALDO ATUAL'!$I388</f>
        <v>0</v>
      </c>
      <c r="N388" s="13">
        <f>'SALDO ATUAL'!$G388*'SALDO ATUAL'!$L388</f>
        <v>0</v>
      </c>
      <c r="O388" s="14"/>
      <c r="P388" s="15">
        <f t="shared" si="26"/>
        <v>0</v>
      </c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4" customHeight="1">
      <c r="A389" s="19"/>
      <c r="B389" s="11"/>
      <c r="C389" s="20"/>
      <c r="D389" s="11"/>
      <c r="E389" s="11"/>
      <c r="F389" s="11"/>
      <c r="G389" s="13"/>
      <c r="H389" s="14"/>
      <c r="I389" s="14"/>
      <c r="J389" s="14">
        <f>SUMIF(ENTRADAS!B:B,A:A,ENTRADAS!F:F)</f>
        <v>0</v>
      </c>
      <c r="K389" s="14">
        <f>SUMIF(SAÍDAS!B:B,A:A,SAÍDAS!F:F)</f>
        <v>0</v>
      </c>
      <c r="L389" s="14">
        <f t="shared" si="24"/>
        <v>0</v>
      </c>
      <c r="M389" s="13">
        <f>'SALDO ATUAL'!$G389*'SALDO ATUAL'!$I389</f>
        <v>0</v>
      </c>
      <c r="N389" s="13">
        <f>'SALDO ATUAL'!$G389*'SALDO ATUAL'!$L389</f>
        <v>0</v>
      </c>
      <c r="O389" s="14"/>
      <c r="P389" s="15">
        <f t="shared" si="26"/>
        <v>0</v>
      </c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4" customHeight="1">
      <c r="A390" s="19"/>
      <c r="B390" s="11"/>
      <c r="C390" s="20"/>
      <c r="D390" s="11"/>
      <c r="E390" s="11"/>
      <c r="F390" s="11"/>
      <c r="G390" s="13"/>
      <c r="H390" s="14"/>
      <c r="I390" s="14"/>
      <c r="J390" s="14">
        <f>SUMIF(ENTRADAS!B:B,A:A,ENTRADAS!F:F)</f>
        <v>0</v>
      </c>
      <c r="K390" s="14">
        <f>SUMIF(SAÍDAS!B:B,A:A,SAÍDAS!F:F)</f>
        <v>0</v>
      </c>
      <c r="L390" s="14">
        <f t="shared" si="24"/>
        <v>0</v>
      </c>
      <c r="M390" s="13">
        <f>'SALDO ATUAL'!$G390*'SALDO ATUAL'!$I390</f>
        <v>0</v>
      </c>
      <c r="N390" s="13">
        <f>'SALDO ATUAL'!$G390*'SALDO ATUAL'!$L390</f>
        <v>0</v>
      </c>
      <c r="O390" s="14"/>
      <c r="P390" s="15">
        <f t="shared" si="26"/>
        <v>0</v>
      </c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4" customHeight="1">
      <c r="A391" s="19"/>
      <c r="B391" s="11"/>
      <c r="C391" s="20"/>
      <c r="D391" s="11"/>
      <c r="E391" s="11"/>
      <c r="F391" s="11"/>
      <c r="G391" s="13"/>
      <c r="H391" s="14"/>
      <c r="I391" s="14"/>
      <c r="J391" s="14"/>
      <c r="K391" s="14"/>
      <c r="L391" s="14"/>
      <c r="M391" s="13"/>
      <c r="N391" s="13"/>
      <c r="O391" s="14"/>
      <c r="P391" s="15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4" customHeight="1">
      <c r="A392" s="19"/>
      <c r="B392" s="11"/>
      <c r="C392" s="20"/>
      <c r="D392" s="11"/>
      <c r="E392" s="11"/>
      <c r="F392" s="11"/>
      <c r="G392" s="13"/>
      <c r="H392" s="14"/>
      <c r="I392" s="14"/>
      <c r="J392" s="14"/>
      <c r="K392" s="14"/>
      <c r="L392" s="14"/>
      <c r="M392" s="13"/>
      <c r="N392" s="13"/>
      <c r="O392" s="14"/>
      <c r="P392" s="15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4" customHeight="1">
      <c r="A393" s="19"/>
      <c r="B393" s="11"/>
      <c r="C393" s="20"/>
      <c r="D393" s="11"/>
      <c r="E393" s="11"/>
      <c r="F393" s="11"/>
      <c r="G393" s="13"/>
      <c r="H393" s="14"/>
      <c r="I393" s="14"/>
      <c r="J393" s="14"/>
      <c r="K393" s="14"/>
      <c r="L393" s="14"/>
      <c r="M393" s="13"/>
      <c r="N393" s="13"/>
      <c r="O393" s="14"/>
      <c r="P393" s="15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4" customHeight="1">
      <c r="A394" s="19"/>
      <c r="B394" s="11"/>
      <c r="C394" s="20"/>
      <c r="D394" s="11"/>
      <c r="E394" s="11"/>
      <c r="F394" s="11"/>
      <c r="G394" s="13"/>
      <c r="H394" s="14"/>
      <c r="I394" s="14"/>
      <c r="J394" s="14"/>
      <c r="K394" s="14"/>
      <c r="L394" s="14"/>
      <c r="M394" s="13"/>
      <c r="N394" s="13"/>
      <c r="O394" s="14"/>
      <c r="P394" s="15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4" customHeight="1">
      <c r="A395" s="19"/>
      <c r="B395" s="11"/>
      <c r="C395" s="20"/>
      <c r="D395" s="11"/>
      <c r="E395" s="11"/>
      <c r="F395" s="11"/>
      <c r="G395" s="13"/>
      <c r="H395" s="14"/>
      <c r="I395" s="14"/>
      <c r="J395" s="14"/>
      <c r="K395" s="14"/>
      <c r="L395" s="14"/>
      <c r="M395" s="13"/>
      <c r="N395" s="13"/>
      <c r="O395" s="14"/>
      <c r="P395" s="15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4" customHeight="1">
      <c r="A396" s="19"/>
      <c r="B396" s="11"/>
      <c r="C396" s="20"/>
      <c r="D396" s="11"/>
      <c r="E396" s="11"/>
      <c r="F396" s="11"/>
      <c r="G396" s="13"/>
      <c r="H396" s="14"/>
      <c r="I396" s="14"/>
      <c r="J396" s="14"/>
      <c r="K396" s="14"/>
      <c r="L396" s="14"/>
      <c r="M396" s="13"/>
      <c r="N396" s="13"/>
      <c r="O396" s="14"/>
      <c r="P396" s="15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4" customHeight="1">
      <c r="A397" s="19"/>
      <c r="B397" s="11"/>
      <c r="C397" s="20"/>
      <c r="D397" s="11"/>
      <c r="E397" s="11"/>
      <c r="F397" s="11"/>
      <c r="G397" s="13"/>
      <c r="H397" s="14"/>
      <c r="I397" s="14"/>
      <c r="J397" s="14"/>
      <c r="K397" s="14"/>
      <c r="L397" s="14"/>
      <c r="M397" s="13"/>
      <c r="N397" s="13"/>
      <c r="O397" s="14"/>
      <c r="P397" s="15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4" customHeight="1">
      <c r="A398" s="19"/>
      <c r="B398" s="11"/>
      <c r="C398" s="20"/>
      <c r="D398" s="11"/>
      <c r="E398" s="11"/>
      <c r="F398" s="11"/>
      <c r="G398" s="13"/>
      <c r="H398" s="14"/>
      <c r="I398" s="14"/>
      <c r="J398" s="14"/>
      <c r="K398" s="14"/>
      <c r="L398" s="14"/>
      <c r="M398" s="13"/>
      <c r="N398" s="13"/>
      <c r="O398" s="14"/>
      <c r="P398" s="15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4" customHeight="1">
      <c r="A399" s="19"/>
      <c r="B399" s="11"/>
      <c r="C399" s="20"/>
      <c r="D399" s="11"/>
      <c r="E399" s="11"/>
      <c r="F399" s="11"/>
      <c r="G399" s="13"/>
      <c r="H399" s="14"/>
      <c r="I399" s="14"/>
      <c r="J399" s="14"/>
      <c r="K399" s="14"/>
      <c r="L399" s="14"/>
      <c r="M399" s="13"/>
      <c r="N399" s="13"/>
      <c r="O399" s="14"/>
      <c r="P399" s="15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4" customHeight="1">
      <c r="A400" s="19"/>
      <c r="B400" s="11"/>
      <c r="C400" s="20"/>
      <c r="D400" s="11"/>
      <c r="E400" s="11"/>
      <c r="F400" s="11"/>
      <c r="G400" s="13"/>
      <c r="H400" s="14"/>
      <c r="I400" s="14"/>
      <c r="J400" s="14"/>
      <c r="K400" s="14"/>
      <c r="L400" s="14"/>
      <c r="M400" s="13"/>
      <c r="N400" s="13"/>
      <c r="O400" s="14"/>
      <c r="P400" s="15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4" customHeight="1">
      <c r="A401" s="19"/>
      <c r="B401" s="11"/>
      <c r="C401" s="20"/>
      <c r="D401" s="11"/>
      <c r="E401" s="11"/>
      <c r="F401" s="11"/>
      <c r="G401" s="13"/>
      <c r="H401" s="14"/>
      <c r="I401" s="14"/>
      <c r="J401" s="14"/>
      <c r="K401" s="14"/>
      <c r="L401" s="14"/>
      <c r="M401" s="13"/>
      <c r="N401" s="13"/>
      <c r="O401" s="14"/>
      <c r="P401" s="15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4" customHeight="1">
      <c r="A402" s="19"/>
      <c r="B402" s="11"/>
      <c r="C402" s="20"/>
      <c r="D402" s="11"/>
      <c r="E402" s="11"/>
      <c r="F402" s="11"/>
      <c r="G402" s="13"/>
      <c r="H402" s="14"/>
      <c r="I402" s="14"/>
      <c r="J402" s="14"/>
      <c r="K402" s="14"/>
      <c r="L402" s="14"/>
      <c r="M402" s="13"/>
      <c r="N402" s="13"/>
      <c r="O402" s="14"/>
      <c r="P402" s="15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4" customHeight="1">
      <c r="A403" s="19"/>
      <c r="B403" s="11"/>
      <c r="C403" s="20"/>
      <c r="D403" s="11"/>
      <c r="E403" s="11"/>
      <c r="F403" s="11"/>
      <c r="G403" s="13"/>
      <c r="H403" s="14"/>
      <c r="I403" s="14"/>
      <c r="J403" s="14"/>
      <c r="K403" s="14"/>
      <c r="L403" s="14"/>
      <c r="M403" s="13"/>
      <c r="N403" s="13"/>
      <c r="O403" s="14"/>
      <c r="P403" s="15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4" customHeight="1">
      <c r="A404" s="19"/>
      <c r="B404" s="11"/>
      <c r="C404" s="20"/>
      <c r="D404" s="11"/>
      <c r="E404" s="11"/>
      <c r="F404" s="11"/>
      <c r="G404" s="13"/>
      <c r="H404" s="14"/>
      <c r="I404" s="14"/>
      <c r="J404" s="14"/>
      <c r="K404" s="14"/>
      <c r="L404" s="14"/>
      <c r="M404" s="13"/>
      <c r="N404" s="13"/>
      <c r="O404" s="14"/>
      <c r="P404" s="15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4" customHeight="1">
      <c r="A405" s="19"/>
      <c r="B405" s="11"/>
      <c r="C405" s="20"/>
      <c r="D405" s="11"/>
      <c r="E405" s="11"/>
      <c r="F405" s="11"/>
      <c r="G405" s="13"/>
      <c r="H405" s="14"/>
      <c r="I405" s="14"/>
      <c r="J405" s="14"/>
      <c r="K405" s="14"/>
      <c r="L405" s="14"/>
      <c r="M405" s="13"/>
      <c r="N405" s="13"/>
      <c r="O405" s="14"/>
      <c r="P405" s="15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4" customHeight="1">
      <c r="A406" s="19"/>
      <c r="B406" s="11"/>
      <c r="C406" s="20"/>
      <c r="D406" s="11"/>
      <c r="E406" s="11"/>
      <c r="F406" s="11"/>
      <c r="G406" s="13"/>
      <c r="H406" s="14"/>
      <c r="I406" s="14"/>
      <c r="J406" s="14"/>
      <c r="K406" s="14"/>
      <c r="L406" s="14"/>
      <c r="M406" s="13"/>
      <c r="N406" s="13"/>
      <c r="O406" s="14"/>
      <c r="P406" s="15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4" customHeight="1">
      <c r="A407" s="19"/>
      <c r="B407" s="11"/>
      <c r="C407" s="20"/>
      <c r="D407" s="11"/>
      <c r="E407" s="11"/>
      <c r="F407" s="11"/>
      <c r="G407" s="13"/>
      <c r="H407" s="14"/>
      <c r="I407" s="14"/>
      <c r="J407" s="14"/>
      <c r="K407" s="14"/>
      <c r="L407" s="14"/>
      <c r="M407" s="13"/>
      <c r="N407" s="13"/>
      <c r="O407" s="14"/>
      <c r="P407" s="15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4" customHeight="1">
      <c r="A408" s="19"/>
      <c r="B408" s="11"/>
      <c r="C408" s="20"/>
      <c r="D408" s="11"/>
      <c r="E408" s="11"/>
      <c r="F408" s="11"/>
      <c r="G408" s="13"/>
      <c r="H408" s="14"/>
      <c r="I408" s="14"/>
      <c r="J408" s="14"/>
      <c r="K408" s="14"/>
      <c r="L408" s="14"/>
      <c r="M408" s="13"/>
      <c r="N408" s="13"/>
      <c r="O408" s="14"/>
      <c r="P408" s="15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4" customHeight="1">
      <c r="A409" s="19"/>
      <c r="B409" s="11"/>
      <c r="C409" s="20"/>
      <c r="D409" s="11"/>
      <c r="E409" s="11"/>
      <c r="F409" s="11"/>
      <c r="G409" s="13"/>
      <c r="H409" s="14"/>
      <c r="I409" s="14"/>
      <c r="J409" s="14"/>
      <c r="K409" s="14"/>
      <c r="L409" s="14"/>
      <c r="M409" s="13"/>
      <c r="N409" s="13"/>
      <c r="O409" s="14"/>
      <c r="P409" s="15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4" customHeight="1">
      <c r="A410" s="19"/>
      <c r="B410" s="11"/>
      <c r="C410" s="20"/>
      <c r="D410" s="11"/>
      <c r="E410" s="11"/>
      <c r="F410" s="11"/>
      <c r="G410" s="13"/>
      <c r="H410" s="14"/>
      <c r="I410" s="14"/>
      <c r="J410" s="14"/>
      <c r="K410" s="14"/>
      <c r="L410" s="14"/>
      <c r="M410" s="13"/>
      <c r="N410" s="13"/>
      <c r="O410" s="14"/>
      <c r="P410" s="15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4" customHeight="1">
      <c r="A411" s="19"/>
      <c r="B411" s="11"/>
      <c r="C411" s="20"/>
      <c r="D411" s="11"/>
      <c r="E411" s="11"/>
      <c r="F411" s="11"/>
      <c r="G411" s="13"/>
      <c r="H411" s="14"/>
      <c r="I411" s="14"/>
      <c r="J411" s="14"/>
      <c r="K411" s="14"/>
      <c r="L411" s="14"/>
      <c r="M411" s="13"/>
      <c r="N411" s="13"/>
      <c r="O411" s="14"/>
      <c r="P411" s="15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4" customHeight="1">
      <c r="A412" s="19"/>
      <c r="B412" s="11"/>
      <c r="C412" s="20"/>
      <c r="D412" s="11"/>
      <c r="E412" s="11"/>
      <c r="F412" s="11"/>
      <c r="G412" s="13"/>
      <c r="H412" s="14"/>
      <c r="I412" s="14"/>
      <c r="J412" s="14"/>
      <c r="K412" s="14"/>
      <c r="L412" s="14"/>
      <c r="M412" s="13"/>
      <c r="N412" s="13"/>
      <c r="O412" s="14"/>
      <c r="P412" s="15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4" customHeight="1">
      <c r="A413" s="19"/>
      <c r="B413" s="11"/>
      <c r="C413" s="20"/>
      <c r="D413" s="11"/>
      <c r="E413" s="11"/>
      <c r="F413" s="11"/>
      <c r="G413" s="13"/>
      <c r="H413" s="14"/>
      <c r="I413" s="14"/>
      <c r="J413" s="14"/>
      <c r="K413" s="14"/>
      <c r="L413" s="14"/>
      <c r="M413" s="13"/>
      <c r="N413" s="13"/>
      <c r="O413" s="14"/>
      <c r="P413" s="15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4" customHeight="1">
      <c r="A414" s="19"/>
      <c r="B414" s="11"/>
      <c r="C414" s="20"/>
      <c r="D414" s="11"/>
      <c r="E414" s="11"/>
      <c r="F414" s="11"/>
      <c r="G414" s="13"/>
      <c r="H414" s="14"/>
      <c r="I414" s="14"/>
      <c r="J414" s="14"/>
      <c r="K414" s="14"/>
      <c r="L414" s="14"/>
      <c r="M414" s="13"/>
      <c r="N414" s="13"/>
      <c r="O414" s="14"/>
      <c r="P414" s="15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4" customHeight="1">
      <c r="A415" s="19"/>
      <c r="B415" s="11"/>
      <c r="C415" s="20"/>
      <c r="D415" s="11"/>
      <c r="E415" s="11"/>
      <c r="F415" s="11"/>
      <c r="G415" s="13"/>
      <c r="H415" s="14"/>
      <c r="I415" s="14"/>
      <c r="J415" s="14"/>
      <c r="K415" s="14"/>
      <c r="L415" s="14"/>
      <c r="M415" s="13"/>
      <c r="N415" s="13"/>
      <c r="O415" s="14"/>
      <c r="P415" s="15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4" customHeight="1">
      <c r="A416" s="19"/>
      <c r="B416" s="11"/>
      <c r="C416" s="20"/>
      <c r="D416" s="11"/>
      <c r="E416" s="11"/>
      <c r="F416" s="11"/>
      <c r="G416" s="13"/>
      <c r="H416" s="14"/>
      <c r="I416" s="14"/>
      <c r="J416" s="14"/>
      <c r="K416" s="14"/>
      <c r="L416" s="14"/>
      <c r="M416" s="13"/>
      <c r="N416" s="13"/>
      <c r="O416" s="14"/>
      <c r="P416" s="15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4" customHeight="1">
      <c r="A417" s="19"/>
      <c r="B417" s="11"/>
      <c r="C417" s="20"/>
      <c r="D417" s="11"/>
      <c r="E417" s="11"/>
      <c r="F417" s="11"/>
      <c r="G417" s="13"/>
      <c r="H417" s="14"/>
      <c r="I417" s="14"/>
      <c r="J417" s="14"/>
      <c r="K417" s="14"/>
      <c r="L417" s="14"/>
      <c r="M417" s="13"/>
      <c r="N417" s="13"/>
      <c r="O417" s="14"/>
      <c r="P417" s="15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4" customHeight="1">
      <c r="A418" s="19"/>
      <c r="B418" s="11"/>
      <c r="C418" s="20"/>
      <c r="D418" s="11"/>
      <c r="E418" s="11"/>
      <c r="F418" s="11"/>
      <c r="G418" s="13"/>
      <c r="H418" s="14"/>
      <c r="I418" s="14"/>
      <c r="J418" s="14"/>
      <c r="K418" s="14"/>
      <c r="L418" s="14"/>
      <c r="M418" s="13"/>
      <c r="N418" s="13"/>
      <c r="O418" s="14"/>
      <c r="P418" s="15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4" customHeight="1">
      <c r="A419" s="19"/>
      <c r="B419" s="11"/>
      <c r="C419" s="20"/>
      <c r="D419" s="11"/>
      <c r="E419" s="11"/>
      <c r="F419" s="11"/>
      <c r="G419" s="13"/>
      <c r="H419" s="14"/>
      <c r="I419" s="14"/>
      <c r="J419" s="14"/>
      <c r="K419" s="14"/>
      <c r="L419" s="14"/>
      <c r="M419" s="13"/>
      <c r="N419" s="13"/>
      <c r="O419" s="14"/>
      <c r="P419" s="15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4" customHeight="1">
      <c r="A420" s="19"/>
      <c r="B420" s="11"/>
      <c r="C420" s="20"/>
      <c r="D420" s="11"/>
      <c r="E420" s="11"/>
      <c r="F420" s="11"/>
      <c r="G420" s="13"/>
      <c r="H420" s="14"/>
      <c r="I420" s="14"/>
      <c r="J420" s="14"/>
      <c r="K420" s="14"/>
      <c r="L420" s="14"/>
      <c r="M420" s="13"/>
      <c r="N420" s="13"/>
      <c r="O420" s="14"/>
      <c r="P420" s="15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4" customHeight="1">
      <c r="A421" s="19"/>
      <c r="B421" s="11"/>
      <c r="C421" s="20"/>
      <c r="D421" s="11"/>
      <c r="E421" s="11"/>
      <c r="F421" s="11"/>
      <c r="G421" s="13"/>
      <c r="H421" s="14"/>
      <c r="I421" s="14"/>
      <c r="J421" s="14"/>
      <c r="K421" s="14"/>
      <c r="L421" s="14"/>
      <c r="M421" s="13"/>
      <c r="N421" s="13"/>
      <c r="O421" s="14"/>
      <c r="P421" s="15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4" customHeight="1">
      <c r="A422" s="19"/>
      <c r="B422" s="11"/>
      <c r="C422" s="20"/>
      <c r="D422" s="11"/>
      <c r="E422" s="11"/>
      <c r="F422" s="11"/>
      <c r="G422" s="13"/>
      <c r="H422" s="14"/>
      <c r="I422" s="14"/>
      <c r="J422" s="14"/>
      <c r="K422" s="14"/>
      <c r="L422" s="14"/>
      <c r="M422" s="13"/>
      <c r="N422" s="13"/>
      <c r="O422" s="14"/>
      <c r="P422" s="15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4" customHeight="1">
      <c r="A423" s="19"/>
      <c r="B423" s="11"/>
      <c r="C423" s="20"/>
      <c r="D423" s="11"/>
      <c r="E423" s="11"/>
      <c r="F423" s="11"/>
      <c r="G423" s="13"/>
      <c r="H423" s="14"/>
      <c r="I423" s="14"/>
      <c r="J423" s="14"/>
      <c r="K423" s="14"/>
      <c r="L423" s="14"/>
      <c r="M423" s="13"/>
      <c r="N423" s="13"/>
      <c r="O423" s="14"/>
      <c r="P423" s="15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4" customHeight="1">
      <c r="A424" s="19"/>
      <c r="B424" s="11"/>
      <c r="C424" s="20"/>
      <c r="D424" s="11"/>
      <c r="E424" s="11"/>
      <c r="F424" s="11"/>
      <c r="G424" s="13"/>
      <c r="H424" s="14"/>
      <c r="I424" s="14"/>
      <c r="J424" s="14"/>
      <c r="K424" s="14"/>
      <c r="L424" s="14"/>
      <c r="M424" s="13"/>
      <c r="N424" s="13"/>
      <c r="O424" s="14"/>
      <c r="P424" s="15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4" customHeight="1">
      <c r="A425" s="19"/>
      <c r="B425" s="11"/>
      <c r="C425" s="20"/>
      <c r="D425" s="11"/>
      <c r="E425" s="11"/>
      <c r="F425" s="11"/>
      <c r="G425" s="13"/>
      <c r="H425" s="14"/>
      <c r="I425" s="14"/>
      <c r="J425" s="14"/>
      <c r="K425" s="14"/>
      <c r="L425" s="14"/>
      <c r="M425" s="13"/>
      <c r="N425" s="13"/>
      <c r="O425" s="14"/>
      <c r="P425" s="15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4" customHeight="1">
      <c r="A426" s="19"/>
      <c r="B426" s="11"/>
      <c r="C426" s="20"/>
      <c r="D426" s="11"/>
      <c r="E426" s="11"/>
      <c r="F426" s="11"/>
      <c r="G426" s="13"/>
      <c r="H426" s="14"/>
      <c r="I426" s="14"/>
      <c r="J426" s="14"/>
      <c r="K426" s="14"/>
      <c r="L426" s="14"/>
      <c r="M426" s="13"/>
      <c r="N426" s="13"/>
      <c r="O426" s="14"/>
      <c r="P426" s="15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4" customHeight="1">
      <c r="A427" s="19"/>
      <c r="B427" s="11"/>
      <c r="C427" s="20"/>
      <c r="D427" s="11"/>
      <c r="E427" s="11"/>
      <c r="F427" s="11"/>
      <c r="G427" s="13"/>
      <c r="H427" s="14"/>
      <c r="I427" s="14"/>
      <c r="J427" s="14"/>
      <c r="K427" s="14"/>
      <c r="L427" s="14"/>
      <c r="M427" s="13"/>
      <c r="N427" s="13"/>
      <c r="O427" s="14"/>
      <c r="P427" s="15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4" customHeight="1">
      <c r="A428" s="19"/>
      <c r="B428" s="11"/>
      <c r="C428" s="20"/>
      <c r="D428" s="11"/>
      <c r="E428" s="11"/>
      <c r="F428" s="11"/>
      <c r="G428" s="13"/>
      <c r="H428" s="14"/>
      <c r="I428" s="14"/>
      <c r="J428" s="14"/>
      <c r="K428" s="14"/>
      <c r="L428" s="14"/>
      <c r="M428" s="13"/>
      <c r="N428" s="13"/>
      <c r="O428" s="14"/>
      <c r="P428" s="15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4" customHeight="1">
      <c r="A429" s="19"/>
      <c r="B429" s="11"/>
      <c r="C429" s="20"/>
      <c r="D429" s="11"/>
      <c r="E429" s="11"/>
      <c r="F429" s="11"/>
      <c r="G429" s="13"/>
      <c r="H429" s="14"/>
      <c r="I429" s="14"/>
      <c r="J429" s="14"/>
      <c r="K429" s="14"/>
      <c r="L429" s="14"/>
      <c r="M429" s="13"/>
      <c r="N429" s="13"/>
      <c r="O429" s="14"/>
      <c r="P429" s="15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4" customHeight="1">
      <c r="A430" s="19"/>
      <c r="B430" s="11"/>
      <c r="C430" s="20"/>
      <c r="D430" s="11"/>
      <c r="E430" s="11"/>
      <c r="F430" s="11"/>
      <c r="G430" s="13"/>
      <c r="H430" s="14"/>
      <c r="I430" s="14"/>
      <c r="J430" s="14"/>
      <c r="K430" s="14"/>
      <c r="L430" s="14"/>
      <c r="M430" s="13"/>
      <c r="N430" s="13"/>
      <c r="O430" s="14"/>
      <c r="P430" s="15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4" customHeight="1">
      <c r="A431" s="19"/>
      <c r="B431" s="11"/>
      <c r="C431" s="20"/>
      <c r="D431" s="11"/>
      <c r="E431" s="11"/>
      <c r="F431" s="11"/>
      <c r="G431" s="13"/>
      <c r="H431" s="14"/>
      <c r="I431" s="14"/>
      <c r="J431" s="14"/>
      <c r="K431" s="14"/>
      <c r="L431" s="14"/>
      <c r="M431" s="13"/>
      <c r="N431" s="13"/>
      <c r="O431" s="14"/>
      <c r="P431" s="15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4" customHeight="1">
      <c r="A432" s="19"/>
      <c r="B432" s="11"/>
      <c r="C432" s="20"/>
      <c r="D432" s="11"/>
      <c r="E432" s="11"/>
      <c r="F432" s="11"/>
      <c r="G432" s="13"/>
      <c r="H432" s="14"/>
      <c r="I432" s="14"/>
      <c r="J432" s="14"/>
      <c r="K432" s="14"/>
      <c r="L432" s="14"/>
      <c r="M432" s="13"/>
      <c r="N432" s="13"/>
      <c r="O432" s="14"/>
      <c r="P432" s="15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4" customHeight="1">
      <c r="A433" s="19"/>
      <c r="B433" s="11"/>
      <c r="C433" s="20"/>
      <c r="D433" s="11"/>
      <c r="E433" s="11"/>
      <c r="F433" s="11"/>
      <c r="G433" s="13"/>
      <c r="H433" s="14"/>
      <c r="I433" s="14"/>
      <c r="J433" s="14"/>
      <c r="K433" s="14"/>
      <c r="L433" s="14"/>
      <c r="M433" s="13"/>
      <c r="N433" s="13"/>
      <c r="O433" s="14"/>
      <c r="P433" s="15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4" customHeight="1">
      <c r="A434" s="19"/>
      <c r="B434" s="11"/>
      <c r="C434" s="20"/>
      <c r="D434" s="11"/>
      <c r="E434" s="11"/>
      <c r="F434" s="11"/>
      <c r="G434" s="13"/>
      <c r="H434" s="14"/>
      <c r="I434" s="14"/>
      <c r="J434" s="14"/>
      <c r="K434" s="14"/>
      <c r="L434" s="14"/>
      <c r="M434" s="13"/>
      <c r="N434" s="13"/>
      <c r="O434" s="14"/>
      <c r="P434" s="15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4" customHeight="1">
      <c r="A435" s="19"/>
      <c r="B435" s="11"/>
      <c r="C435" s="20"/>
      <c r="D435" s="11"/>
      <c r="E435" s="11"/>
      <c r="F435" s="11"/>
      <c r="G435" s="13"/>
      <c r="H435" s="14"/>
      <c r="I435" s="14"/>
      <c r="J435" s="14"/>
      <c r="K435" s="14"/>
      <c r="L435" s="14"/>
      <c r="M435" s="13"/>
      <c r="N435" s="13"/>
      <c r="O435" s="14"/>
      <c r="P435" s="15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4" customHeight="1">
      <c r="A436" s="19"/>
      <c r="B436" s="11"/>
      <c r="C436" s="20"/>
      <c r="D436" s="11"/>
      <c r="E436" s="11"/>
      <c r="F436" s="11"/>
      <c r="G436" s="13"/>
      <c r="H436" s="14"/>
      <c r="I436" s="14"/>
      <c r="J436" s="14"/>
      <c r="K436" s="14"/>
      <c r="L436" s="14"/>
      <c r="M436" s="13"/>
      <c r="N436" s="13"/>
      <c r="O436" s="14"/>
      <c r="P436" s="15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4" customHeight="1">
      <c r="A437" s="19"/>
      <c r="B437" s="11"/>
      <c r="C437" s="20"/>
      <c r="D437" s="11"/>
      <c r="E437" s="11"/>
      <c r="F437" s="11"/>
      <c r="G437" s="13"/>
      <c r="H437" s="14"/>
      <c r="I437" s="14"/>
      <c r="J437" s="14"/>
      <c r="K437" s="14"/>
      <c r="L437" s="14"/>
      <c r="M437" s="13"/>
      <c r="N437" s="13"/>
      <c r="O437" s="14"/>
      <c r="P437" s="15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4" customHeight="1">
      <c r="A438" s="19"/>
      <c r="B438" s="11"/>
      <c r="C438" s="20"/>
      <c r="D438" s="11"/>
      <c r="E438" s="11"/>
      <c r="F438" s="11"/>
      <c r="G438" s="13"/>
      <c r="H438" s="14"/>
      <c r="I438" s="14"/>
      <c r="J438" s="14"/>
      <c r="K438" s="14"/>
      <c r="L438" s="14"/>
      <c r="M438" s="13"/>
      <c r="N438" s="13"/>
      <c r="O438" s="14"/>
      <c r="P438" s="15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4" customHeight="1">
      <c r="A439" s="19"/>
      <c r="B439" s="11"/>
      <c r="C439" s="20"/>
      <c r="D439" s="11"/>
      <c r="E439" s="11"/>
      <c r="F439" s="11"/>
      <c r="G439" s="13"/>
      <c r="H439" s="14"/>
      <c r="I439" s="14"/>
      <c r="J439" s="14"/>
      <c r="K439" s="14"/>
      <c r="L439" s="14"/>
      <c r="M439" s="13"/>
      <c r="N439" s="13"/>
      <c r="O439" s="14"/>
      <c r="P439" s="15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4" customHeight="1">
      <c r="A440" s="19"/>
      <c r="B440" s="11"/>
      <c r="C440" s="20"/>
      <c r="D440" s="11"/>
      <c r="E440" s="11"/>
      <c r="F440" s="11"/>
      <c r="G440" s="13"/>
      <c r="H440" s="14"/>
      <c r="I440" s="14"/>
      <c r="J440" s="14"/>
      <c r="K440" s="14"/>
      <c r="L440" s="14"/>
      <c r="M440" s="13"/>
      <c r="N440" s="13"/>
      <c r="O440" s="14"/>
      <c r="P440" s="15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4" customHeight="1">
      <c r="A441" s="19"/>
      <c r="B441" s="11"/>
      <c r="C441" s="23"/>
      <c r="D441" s="11"/>
      <c r="E441" s="11"/>
      <c r="F441" s="11"/>
      <c r="G441" s="13"/>
      <c r="H441" s="14"/>
      <c r="I441" s="14"/>
      <c r="J441" s="14"/>
      <c r="K441" s="14"/>
      <c r="L441" s="18"/>
      <c r="M441" s="13"/>
      <c r="N441" s="13"/>
      <c r="O441" s="14"/>
      <c r="P441" s="15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4" customHeight="1">
      <c r="A442" s="19"/>
      <c r="B442" s="11"/>
      <c r="C442" s="23"/>
      <c r="D442" s="11"/>
      <c r="E442" s="11"/>
      <c r="F442" s="11"/>
      <c r="G442" s="13"/>
      <c r="H442" s="14"/>
      <c r="I442" s="14"/>
      <c r="J442" s="14"/>
      <c r="K442" s="14"/>
      <c r="L442" s="18"/>
      <c r="M442" s="13"/>
      <c r="N442" s="13"/>
      <c r="O442" s="14"/>
      <c r="P442" s="15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4" customHeight="1">
      <c r="A443" s="19"/>
      <c r="B443" s="11"/>
      <c r="C443" s="23"/>
      <c r="D443" s="11"/>
      <c r="E443" s="11"/>
      <c r="F443" s="11"/>
      <c r="G443" s="13"/>
      <c r="H443" s="14"/>
      <c r="I443" s="14"/>
      <c r="J443" s="14"/>
      <c r="K443" s="14"/>
      <c r="L443" s="18"/>
      <c r="M443" s="13"/>
      <c r="N443" s="13"/>
      <c r="O443" s="14"/>
      <c r="P443" s="15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4" customHeight="1">
      <c r="A444" s="19"/>
      <c r="B444" s="11"/>
      <c r="C444" s="23"/>
      <c r="D444" s="11"/>
      <c r="E444" s="11"/>
      <c r="F444" s="11"/>
      <c r="G444" s="13"/>
      <c r="H444" s="14"/>
      <c r="I444" s="14"/>
      <c r="J444" s="14"/>
      <c r="K444" s="14"/>
      <c r="L444" s="18"/>
      <c r="M444" s="13"/>
      <c r="N444" s="13"/>
      <c r="O444" s="14"/>
      <c r="P444" s="15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4" customHeight="1">
      <c r="A445" s="19"/>
      <c r="B445" s="11"/>
      <c r="C445" s="23"/>
      <c r="D445" s="11"/>
      <c r="E445" s="11"/>
      <c r="F445" s="11"/>
      <c r="G445" s="13"/>
      <c r="H445" s="14"/>
      <c r="I445" s="14"/>
      <c r="J445" s="14"/>
      <c r="K445" s="14"/>
      <c r="L445" s="18"/>
      <c r="M445" s="13"/>
      <c r="N445" s="13"/>
      <c r="O445" s="14"/>
      <c r="P445" s="15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4" customHeight="1">
      <c r="A446" s="19"/>
      <c r="B446" s="11"/>
      <c r="C446" s="23"/>
      <c r="D446" s="11"/>
      <c r="E446" s="11"/>
      <c r="F446" s="11"/>
      <c r="G446" s="13"/>
      <c r="H446" s="14"/>
      <c r="I446" s="14"/>
      <c r="J446" s="14"/>
      <c r="K446" s="14"/>
      <c r="L446" s="18"/>
      <c r="M446" s="13"/>
      <c r="N446" s="13"/>
      <c r="O446" s="14"/>
      <c r="P446" s="15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4" customHeight="1">
      <c r="A447" s="19"/>
      <c r="B447" s="11"/>
      <c r="C447" s="23"/>
      <c r="D447" s="11"/>
      <c r="E447" s="11"/>
      <c r="F447" s="11"/>
      <c r="G447" s="13"/>
      <c r="H447" s="14"/>
      <c r="I447" s="14"/>
      <c r="J447" s="14"/>
      <c r="K447" s="14"/>
      <c r="L447" s="18"/>
      <c r="M447" s="13"/>
      <c r="N447" s="13"/>
      <c r="O447" s="14"/>
      <c r="P447" s="15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4" customHeight="1">
      <c r="A448" s="19"/>
      <c r="B448" s="11"/>
      <c r="C448" s="23"/>
      <c r="D448" s="11"/>
      <c r="E448" s="11"/>
      <c r="F448" s="11"/>
      <c r="G448" s="13"/>
      <c r="H448" s="14"/>
      <c r="I448" s="14"/>
      <c r="J448" s="14"/>
      <c r="K448" s="14"/>
      <c r="L448" s="18"/>
      <c r="M448" s="13"/>
      <c r="N448" s="13"/>
      <c r="O448" s="14"/>
      <c r="P448" s="15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4" customHeight="1">
      <c r="A449" s="19"/>
      <c r="B449" s="11"/>
      <c r="C449" s="23"/>
      <c r="D449" s="11"/>
      <c r="E449" s="11"/>
      <c r="F449" s="11"/>
      <c r="G449" s="13"/>
      <c r="H449" s="14"/>
      <c r="I449" s="14"/>
      <c r="J449" s="14"/>
      <c r="K449" s="14"/>
      <c r="L449" s="18"/>
      <c r="M449" s="13"/>
      <c r="N449" s="13"/>
      <c r="O449" s="14"/>
      <c r="P449" s="15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4" customHeight="1">
      <c r="A450" s="19"/>
      <c r="B450" s="11"/>
      <c r="C450" s="23"/>
      <c r="D450" s="11"/>
      <c r="E450" s="11"/>
      <c r="F450" s="11"/>
      <c r="G450" s="13"/>
      <c r="H450" s="14"/>
      <c r="I450" s="14"/>
      <c r="J450" s="14"/>
      <c r="K450" s="14"/>
      <c r="L450" s="18"/>
      <c r="M450" s="13"/>
      <c r="N450" s="13"/>
      <c r="O450" s="14"/>
      <c r="P450" s="15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4" customHeight="1">
      <c r="A451" s="19"/>
      <c r="B451" s="11"/>
      <c r="C451" s="23"/>
      <c r="D451" s="11"/>
      <c r="E451" s="11"/>
      <c r="F451" s="11"/>
      <c r="G451" s="13"/>
      <c r="H451" s="14"/>
      <c r="I451" s="14"/>
      <c r="J451" s="14"/>
      <c r="K451" s="14"/>
      <c r="L451" s="18"/>
      <c r="M451" s="13"/>
      <c r="N451" s="13"/>
      <c r="O451" s="14"/>
      <c r="P451" s="15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4" customHeight="1">
      <c r="A452" s="19"/>
      <c r="B452" s="11"/>
      <c r="C452" s="23"/>
      <c r="D452" s="11"/>
      <c r="E452" s="11"/>
      <c r="F452" s="11"/>
      <c r="G452" s="13"/>
      <c r="H452" s="14"/>
      <c r="I452" s="14"/>
      <c r="J452" s="14"/>
      <c r="K452" s="14"/>
      <c r="L452" s="18"/>
      <c r="M452" s="13"/>
      <c r="N452" s="13"/>
      <c r="O452" s="14"/>
      <c r="P452" s="15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4" customHeight="1">
      <c r="A453" s="19"/>
      <c r="B453" s="11"/>
      <c r="C453" s="23"/>
      <c r="D453" s="11"/>
      <c r="E453" s="11"/>
      <c r="F453" s="11"/>
      <c r="G453" s="13"/>
      <c r="H453" s="14"/>
      <c r="I453" s="14"/>
      <c r="J453" s="14"/>
      <c r="K453" s="14"/>
      <c r="L453" s="18"/>
      <c r="M453" s="13"/>
      <c r="N453" s="13"/>
      <c r="O453" s="14"/>
      <c r="P453" s="15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4" customHeight="1">
      <c r="A454" s="19"/>
      <c r="B454" s="11"/>
      <c r="C454" s="23"/>
      <c r="D454" s="11"/>
      <c r="E454" s="11"/>
      <c r="F454" s="11"/>
      <c r="G454" s="13"/>
      <c r="H454" s="14"/>
      <c r="I454" s="14"/>
      <c r="J454" s="14"/>
      <c r="K454" s="14"/>
      <c r="L454" s="18"/>
      <c r="M454" s="13"/>
      <c r="N454" s="13"/>
      <c r="O454" s="14"/>
      <c r="P454" s="15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4" customHeight="1">
      <c r="A455" s="19"/>
      <c r="B455" s="11"/>
      <c r="C455" s="23"/>
      <c r="D455" s="11"/>
      <c r="E455" s="11"/>
      <c r="F455" s="11"/>
      <c r="G455" s="13"/>
      <c r="H455" s="14"/>
      <c r="I455" s="14"/>
      <c r="J455" s="14"/>
      <c r="K455" s="14"/>
      <c r="L455" s="18"/>
      <c r="M455" s="13"/>
      <c r="N455" s="13"/>
      <c r="O455" s="14"/>
      <c r="P455" s="15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4" customHeight="1">
      <c r="A456" s="19"/>
      <c r="B456" s="11"/>
      <c r="C456" s="23"/>
      <c r="D456" s="11"/>
      <c r="E456" s="11"/>
      <c r="F456" s="11"/>
      <c r="G456" s="13"/>
      <c r="H456" s="14"/>
      <c r="I456" s="14"/>
      <c r="J456" s="14"/>
      <c r="K456" s="14"/>
      <c r="L456" s="18"/>
      <c r="M456" s="13"/>
      <c r="N456" s="13"/>
      <c r="O456" s="14"/>
      <c r="P456" s="15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4" customHeight="1">
      <c r="A457" s="19"/>
      <c r="B457" s="11"/>
      <c r="C457" s="23"/>
      <c r="D457" s="11"/>
      <c r="E457" s="11"/>
      <c r="F457" s="11"/>
      <c r="G457" s="13"/>
      <c r="H457" s="14"/>
      <c r="I457" s="14"/>
      <c r="J457" s="14"/>
      <c r="K457" s="14"/>
      <c r="L457" s="18"/>
      <c r="M457" s="13"/>
      <c r="N457" s="13"/>
      <c r="O457" s="14"/>
      <c r="P457" s="15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4" customHeight="1">
      <c r="A458" s="19"/>
      <c r="B458" s="11"/>
      <c r="C458" s="23"/>
      <c r="D458" s="11"/>
      <c r="E458" s="11"/>
      <c r="F458" s="11"/>
      <c r="G458" s="13"/>
      <c r="H458" s="14"/>
      <c r="I458" s="14"/>
      <c r="J458" s="14"/>
      <c r="K458" s="14"/>
      <c r="L458" s="18"/>
      <c r="M458" s="13"/>
      <c r="N458" s="13"/>
      <c r="O458" s="14"/>
      <c r="P458" s="15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4" customHeight="1">
      <c r="A459" s="19"/>
      <c r="B459" s="11"/>
      <c r="C459" s="23"/>
      <c r="D459" s="11"/>
      <c r="E459" s="11"/>
      <c r="F459" s="11"/>
      <c r="G459" s="13"/>
      <c r="H459" s="14"/>
      <c r="I459" s="14"/>
      <c r="J459" s="14"/>
      <c r="K459" s="14"/>
      <c r="L459" s="18"/>
      <c r="M459" s="13"/>
      <c r="N459" s="13"/>
      <c r="O459" s="14"/>
      <c r="P459" s="15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4" customHeight="1">
      <c r="A460" s="19"/>
      <c r="B460" s="11"/>
      <c r="C460" s="23"/>
      <c r="D460" s="11"/>
      <c r="E460" s="11"/>
      <c r="F460" s="11"/>
      <c r="G460" s="13"/>
      <c r="H460" s="14"/>
      <c r="I460" s="14"/>
      <c r="J460" s="14"/>
      <c r="K460" s="14"/>
      <c r="L460" s="18"/>
      <c r="M460" s="13"/>
      <c r="N460" s="13"/>
      <c r="O460" s="14"/>
      <c r="P460" s="15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4" customHeight="1">
      <c r="A461" s="19"/>
      <c r="B461" s="11"/>
      <c r="C461" s="23"/>
      <c r="D461" s="11"/>
      <c r="E461" s="11"/>
      <c r="F461" s="11"/>
      <c r="G461" s="13"/>
      <c r="H461" s="14"/>
      <c r="I461" s="14"/>
      <c r="J461" s="14"/>
      <c r="K461" s="14"/>
      <c r="L461" s="18"/>
      <c r="M461" s="13"/>
      <c r="N461" s="13"/>
      <c r="O461" s="14"/>
      <c r="P461" s="15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4" customHeight="1">
      <c r="A462" s="19"/>
      <c r="B462" s="11"/>
      <c r="C462" s="23"/>
      <c r="D462" s="11"/>
      <c r="E462" s="11"/>
      <c r="F462" s="11"/>
      <c r="G462" s="13"/>
      <c r="H462" s="14"/>
      <c r="I462" s="14"/>
      <c r="J462" s="14"/>
      <c r="K462" s="14"/>
      <c r="L462" s="18"/>
      <c r="M462" s="13"/>
      <c r="N462" s="13"/>
      <c r="O462" s="14"/>
      <c r="P462" s="15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4" customHeight="1">
      <c r="A463" s="19"/>
      <c r="B463" s="11"/>
      <c r="C463" s="23"/>
      <c r="D463" s="11"/>
      <c r="E463" s="11"/>
      <c r="F463" s="11"/>
      <c r="G463" s="13"/>
      <c r="H463" s="14"/>
      <c r="I463" s="14"/>
      <c r="J463" s="14"/>
      <c r="K463" s="14"/>
      <c r="L463" s="18"/>
      <c r="M463" s="13"/>
      <c r="N463" s="13"/>
      <c r="O463" s="14"/>
      <c r="P463" s="15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4" customHeight="1">
      <c r="A464" s="19"/>
      <c r="B464" s="11"/>
      <c r="C464" s="23"/>
      <c r="D464" s="11"/>
      <c r="E464" s="11"/>
      <c r="F464" s="11"/>
      <c r="G464" s="13"/>
      <c r="H464" s="14"/>
      <c r="I464" s="14"/>
      <c r="J464" s="14"/>
      <c r="K464" s="14"/>
      <c r="L464" s="18"/>
      <c r="M464" s="13"/>
      <c r="N464" s="13"/>
      <c r="O464" s="14"/>
      <c r="P464" s="15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4" customHeight="1">
      <c r="A465" s="19"/>
      <c r="B465" s="11"/>
      <c r="C465" s="23"/>
      <c r="D465" s="11"/>
      <c r="E465" s="11"/>
      <c r="F465" s="11"/>
      <c r="G465" s="13"/>
      <c r="H465" s="14"/>
      <c r="I465" s="14"/>
      <c r="J465" s="14"/>
      <c r="K465" s="14"/>
      <c r="L465" s="18"/>
      <c r="M465" s="13"/>
      <c r="N465" s="13"/>
      <c r="O465" s="14"/>
      <c r="P465" s="15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4" customHeight="1">
      <c r="A466" s="19"/>
      <c r="B466" s="11"/>
      <c r="C466" s="23"/>
      <c r="D466" s="11"/>
      <c r="E466" s="11"/>
      <c r="F466" s="11"/>
      <c r="G466" s="13"/>
      <c r="H466" s="14"/>
      <c r="I466" s="14"/>
      <c r="J466" s="14"/>
      <c r="K466" s="14"/>
      <c r="L466" s="18"/>
      <c r="M466" s="13"/>
      <c r="N466" s="13"/>
      <c r="O466" s="14"/>
      <c r="P466" s="15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4" customHeight="1">
      <c r="A467" s="19"/>
      <c r="B467" s="11"/>
      <c r="C467" s="23"/>
      <c r="D467" s="11"/>
      <c r="E467" s="11"/>
      <c r="F467" s="11"/>
      <c r="G467" s="13"/>
      <c r="H467" s="14"/>
      <c r="I467" s="14"/>
      <c r="J467" s="14"/>
      <c r="K467" s="14"/>
      <c r="L467" s="18"/>
      <c r="M467" s="13"/>
      <c r="N467" s="13"/>
      <c r="O467" s="14"/>
      <c r="P467" s="15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4" customHeight="1">
      <c r="A468" s="19"/>
      <c r="B468" s="11"/>
      <c r="C468" s="23"/>
      <c r="D468" s="11"/>
      <c r="E468" s="11"/>
      <c r="F468" s="11"/>
      <c r="G468" s="13"/>
      <c r="H468" s="14"/>
      <c r="I468" s="14"/>
      <c r="J468" s="14"/>
      <c r="K468" s="14"/>
      <c r="L468" s="18"/>
      <c r="M468" s="13"/>
      <c r="N468" s="13"/>
      <c r="O468" s="14"/>
      <c r="P468" s="15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4" customHeight="1">
      <c r="A469" s="19"/>
      <c r="B469" s="11"/>
      <c r="C469" s="23"/>
      <c r="D469" s="11"/>
      <c r="E469" s="11"/>
      <c r="F469" s="11"/>
      <c r="G469" s="13"/>
      <c r="H469" s="14"/>
      <c r="I469" s="14"/>
      <c r="J469" s="14"/>
      <c r="K469" s="14"/>
      <c r="L469" s="18"/>
      <c r="M469" s="13"/>
      <c r="N469" s="13"/>
      <c r="O469" s="14"/>
      <c r="P469" s="15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4" customHeight="1">
      <c r="A470" s="19"/>
      <c r="B470" s="11"/>
      <c r="C470" s="23"/>
      <c r="D470" s="11"/>
      <c r="E470" s="11"/>
      <c r="F470" s="11"/>
      <c r="G470" s="13"/>
      <c r="H470" s="14"/>
      <c r="I470" s="14"/>
      <c r="J470" s="14"/>
      <c r="K470" s="14"/>
      <c r="L470" s="18"/>
      <c r="M470" s="13"/>
      <c r="N470" s="13"/>
      <c r="O470" s="14"/>
      <c r="P470" s="15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4" customHeight="1">
      <c r="A471" s="19"/>
      <c r="B471" s="11"/>
      <c r="C471" s="23"/>
      <c r="D471" s="11"/>
      <c r="E471" s="11"/>
      <c r="F471" s="11"/>
      <c r="G471" s="13"/>
      <c r="H471" s="14"/>
      <c r="I471" s="14"/>
      <c r="J471" s="14"/>
      <c r="K471" s="14"/>
      <c r="L471" s="18"/>
      <c r="M471" s="13"/>
      <c r="N471" s="13"/>
      <c r="O471" s="14"/>
      <c r="P471" s="15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4" customHeight="1">
      <c r="A472" s="19"/>
      <c r="B472" s="11"/>
      <c r="C472" s="23"/>
      <c r="D472" s="11"/>
      <c r="E472" s="11"/>
      <c r="F472" s="11"/>
      <c r="G472" s="13"/>
      <c r="H472" s="14"/>
      <c r="I472" s="14"/>
      <c r="J472" s="14"/>
      <c r="K472" s="14"/>
      <c r="L472" s="18"/>
      <c r="M472" s="13"/>
      <c r="N472" s="13"/>
      <c r="O472" s="14"/>
      <c r="P472" s="15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4" customHeight="1">
      <c r="A473" s="19"/>
      <c r="B473" s="11"/>
      <c r="C473" s="23"/>
      <c r="D473" s="11"/>
      <c r="E473" s="11"/>
      <c r="F473" s="11"/>
      <c r="G473" s="13"/>
      <c r="H473" s="14"/>
      <c r="I473" s="14"/>
      <c r="J473" s="14"/>
      <c r="K473" s="14"/>
      <c r="L473" s="18"/>
      <c r="M473" s="13"/>
      <c r="N473" s="13"/>
      <c r="O473" s="14"/>
      <c r="P473" s="15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4" customHeight="1">
      <c r="A474" s="19"/>
      <c r="B474" s="11"/>
      <c r="C474" s="23"/>
      <c r="D474" s="11"/>
      <c r="E474" s="11"/>
      <c r="F474" s="11"/>
      <c r="G474" s="13"/>
      <c r="H474" s="14"/>
      <c r="I474" s="14"/>
      <c r="J474" s="14"/>
      <c r="K474" s="14"/>
      <c r="L474" s="18"/>
      <c r="M474" s="13"/>
      <c r="N474" s="13"/>
      <c r="O474" s="14"/>
      <c r="P474" s="15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4" customHeight="1">
      <c r="A475" s="19"/>
      <c r="B475" s="11"/>
      <c r="C475" s="23"/>
      <c r="D475" s="11"/>
      <c r="E475" s="11"/>
      <c r="F475" s="11"/>
      <c r="G475" s="13"/>
      <c r="H475" s="14"/>
      <c r="I475" s="14"/>
      <c r="J475" s="14"/>
      <c r="K475" s="14"/>
      <c r="L475" s="18"/>
      <c r="M475" s="13"/>
      <c r="N475" s="13"/>
      <c r="O475" s="14"/>
      <c r="P475" s="15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4" customHeight="1">
      <c r="A476" s="19"/>
      <c r="B476" s="11"/>
      <c r="C476" s="23"/>
      <c r="D476" s="11"/>
      <c r="E476" s="11"/>
      <c r="F476" s="11"/>
      <c r="G476" s="13"/>
      <c r="H476" s="14"/>
      <c r="I476" s="14"/>
      <c r="J476" s="14"/>
      <c r="K476" s="14"/>
      <c r="L476" s="18"/>
      <c r="M476" s="13"/>
      <c r="N476" s="13"/>
      <c r="O476" s="14"/>
      <c r="P476" s="15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4" customHeight="1">
      <c r="A477" s="19"/>
      <c r="B477" s="11"/>
      <c r="C477" s="23"/>
      <c r="D477" s="11"/>
      <c r="E477" s="11"/>
      <c r="F477" s="11"/>
      <c r="G477" s="13"/>
      <c r="H477" s="14"/>
      <c r="I477" s="14"/>
      <c r="J477" s="14"/>
      <c r="K477" s="14"/>
      <c r="L477" s="18"/>
      <c r="M477" s="13"/>
      <c r="N477" s="13"/>
      <c r="O477" s="14"/>
      <c r="P477" s="15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4" customHeight="1">
      <c r="A478" s="19"/>
      <c r="B478" s="11"/>
      <c r="C478" s="23"/>
      <c r="D478" s="11"/>
      <c r="E478" s="11"/>
      <c r="F478" s="11"/>
      <c r="G478" s="13"/>
      <c r="H478" s="14"/>
      <c r="I478" s="14"/>
      <c r="J478" s="14"/>
      <c r="K478" s="14"/>
      <c r="L478" s="18"/>
      <c r="M478" s="13"/>
      <c r="N478" s="13"/>
      <c r="O478" s="14"/>
      <c r="P478" s="15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4" customHeight="1">
      <c r="A479" s="19"/>
      <c r="B479" s="11"/>
      <c r="C479" s="23"/>
      <c r="D479" s="11"/>
      <c r="E479" s="11"/>
      <c r="F479" s="11"/>
      <c r="G479" s="13"/>
      <c r="H479" s="14"/>
      <c r="I479" s="14"/>
      <c r="J479" s="14"/>
      <c r="K479" s="14"/>
      <c r="L479" s="18"/>
      <c r="M479" s="13"/>
      <c r="N479" s="13"/>
      <c r="O479" s="14"/>
      <c r="P479" s="15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4" customHeight="1">
      <c r="A480" s="19"/>
      <c r="B480" s="11"/>
      <c r="C480" s="23"/>
      <c r="D480" s="11"/>
      <c r="E480" s="11"/>
      <c r="F480" s="11"/>
      <c r="G480" s="13"/>
      <c r="H480" s="14"/>
      <c r="I480" s="14"/>
      <c r="J480" s="14"/>
      <c r="K480" s="14"/>
      <c r="L480" s="18"/>
      <c r="M480" s="13"/>
      <c r="N480" s="13"/>
      <c r="O480" s="14"/>
      <c r="P480" s="15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4" customHeight="1">
      <c r="A481" s="19"/>
      <c r="B481" s="11"/>
      <c r="C481" s="23"/>
      <c r="D481" s="11"/>
      <c r="E481" s="11"/>
      <c r="F481" s="11"/>
      <c r="G481" s="13"/>
      <c r="H481" s="14"/>
      <c r="I481" s="14"/>
      <c r="J481" s="14"/>
      <c r="K481" s="14"/>
      <c r="L481" s="18"/>
      <c r="M481" s="13"/>
      <c r="N481" s="13"/>
      <c r="O481" s="14"/>
      <c r="P481" s="15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4" customHeight="1">
      <c r="A482" s="19"/>
      <c r="B482" s="11"/>
      <c r="C482" s="23"/>
      <c r="D482" s="11"/>
      <c r="E482" s="11"/>
      <c r="F482" s="11"/>
      <c r="G482" s="13"/>
      <c r="H482" s="14"/>
      <c r="I482" s="14"/>
      <c r="J482" s="14"/>
      <c r="K482" s="14"/>
      <c r="L482" s="18"/>
      <c r="M482" s="13"/>
      <c r="N482" s="13"/>
      <c r="O482" s="14"/>
      <c r="P482" s="15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4" customHeight="1">
      <c r="A483" s="19"/>
      <c r="B483" s="11"/>
      <c r="C483" s="23"/>
      <c r="D483" s="11"/>
      <c r="E483" s="11"/>
      <c r="F483" s="11"/>
      <c r="G483" s="13"/>
      <c r="H483" s="14"/>
      <c r="I483" s="14"/>
      <c r="J483" s="14"/>
      <c r="K483" s="14"/>
      <c r="L483" s="18"/>
      <c r="M483" s="13"/>
      <c r="N483" s="13"/>
      <c r="O483" s="14"/>
      <c r="P483" s="15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4" customHeight="1">
      <c r="A484" s="19"/>
      <c r="B484" s="11"/>
      <c r="C484" s="23"/>
      <c r="D484" s="11"/>
      <c r="E484" s="11"/>
      <c r="F484" s="11"/>
      <c r="G484" s="13"/>
      <c r="H484" s="14"/>
      <c r="I484" s="14"/>
      <c r="J484" s="14"/>
      <c r="K484" s="14"/>
      <c r="L484" s="18"/>
      <c r="M484" s="13"/>
      <c r="N484" s="13"/>
      <c r="O484" s="14"/>
      <c r="P484" s="15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4" customHeight="1">
      <c r="A485" s="19"/>
      <c r="B485" s="11"/>
      <c r="C485" s="23"/>
      <c r="D485" s="11"/>
      <c r="E485" s="11"/>
      <c r="F485" s="11"/>
      <c r="G485" s="13"/>
      <c r="H485" s="14"/>
      <c r="I485" s="14"/>
      <c r="J485" s="14"/>
      <c r="K485" s="14"/>
      <c r="L485" s="18"/>
      <c r="M485" s="13"/>
      <c r="N485" s="13"/>
      <c r="O485" s="14"/>
      <c r="P485" s="15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4" customHeight="1">
      <c r="A486" s="19"/>
      <c r="B486" s="11"/>
      <c r="C486" s="23"/>
      <c r="D486" s="11"/>
      <c r="E486" s="11"/>
      <c r="F486" s="11"/>
      <c r="G486" s="13"/>
      <c r="H486" s="14"/>
      <c r="I486" s="14"/>
      <c r="J486" s="14"/>
      <c r="K486" s="14"/>
      <c r="L486" s="18"/>
      <c r="M486" s="13"/>
      <c r="N486" s="13"/>
      <c r="O486" s="14"/>
      <c r="P486" s="15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4" customHeight="1">
      <c r="A487" s="19"/>
      <c r="B487" s="11"/>
      <c r="C487" s="23"/>
      <c r="D487" s="11"/>
      <c r="E487" s="11"/>
      <c r="F487" s="11"/>
      <c r="G487" s="13"/>
      <c r="H487" s="14"/>
      <c r="I487" s="14"/>
      <c r="J487" s="14"/>
      <c r="K487" s="14"/>
      <c r="L487" s="18"/>
      <c r="M487" s="13"/>
      <c r="N487" s="13"/>
      <c r="O487" s="14"/>
      <c r="P487" s="15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4" customHeight="1">
      <c r="A488" s="19"/>
      <c r="B488" s="11"/>
      <c r="C488" s="23"/>
      <c r="D488" s="11"/>
      <c r="E488" s="11"/>
      <c r="F488" s="11"/>
      <c r="G488" s="13"/>
      <c r="H488" s="14"/>
      <c r="I488" s="14"/>
      <c r="J488" s="14"/>
      <c r="K488" s="14"/>
      <c r="L488" s="18"/>
      <c r="M488" s="13"/>
      <c r="N488" s="13"/>
      <c r="O488" s="14"/>
      <c r="P488" s="15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4" customHeight="1">
      <c r="A489" s="19"/>
      <c r="B489" s="11"/>
      <c r="C489" s="23"/>
      <c r="D489" s="11"/>
      <c r="E489" s="11"/>
      <c r="F489" s="11"/>
      <c r="G489" s="13"/>
      <c r="H489" s="14"/>
      <c r="I489" s="14"/>
      <c r="J489" s="14"/>
      <c r="K489" s="14"/>
      <c r="L489" s="18"/>
      <c r="M489" s="13"/>
      <c r="N489" s="13"/>
      <c r="O489" s="14"/>
      <c r="P489" s="15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4" customHeight="1">
      <c r="A490" s="19"/>
      <c r="B490" s="11"/>
      <c r="C490" s="23"/>
      <c r="D490" s="11"/>
      <c r="E490" s="11"/>
      <c r="F490" s="11"/>
      <c r="G490" s="13"/>
      <c r="H490" s="14"/>
      <c r="I490" s="14"/>
      <c r="J490" s="14"/>
      <c r="K490" s="14"/>
      <c r="L490" s="18"/>
      <c r="M490" s="13"/>
      <c r="N490" s="13"/>
      <c r="O490" s="14"/>
      <c r="P490" s="15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4" customHeight="1">
      <c r="A491" s="19"/>
      <c r="B491" s="11"/>
      <c r="C491" s="23"/>
      <c r="D491" s="11"/>
      <c r="E491" s="11"/>
      <c r="F491" s="11"/>
      <c r="G491" s="13"/>
      <c r="H491" s="14"/>
      <c r="I491" s="14"/>
      <c r="J491" s="14"/>
      <c r="K491" s="14"/>
      <c r="L491" s="18"/>
      <c r="M491" s="13"/>
      <c r="N491" s="13"/>
      <c r="O491" s="14"/>
      <c r="P491" s="15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4" customHeight="1">
      <c r="A492" s="19"/>
      <c r="B492" s="11"/>
      <c r="C492" s="23"/>
      <c r="D492" s="11"/>
      <c r="E492" s="11"/>
      <c r="F492" s="11"/>
      <c r="G492" s="13"/>
      <c r="H492" s="14"/>
      <c r="I492" s="14"/>
      <c r="J492" s="14"/>
      <c r="K492" s="14"/>
      <c r="L492" s="18"/>
      <c r="M492" s="13"/>
      <c r="N492" s="13"/>
      <c r="O492" s="14"/>
      <c r="P492" s="15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4" customHeight="1">
      <c r="A493" s="19"/>
      <c r="B493" s="11"/>
      <c r="C493" s="23"/>
      <c r="D493" s="11"/>
      <c r="E493" s="11"/>
      <c r="F493" s="11"/>
      <c r="G493" s="13"/>
      <c r="H493" s="14"/>
      <c r="I493" s="14"/>
      <c r="J493" s="14"/>
      <c r="K493" s="14"/>
      <c r="L493" s="18"/>
      <c r="M493" s="13"/>
      <c r="N493" s="13"/>
      <c r="O493" s="14"/>
      <c r="P493" s="15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4" customHeight="1">
      <c r="A494" s="19"/>
      <c r="B494" s="11"/>
      <c r="C494" s="23"/>
      <c r="D494" s="11"/>
      <c r="E494" s="11"/>
      <c r="F494" s="11"/>
      <c r="G494" s="13"/>
      <c r="H494" s="14"/>
      <c r="I494" s="14"/>
      <c r="J494" s="14"/>
      <c r="K494" s="14"/>
      <c r="L494" s="18"/>
      <c r="M494" s="13"/>
      <c r="N494" s="13"/>
      <c r="O494" s="14"/>
      <c r="P494" s="15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4" customHeight="1">
      <c r="A495" s="19"/>
      <c r="B495" s="11"/>
      <c r="C495" s="23"/>
      <c r="D495" s="11"/>
      <c r="E495" s="11"/>
      <c r="F495" s="11"/>
      <c r="G495" s="13"/>
      <c r="H495" s="14"/>
      <c r="I495" s="14"/>
      <c r="J495" s="14"/>
      <c r="K495" s="14"/>
      <c r="L495" s="18"/>
      <c r="M495" s="13"/>
      <c r="N495" s="13"/>
      <c r="O495" s="14"/>
      <c r="P495" s="15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4" customHeight="1">
      <c r="A496" s="19"/>
      <c r="B496" s="11"/>
      <c r="C496" s="23"/>
      <c r="D496" s="11"/>
      <c r="E496" s="11"/>
      <c r="F496" s="11"/>
      <c r="G496" s="13"/>
      <c r="H496" s="14"/>
      <c r="I496" s="14"/>
      <c r="J496" s="14"/>
      <c r="K496" s="14"/>
      <c r="L496" s="18"/>
      <c r="M496" s="13"/>
      <c r="N496" s="13"/>
      <c r="O496" s="14"/>
      <c r="P496" s="15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4" customHeight="1">
      <c r="A497" s="19"/>
      <c r="B497" s="11"/>
      <c r="C497" s="23"/>
      <c r="D497" s="11"/>
      <c r="E497" s="11"/>
      <c r="F497" s="11"/>
      <c r="G497" s="13"/>
      <c r="H497" s="14"/>
      <c r="I497" s="14"/>
      <c r="J497" s="14"/>
      <c r="K497" s="14"/>
      <c r="L497" s="18"/>
      <c r="M497" s="13"/>
      <c r="N497" s="13"/>
      <c r="O497" s="14"/>
      <c r="P497" s="15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4" customHeight="1">
      <c r="A498" s="19"/>
      <c r="B498" s="11"/>
      <c r="C498" s="23"/>
      <c r="D498" s="11"/>
      <c r="E498" s="11"/>
      <c r="F498" s="11"/>
      <c r="G498" s="13"/>
      <c r="H498" s="14"/>
      <c r="I498" s="14"/>
      <c r="J498" s="14"/>
      <c r="K498" s="14"/>
      <c r="L498" s="18"/>
      <c r="M498" s="13"/>
      <c r="N498" s="13"/>
      <c r="O498" s="14"/>
      <c r="P498" s="15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4" customHeight="1">
      <c r="A499" s="19"/>
      <c r="B499" s="11"/>
      <c r="C499" s="23"/>
      <c r="D499" s="11"/>
      <c r="E499" s="11"/>
      <c r="F499" s="11"/>
      <c r="G499" s="13"/>
      <c r="H499" s="14"/>
      <c r="I499" s="14"/>
      <c r="J499" s="14"/>
      <c r="K499" s="14"/>
      <c r="L499" s="18"/>
      <c r="M499" s="13"/>
      <c r="N499" s="13"/>
      <c r="O499" s="14"/>
      <c r="P499" s="15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4" customHeight="1">
      <c r="A500" s="19"/>
      <c r="B500" s="11"/>
      <c r="C500" s="23"/>
      <c r="D500" s="11"/>
      <c r="E500" s="11"/>
      <c r="F500" s="11"/>
      <c r="G500" s="13"/>
      <c r="H500" s="14"/>
      <c r="I500" s="14"/>
      <c r="J500" s="14"/>
      <c r="K500" s="14"/>
      <c r="L500" s="18"/>
      <c r="M500" s="13"/>
      <c r="N500" s="13"/>
      <c r="O500" s="14"/>
      <c r="P500" s="15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4" customHeight="1">
      <c r="A501" s="19"/>
      <c r="B501" s="11"/>
      <c r="C501" s="23"/>
      <c r="D501" s="11"/>
      <c r="E501" s="11"/>
      <c r="F501" s="11"/>
      <c r="G501" s="13"/>
      <c r="H501" s="14"/>
      <c r="I501" s="14"/>
      <c r="J501" s="14"/>
      <c r="K501" s="14"/>
      <c r="L501" s="18"/>
      <c r="M501" s="13"/>
      <c r="N501" s="13"/>
      <c r="O501" s="14"/>
      <c r="P501" s="15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4" customHeight="1">
      <c r="A502" s="19"/>
      <c r="B502" s="11"/>
      <c r="C502" s="23"/>
      <c r="D502" s="11"/>
      <c r="E502" s="11"/>
      <c r="F502" s="11"/>
      <c r="G502" s="13"/>
      <c r="H502" s="14"/>
      <c r="I502" s="14"/>
      <c r="J502" s="14"/>
      <c r="K502" s="14"/>
      <c r="L502" s="18"/>
      <c r="M502" s="13"/>
      <c r="N502" s="13"/>
      <c r="O502" s="14"/>
      <c r="P502" s="15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4" customHeight="1">
      <c r="A503" s="19"/>
      <c r="B503" s="11"/>
      <c r="C503" s="23"/>
      <c r="D503" s="11"/>
      <c r="E503" s="11"/>
      <c r="F503" s="11"/>
      <c r="G503" s="13"/>
      <c r="H503" s="14"/>
      <c r="I503" s="14"/>
      <c r="J503" s="14"/>
      <c r="K503" s="14"/>
      <c r="L503" s="18"/>
      <c r="M503" s="13"/>
      <c r="N503" s="13"/>
      <c r="O503" s="14"/>
      <c r="P503" s="15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4" customHeight="1">
      <c r="A504" s="19"/>
      <c r="B504" s="11"/>
      <c r="C504" s="23"/>
      <c r="D504" s="11"/>
      <c r="E504" s="11"/>
      <c r="F504" s="11"/>
      <c r="G504" s="13"/>
      <c r="H504" s="14"/>
      <c r="I504" s="14"/>
      <c r="J504" s="14"/>
      <c r="K504" s="14"/>
      <c r="L504" s="18"/>
      <c r="M504" s="13"/>
      <c r="N504" s="13"/>
      <c r="O504" s="14"/>
      <c r="P504" s="15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4" customHeight="1">
      <c r="A505" s="19"/>
      <c r="B505" s="11"/>
      <c r="C505" s="23"/>
      <c r="D505" s="11"/>
      <c r="E505" s="11"/>
      <c r="F505" s="11"/>
      <c r="G505" s="13"/>
      <c r="H505" s="14"/>
      <c r="I505" s="14"/>
      <c r="J505" s="14"/>
      <c r="K505" s="14"/>
      <c r="L505" s="18"/>
      <c r="M505" s="13"/>
      <c r="N505" s="13"/>
      <c r="O505" s="14"/>
      <c r="P505" s="15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4" customHeight="1">
      <c r="A506" s="19"/>
      <c r="B506" s="11"/>
      <c r="C506" s="23"/>
      <c r="D506" s="11"/>
      <c r="E506" s="11"/>
      <c r="F506" s="11"/>
      <c r="G506" s="13"/>
      <c r="H506" s="14"/>
      <c r="I506" s="14"/>
      <c r="J506" s="14"/>
      <c r="K506" s="14"/>
      <c r="L506" s="18"/>
      <c r="M506" s="13"/>
      <c r="N506" s="13"/>
      <c r="O506" s="14"/>
      <c r="P506" s="15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4" customHeight="1">
      <c r="A507" s="19"/>
      <c r="B507" s="11"/>
      <c r="C507" s="23"/>
      <c r="D507" s="11"/>
      <c r="E507" s="11"/>
      <c r="F507" s="11"/>
      <c r="G507" s="13"/>
      <c r="H507" s="14"/>
      <c r="I507" s="14"/>
      <c r="J507" s="14"/>
      <c r="K507" s="14"/>
      <c r="L507" s="18"/>
      <c r="M507" s="13"/>
      <c r="N507" s="13"/>
      <c r="O507" s="14"/>
      <c r="P507" s="15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4" customHeight="1">
      <c r="A508" s="19"/>
      <c r="B508" s="11"/>
      <c r="C508" s="23"/>
      <c r="D508" s="11"/>
      <c r="E508" s="11"/>
      <c r="F508" s="11"/>
      <c r="G508" s="13"/>
      <c r="H508" s="14"/>
      <c r="I508" s="14"/>
      <c r="J508" s="14"/>
      <c r="K508" s="14"/>
      <c r="L508" s="18"/>
      <c r="M508" s="13"/>
      <c r="N508" s="13"/>
      <c r="O508" s="14"/>
      <c r="P508" s="15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4" customHeight="1">
      <c r="A509" s="19"/>
      <c r="B509" s="11"/>
      <c r="C509" s="23"/>
      <c r="D509" s="11"/>
      <c r="E509" s="11"/>
      <c r="F509" s="11"/>
      <c r="G509" s="13"/>
      <c r="H509" s="14"/>
      <c r="I509" s="14"/>
      <c r="J509" s="14"/>
      <c r="K509" s="14"/>
      <c r="L509" s="18"/>
      <c r="M509" s="13"/>
      <c r="N509" s="13"/>
      <c r="O509" s="14"/>
      <c r="P509" s="15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4" customHeight="1">
      <c r="A510" s="19"/>
      <c r="B510" s="11"/>
      <c r="C510" s="23"/>
      <c r="D510" s="11"/>
      <c r="E510" s="11"/>
      <c r="F510" s="11"/>
      <c r="G510" s="13"/>
      <c r="H510" s="14"/>
      <c r="I510" s="14"/>
      <c r="J510" s="14"/>
      <c r="K510" s="14"/>
      <c r="L510" s="18"/>
      <c r="M510" s="13"/>
      <c r="N510" s="13"/>
      <c r="O510" s="14"/>
      <c r="P510" s="15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4" customHeight="1">
      <c r="A511" s="19"/>
      <c r="B511" s="11"/>
      <c r="C511" s="23"/>
      <c r="D511" s="11"/>
      <c r="E511" s="11"/>
      <c r="F511" s="11"/>
      <c r="G511" s="13"/>
      <c r="H511" s="14"/>
      <c r="I511" s="14"/>
      <c r="J511" s="14"/>
      <c r="K511" s="14"/>
      <c r="L511" s="18"/>
      <c r="M511" s="13"/>
      <c r="N511" s="13"/>
      <c r="O511" s="14"/>
      <c r="P511" s="15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4" customHeight="1">
      <c r="A512" s="19"/>
      <c r="B512" s="11"/>
      <c r="C512" s="23"/>
      <c r="D512" s="11"/>
      <c r="E512" s="11"/>
      <c r="F512" s="11"/>
      <c r="G512" s="13"/>
      <c r="H512" s="14"/>
      <c r="I512" s="14"/>
      <c r="J512" s="14"/>
      <c r="K512" s="14"/>
      <c r="L512" s="18"/>
      <c r="M512" s="13"/>
      <c r="N512" s="13"/>
      <c r="O512" s="14"/>
      <c r="P512" s="15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4" customHeight="1">
      <c r="A513" s="19"/>
      <c r="B513" s="11"/>
      <c r="C513" s="23"/>
      <c r="D513" s="11"/>
      <c r="E513" s="11"/>
      <c r="F513" s="11"/>
      <c r="G513" s="13"/>
      <c r="H513" s="14"/>
      <c r="I513" s="14"/>
      <c r="J513" s="14"/>
      <c r="K513" s="14"/>
      <c r="L513" s="18"/>
      <c r="M513" s="13"/>
      <c r="N513" s="13"/>
      <c r="O513" s="14"/>
      <c r="P513" s="15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4" customHeight="1">
      <c r="A514" s="19"/>
      <c r="B514" s="11"/>
      <c r="C514" s="23"/>
      <c r="D514" s="11"/>
      <c r="E514" s="11"/>
      <c r="F514" s="11"/>
      <c r="G514" s="13"/>
      <c r="H514" s="14"/>
      <c r="I514" s="14"/>
      <c r="J514" s="14"/>
      <c r="K514" s="14"/>
      <c r="L514" s="18"/>
      <c r="M514" s="13"/>
      <c r="N514" s="13"/>
      <c r="O514" s="14"/>
      <c r="P514" s="15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4" customHeight="1">
      <c r="A515" s="19"/>
      <c r="B515" s="11"/>
      <c r="C515" s="23"/>
      <c r="D515" s="11"/>
      <c r="E515" s="11"/>
      <c r="F515" s="11"/>
      <c r="G515" s="13"/>
      <c r="H515" s="14"/>
      <c r="I515" s="14"/>
      <c r="J515" s="14"/>
      <c r="K515" s="14"/>
      <c r="L515" s="18"/>
      <c r="M515" s="13"/>
      <c r="N515" s="13"/>
      <c r="O515" s="14"/>
      <c r="P515" s="15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4" customHeight="1">
      <c r="A516" s="19"/>
      <c r="B516" s="11"/>
      <c r="C516" s="23"/>
      <c r="D516" s="11"/>
      <c r="E516" s="11"/>
      <c r="F516" s="11"/>
      <c r="G516" s="13"/>
      <c r="H516" s="14"/>
      <c r="I516" s="14"/>
      <c r="J516" s="14"/>
      <c r="K516" s="14"/>
      <c r="L516" s="18"/>
      <c r="M516" s="13"/>
      <c r="N516" s="13"/>
      <c r="O516" s="14"/>
      <c r="P516" s="15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4" customHeight="1">
      <c r="A517" s="19"/>
      <c r="B517" s="11"/>
      <c r="C517" s="23"/>
      <c r="D517" s="11"/>
      <c r="E517" s="11"/>
      <c r="F517" s="11"/>
      <c r="G517" s="13"/>
      <c r="H517" s="14"/>
      <c r="I517" s="14"/>
      <c r="J517" s="14"/>
      <c r="K517" s="14"/>
      <c r="L517" s="18"/>
      <c r="M517" s="13"/>
      <c r="N517" s="13"/>
      <c r="O517" s="14"/>
      <c r="P517" s="15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4" customHeight="1">
      <c r="A518" s="19"/>
      <c r="B518" s="11"/>
      <c r="C518" s="23"/>
      <c r="D518" s="11"/>
      <c r="E518" s="11"/>
      <c r="F518" s="11"/>
      <c r="G518" s="13"/>
      <c r="H518" s="14"/>
      <c r="I518" s="14"/>
      <c r="J518" s="14"/>
      <c r="K518" s="14"/>
      <c r="L518" s="18"/>
      <c r="M518" s="13"/>
      <c r="N518" s="13"/>
      <c r="O518" s="14"/>
      <c r="P518" s="15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4" customHeight="1">
      <c r="A519" s="19"/>
      <c r="B519" s="11"/>
      <c r="C519" s="23"/>
      <c r="D519" s="11"/>
      <c r="E519" s="11"/>
      <c r="F519" s="11"/>
      <c r="G519" s="13"/>
      <c r="H519" s="14"/>
      <c r="I519" s="14"/>
      <c r="J519" s="14"/>
      <c r="K519" s="14"/>
      <c r="L519" s="18"/>
      <c r="M519" s="13"/>
      <c r="N519" s="13"/>
      <c r="O519" s="14"/>
      <c r="P519" s="15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4" customHeight="1">
      <c r="A520" s="19"/>
      <c r="B520" s="11"/>
      <c r="C520" s="23"/>
      <c r="D520" s="11"/>
      <c r="E520" s="11"/>
      <c r="F520" s="11"/>
      <c r="G520" s="13"/>
      <c r="H520" s="14"/>
      <c r="I520" s="14"/>
      <c r="J520" s="14"/>
      <c r="K520" s="14"/>
      <c r="L520" s="18"/>
      <c r="M520" s="13"/>
      <c r="N520" s="13"/>
      <c r="O520" s="14"/>
      <c r="P520" s="15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4" customHeight="1">
      <c r="A521" s="19"/>
      <c r="B521" s="11"/>
      <c r="C521" s="23"/>
      <c r="D521" s="11"/>
      <c r="E521" s="11"/>
      <c r="F521" s="11"/>
      <c r="G521" s="13"/>
      <c r="H521" s="14"/>
      <c r="I521" s="14"/>
      <c r="J521" s="14"/>
      <c r="K521" s="14"/>
      <c r="L521" s="18"/>
      <c r="M521" s="13"/>
      <c r="N521" s="13"/>
      <c r="O521" s="14"/>
      <c r="P521" s="15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4" customHeight="1">
      <c r="A522" s="19"/>
      <c r="B522" s="11"/>
      <c r="C522" s="23"/>
      <c r="D522" s="11"/>
      <c r="E522" s="11"/>
      <c r="F522" s="11"/>
      <c r="G522" s="13"/>
      <c r="H522" s="14"/>
      <c r="I522" s="14"/>
      <c r="J522" s="14"/>
      <c r="K522" s="14"/>
      <c r="L522" s="18"/>
      <c r="M522" s="13"/>
      <c r="N522" s="13"/>
      <c r="O522" s="14"/>
      <c r="P522" s="15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4" customHeight="1">
      <c r="A523" s="19"/>
      <c r="B523" s="11"/>
      <c r="C523" s="23"/>
      <c r="D523" s="11"/>
      <c r="E523" s="11"/>
      <c r="F523" s="11"/>
      <c r="G523" s="13"/>
      <c r="H523" s="14"/>
      <c r="I523" s="14"/>
      <c r="J523" s="14"/>
      <c r="K523" s="14"/>
      <c r="L523" s="18"/>
      <c r="M523" s="13"/>
      <c r="N523" s="13"/>
      <c r="O523" s="14"/>
      <c r="P523" s="15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4" customHeight="1">
      <c r="A524" s="19"/>
      <c r="B524" s="11"/>
      <c r="C524" s="23"/>
      <c r="D524" s="11"/>
      <c r="E524" s="11"/>
      <c r="F524" s="11"/>
      <c r="G524" s="13"/>
      <c r="H524" s="14"/>
      <c r="I524" s="14"/>
      <c r="J524" s="14"/>
      <c r="K524" s="14"/>
      <c r="L524" s="18"/>
      <c r="M524" s="13"/>
      <c r="N524" s="13"/>
      <c r="O524" s="14"/>
      <c r="P524" s="15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4" customHeight="1">
      <c r="A525" s="19"/>
      <c r="B525" s="11"/>
      <c r="C525" s="23"/>
      <c r="D525" s="11"/>
      <c r="E525" s="11"/>
      <c r="F525" s="11"/>
      <c r="G525" s="13"/>
      <c r="H525" s="14"/>
      <c r="I525" s="14"/>
      <c r="J525" s="14"/>
      <c r="K525" s="14"/>
      <c r="L525" s="18"/>
      <c r="M525" s="13"/>
      <c r="N525" s="13"/>
      <c r="O525" s="14"/>
      <c r="P525" s="15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4" customHeight="1">
      <c r="A526" s="19"/>
      <c r="B526" s="11"/>
      <c r="C526" s="23"/>
      <c r="D526" s="11"/>
      <c r="E526" s="11"/>
      <c r="F526" s="11"/>
      <c r="G526" s="13"/>
      <c r="H526" s="14"/>
      <c r="I526" s="14"/>
      <c r="J526" s="14"/>
      <c r="K526" s="14"/>
      <c r="L526" s="18"/>
      <c r="M526" s="13"/>
      <c r="N526" s="13"/>
      <c r="O526" s="14"/>
      <c r="P526" s="15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4" customHeight="1">
      <c r="A527" s="19"/>
      <c r="B527" s="11"/>
      <c r="C527" s="23"/>
      <c r="D527" s="11"/>
      <c r="E527" s="11"/>
      <c r="F527" s="11"/>
      <c r="G527" s="13"/>
      <c r="H527" s="14"/>
      <c r="I527" s="14"/>
      <c r="J527" s="14"/>
      <c r="K527" s="14"/>
      <c r="L527" s="18"/>
      <c r="M527" s="13"/>
      <c r="N527" s="13"/>
      <c r="O527" s="14"/>
      <c r="P527" s="15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4" customHeight="1">
      <c r="A528" s="19"/>
      <c r="B528" s="11"/>
      <c r="C528" s="23"/>
      <c r="D528" s="11"/>
      <c r="E528" s="11"/>
      <c r="F528" s="11"/>
      <c r="G528" s="13"/>
      <c r="H528" s="14"/>
      <c r="I528" s="14"/>
      <c r="J528" s="14"/>
      <c r="K528" s="14"/>
      <c r="L528" s="18"/>
      <c r="M528" s="13"/>
      <c r="N528" s="13"/>
      <c r="O528" s="14"/>
      <c r="P528" s="15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4" customHeight="1">
      <c r="A529" s="19"/>
      <c r="B529" s="11"/>
      <c r="C529" s="23"/>
      <c r="D529" s="11"/>
      <c r="E529" s="11"/>
      <c r="F529" s="11"/>
      <c r="G529" s="13"/>
      <c r="H529" s="14"/>
      <c r="I529" s="14"/>
      <c r="J529" s="14"/>
      <c r="K529" s="14"/>
      <c r="L529" s="18"/>
      <c r="M529" s="13"/>
      <c r="N529" s="13"/>
      <c r="O529" s="14"/>
      <c r="P529" s="15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4" customHeight="1">
      <c r="A530" s="19"/>
      <c r="B530" s="11"/>
      <c r="C530" s="23"/>
      <c r="D530" s="11"/>
      <c r="E530" s="11"/>
      <c r="F530" s="11"/>
      <c r="G530" s="13"/>
      <c r="H530" s="14"/>
      <c r="I530" s="14"/>
      <c r="J530" s="14"/>
      <c r="K530" s="14"/>
      <c r="L530" s="18"/>
      <c r="M530" s="13"/>
      <c r="N530" s="13"/>
      <c r="O530" s="14"/>
      <c r="P530" s="15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4" customHeight="1">
      <c r="A531" s="19"/>
      <c r="B531" s="11"/>
      <c r="C531" s="23"/>
      <c r="D531" s="11"/>
      <c r="E531" s="11"/>
      <c r="F531" s="11"/>
      <c r="G531" s="13"/>
      <c r="H531" s="14"/>
      <c r="I531" s="14"/>
      <c r="J531" s="14"/>
      <c r="K531" s="14"/>
      <c r="L531" s="18"/>
      <c r="M531" s="13"/>
      <c r="N531" s="13"/>
      <c r="O531" s="14"/>
      <c r="P531" s="15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4" customHeight="1">
      <c r="A532" s="19"/>
      <c r="B532" s="11"/>
      <c r="C532" s="23"/>
      <c r="D532" s="11"/>
      <c r="E532" s="11"/>
      <c r="F532" s="11"/>
      <c r="G532" s="13"/>
      <c r="H532" s="14"/>
      <c r="I532" s="14"/>
      <c r="J532" s="14"/>
      <c r="K532" s="14"/>
      <c r="L532" s="18"/>
      <c r="M532" s="13"/>
      <c r="N532" s="13"/>
      <c r="O532" s="14"/>
      <c r="P532" s="15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4" customHeight="1">
      <c r="A533" s="19"/>
      <c r="B533" s="11"/>
      <c r="C533" s="23"/>
      <c r="D533" s="11"/>
      <c r="E533" s="11"/>
      <c r="F533" s="11"/>
      <c r="G533" s="13"/>
      <c r="H533" s="14"/>
      <c r="I533" s="14"/>
      <c r="J533" s="14"/>
      <c r="K533" s="14"/>
      <c r="L533" s="18"/>
      <c r="M533" s="13"/>
      <c r="N533" s="13"/>
      <c r="O533" s="14"/>
      <c r="P533" s="15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4" customHeight="1">
      <c r="A534" s="19"/>
      <c r="B534" s="11"/>
      <c r="C534" s="23"/>
      <c r="D534" s="11"/>
      <c r="E534" s="11"/>
      <c r="F534" s="11"/>
      <c r="G534" s="13"/>
      <c r="H534" s="14"/>
      <c r="I534" s="14"/>
      <c r="J534" s="14"/>
      <c r="K534" s="14"/>
      <c r="L534" s="18"/>
      <c r="M534" s="13"/>
      <c r="N534" s="13"/>
      <c r="O534" s="14"/>
      <c r="P534" s="15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4" customHeight="1">
      <c r="A535" s="19"/>
      <c r="B535" s="11"/>
      <c r="C535" s="23"/>
      <c r="D535" s="11"/>
      <c r="E535" s="11"/>
      <c r="F535" s="11"/>
      <c r="G535" s="13"/>
      <c r="H535" s="14"/>
      <c r="I535" s="14"/>
      <c r="J535" s="14"/>
      <c r="K535" s="14"/>
      <c r="L535" s="18"/>
      <c r="M535" s="13"/>
      <c r="N535" s="13"/>
      <c r="O535" s="14"/>
      <c r="P535" s="15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4" customHeight="1">
      <c r="A536" s="19"/>
      <c r="B536" s="11"/>
      <c r="C536" s="23"/>
      <c r="D536" s="11"/>
      <c r="E536" s="11"/>
      <c r="F536" s="11"/>
      <c r="G536" s="13"/>
      <c r="H536" s="14"/>
      <c r="I536" s="14"/>
      <c r="J536" s="14"/>
      <c r="K536" s="14"/>
      <c r="L536" s="18"/>
      <c r="M536" s="13"/>
      <c r="N536" s="13"/>
      <c r="O536" s="14"/>
      <c r="P536" s="15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4" customHeight="1">
      <c r="A537" s="19"/>
      <c r="B537" s="11"/>
      <c r="C537" s="23"/>
      <c r="D537" s="11"/>
      <c r="E537" s="11"/>
      <c r="F537" s="11"/>
      <c r="G537" s="13"/>
      <c r="H537" s="14"/>
      <c r="I537" s="14"/>
      <c r="J537" s="14"/>
      <c r="K537" s="14"/>
      <c r="L537" s="18"/>
      <c r="M537" s="13"/>
      <c r="N537" s="13"/>
      <c r="O537" s="14"/>
      <c r="P537" s="15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4" customHeight="1">
      <c r="A538" s="19"/>
      <c r="B538" s="11"/>
      <c r="C538" s="23"/>
      <c r="D538" s="11"/>
      <c r="E538" s="11"/>
      <c r="F538" s="11"/>
      <c r="G538" s="13"/>
      <c r="H538" s="14"/>
      <c r="I538" s="14"/>
      <c r="J538" s="14"/>
      <c r="K538" s="14"/>
      <c r="L538" s="18"/>
      <c r="M538" s="13"/>
      <c r="N538" s="13"/>
      <c r="O538" s="14"/>
      <c r="P538" s="15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4" customHeight="1">
      <c r="A539" s="19"/>
      <c r="B539" s="11"/>
      <c r="C539" s="23"/>
      <c r="D539" s="11"/>
      <c r="E539" s="11"/>
      <c r="F539" s="11"/>
      <c r="G539" s="13"/>
      <c r="H539" s="14"/>
      <c r="I539" s="14"/>
      <c r="J539" s="14"/>
      <c r="K539" s="14"/>
      <c r="L539" s="18"/>
      <c r="M539" s="13"/>
      <c r="N539" s="13"/>
      <c r="O539" s="14"/>
      <c r="P539" s="15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4" customHeight="1">
      <c r="A540" s="19"/>
      <c r="B540" s="11"/>
      <c r="C540" s="23"/>
      <c r="D540" s="11"/>
      <c r="E540" s="11"/>
      <c r="F540" s="11"/>
      <c r="G540" s="13"/>
      <c r="H540" s="14"/>
      <c r="I540" s="14"/>
      <c r="J540" s="14"/>
      <c r="K540" s="14"/>
      <c r="L540" s="18"/>
      <c r="M540" s="13"/>
      <c r="N540" s="13"/>
      <c r="O540" s="14"/>
      <c r="P540" s="15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4" customHeight="1">
      <c r="A541" s="19"/>
      <c r="B541" s="11"/>
      <c r="C541" s="23"/>
      <c r="D541" s="11"/>
      <c r="E541" s="11"/>
      <c r="F541" s="11"/>
      <c r="G541" s="13"/>
      <c r="H541" s="14"/>
      <c r="I541" s="14"/>
      <c r="J541" s="14"/>
      <c r="K541" s="14"/>
      <c r="L541" s="18"/>
      <c r="M541" s="13"/>
      <c r="N541" s="13"/>
      <c r="O541" s="14"/>
      <c r="P541" s="15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4" customHeight="1">
      <c r="A542" s="19"/>
      <c r="B542" s="11"/>
      <c r="C542" s="23"/>
      <c r="D542" s="11"/>
      <c r="E542" s="11"/>
      <c r="F542" s="11"/>
      <c r="G542" s="13"/>
      <c r="H542" s="14"/>
      <c r="I542" s="14"/>
      <c r="J542" s="14"/>
      <c r="K542" s="14"/>
      <c r="L542" s="18"/>
      <c r="M542" s="13"/>
      <c r="N542" s="13"/>
      <c r="O542" s="14"/>
      <c r="P542" s="15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4" customHeight="1">
      <c r="A543" s="19"/>
      <c r="B543" s="11"/>
      <c r="C543" s="23"/>
      <c r="D543" s="11"/>
      <c r="E543" s="11"/>
      <c r="F543" s="11"/>
      <c r="G543" s="13"/>
      <c r="H543" s="14"/>
      <c r="I543" s="14"/>
      <c r="J543" s="14"/>
      <c r="K543" s="14"/>
      <c r="L543" s="18"/>
      <c r="M543" s="13"/>
      <c r="N543" s="13"/>
      <c r="O543" s="14"/>
      <c r="P543" s="15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4" customHeight="1">
      <c r="A544" s="19"/>
      <c r="B544" s="11"/>
      <c r="C544" s="23"/>
      <c r="D544" s="11"/>
      <c r="E544" s="11"/>
      <c r="F544" s="11"/>
      <c r="G544" s="13"/>
      <c r="H544" s="14"/>
      <c r="I544" s="14"/>
      <c r="J544" s="14"/>
      <c r="K544" s="14"/>
      <c r="L544" s="18"/>
      <c r="M544" s="13"/>
      <c r="N544" s="13"/>
      <c r="O544" s="14"/>
      <c r="P544" s="15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4" customHeight="1">
      <c r="A545" s="19"/>
      <c r="B545" s="11"/>
      <c r="C545" s="23"/>
      <c r="D545" s="11"/>
      <c r="E545" s="11"/>
      <c r="F545" s="11"/>
      <c r="G545" s="13"/>
      <c r="H545" s="14"/>
      <c r="I545" s="14"/>
      <c r="J545" s="14"/>
      <c r="K545" s="14"/>
      <c r="L545" s="18"/>
      <c r="M545" s="13"/>
      <c r="N545" s="13"/>
      <c r="O545" s="14"/>
      <c r="P545" s="15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4" customHeight="1">
      <c r="A546" s="19"/>
      <c r="B546" s="11"/>
      <c r="C546" s="23"/>
      <c r="D546" s="11"/>
      <c r="E546" s="11"/>
      <c r="F546" s="11"/>
      <c r="G546" s="13"/>
      <c r="H546" s="14"/>
      <c r="I546" s="14"/>
      <c r="J546" s="14"/>
      <c r="K546" s="14"/>
      <c r="L546" s="18"/>
      <c r="M546" s="13"/>
      <c r="N546" s="13"/>
      <c r="O546" s="14"/>
      <c r="P546" s="15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4" customHeight="1">
      <c r="A547" s="19"/>
      <c r="B547" s="11"/>
      <c r="C547" s="23"/>
      <c r="D547" s="11"/>
      <c r="E547" s="11"/>
      <c r="F547" s="11"/>
      <c r="G547" s="13"/>
      <c r="H547" s="14"/>
      <c r="I547" s="14"/>
      <c r="J547" s="14"/>
      <c r="K547" s="14"/>
      <c r="L547" s="18"/>
      <c r="M547" s="13"/>
      <c r="N547" s="13"/>
      <c r="O547" s="14"/>
      <c r="P547" s="15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4" customHeight="1">
      <c r="A548" s="19"/>
      <c r="B548" s="11"/>
      <c r="C548" s="23"/>
      <c r="D548" s="11"/>
      <c r="E548" s="11"/>
      <c r="F548" s="11"/>
      <c r="G548" s="13"/>
      <c r="H548" s="14"/>
      <c r="I548" s="14"/>
      <c r="J548" s="14"/>
      <c r="K548" s="14"/>
      <c r="L548" s="18"/>
      <c r="M548" s="13"/>
      <c r="N548" s="13"/>
      <c r="O548" s="14"/>
      <c r="P548" s="15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4" customHeight="1">
      <c r="A549" s="19"/>
      <c r="B549" s="11"/>
      <c r="C549" s="23"/>
      <c r="D549" s="11"/>
      <c r="E549" s="11"/>
      <c r="F549" s="11"/>
      <c r="G549" s="13"/>
      <c r="H549" s="14"/>
      <c r="I549" s="14"/>
      <c r="J549" s="14"/>
      <c r="K549" s="14"/>
      <c r="L549" s="18"/>
      <c r="M549" s="13"/>
      <c r="N549" s="13"/>
      <c r="O549" s="14"/>
      <c r="P549" s="15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4" customHeight="1">
      <c r="A550" s="19"/>
      <c r="B550" s="11"/>
      <c r="C550" s="23"/>
      <c r="D550" s="11"/>
      <c r="E550" s="11"/>
      <c r="F550" s="11"/>
      <c r="G550" s="13"/>
      <c r="H550" s="14"/>
      <c r="I550" s="14"/>
      <c r="J550" s="14"/>
      <c r="K550" s="14"/>
      <c r="L550" s="18"/>
      <c r="M550" s="13"/>
      <c r="N550" s="13"/>
      <c r="O550" s="14"/>
      <c r="P550" s="15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4" customHeight="1">
      <c r="A551" s="19"/>
      <c r="B551" s="11"/>
      <c r="C551" s="23"/>
      <c r="D551" s="11"/>
      <c r="E551" s="11"/>
      <c r="F551" s="11"/>
      <c r="G551" s="13"/>
      <c r="H551" s="14"/>
      <c r="I551" s="14"/>
      <c r="J551" s="14"/>
      <c r="K551" s="14"/>
      <c r="L551" s="18"/>
      <c r="M551" s="13"/>
      <c r="N551" s="13"/>
      <c r="O551" s="14"/>
      <c r="P551" s="15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4" customHeight="1">
      <c r="A552" s="19"/>
      <c r="B552" s="11"/>
      <c r="C552" s="23"/>
      <c r="D552" s="11"/>
      <c r="E552" s="11"/>
      <c r="F552" s="11"/>
      <c r="G552" s="13"/>
      <c r="H552" s="14"/>
      <c r="I552" s="14"/>
      <c r="J552" s="14"/>
      <c r="K552" s="14"/>
      <c r="L552" s="18"/>
      <c r="M552" s="13"/>
      <c r="N552" s="13"/>
      <c r="O552" s="14"/>
      <c r="P552" s="15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4" customHeight="1">
      <c r="A553" s="19"/>
      <c r="B553" s="11"/>
      <c r="C553" s="23"/>
      <c r="D553" s="11"/>
      <c r="E553" s="11"/>
      <c r="F553" s="11"/>
      <c r="G553" s="13"/>
      <c r="H553" s="14"/>
      <c r="I553" s="14"/>
      <c r="J553" s="14"/>
      <c r="K553" s="14"/>
      <c r="L553" s="18"/>
      <c r="M553" s="13"/>
      <c r="N553" s="13"/>
      <c r="O553" s="14"/>
      <c r="P553" s="15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4" customHeight="1">
      <c r="A554" s="19"/>
      <c r="B554" s="11"/>
      <c r="C554" s="23"/>
      <c r="D554" s="11"/>
      <c r="E554" s="11"/>
      <c r="F554" s="11"/>
      <c r="G554" s="13"/>
      <c r="H554" s="14"/>
      <c r="I554" s="14"/>
      <c r="J554" s="14"/>
      <c r="K554" s="14"/>
      <c r="L554" s="18"/>
      <c r="M554" s="13"/>
      <c r="N554" s="13"/>
      <c r="O554" s="14"/>
      <c r="P554" s="15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4" customHeight="1">
      <c r="A555" s="19"/>
      <c r="B555" s="11"/>
      <c r="C555" s="23"/>
      <c r="D555" s="11"/>
      <c r="E555" s="11"/>
      <c r="F555" s="11"/>
      <c r="G555" s="13"/>
      <c r="H555" s="14"/>
      <c r="I555" s="14"/>
      <c r="J555" s="14"/>
      <c r="K555" s="14"/>
      <c r="L555" s="18"/>
      <c r="M555" s="13"/>
      <c r="N555" s="13"/>
      <c r="O555" s="14"/>
      <c r="P555" s="15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4" customHeight="1">
      <c r="A556" s="19"/>
      <c r="B556" s="11"/>
      <c r="C556" s="23"/>
      <c r="D556" s="11"/>
      <c r="E556" s="11"/>
      <c r="F556" s="11"/>
      <c r="G556" s="13"/>
      <c r="H556" s="14"/>
      <c r="I556" s="14"/>
      <c r="J556" s="14"/>
      <c r="K556" s="14"/>
      <c r="L556" s="18"/>
      <c r="M556" s="13"/>
      <c r="N556" s="13"/>
      <c r="O556" s="14"/>
      <c r="P556" s="15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4" customHeight="1">
      <c r="A557" s="19"/>
      <c r="B557" s="11"/>
      <c r="C557" s="23"/>
      <c r="D557" s="11"/>
      <c r="E557" s="11"/>
      <c r="F557" s="11"/>
      <c r="G557" s="13"/>
      <c r="H557" s="14"/>
      <c r="I557" s="14"/>
      <c r="J557" s="14"/>
      <c r="K557" s="14"/>
      <c r="L557" s="18"/>
      <c r="M557" s="13"/>
      <c r="N557" s="13"/>
      <c r="O557" s="14"/>
      <c r="P557" s="15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4" customHeight="1">
      <c r="A558" s="19"/>
      <c r="B558" s="11"/>
      <c r="C558" s="23"/>
      <c r="D558" s="11"/>
      <c r="E558" s="11"/>
      <c r="F558" s="11"/>
      <c r="G558" s="13"/>
      <c r="H558" s="14"/>
      <c r="I558" s="14"/>
      <c r="J558" s="14"/>
      <c r="K558" s="14"/>
      <c r="L558" s="18"/>
      <c r="M558" s="13"/>
      <c r="N558" s="13"/>
      <c r="O558" s="14"/>
      <c r="P558" s="15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4" customHeight="1">
      <c r="A559" s="19"/>
      <c r="B559" s="11"/>
      <c r="C559" s="23"/>
      <c r="D559" s="11"/>
      <c r="E559" s="11"/>
      <c r="F559" s="11"/>
      <c r="G559" s="13"/>
      <c r="H559" s="14"/>
      <c r="I559" s="14"/>
      <c r="J559" s="14"/>
      <c r="K559" s="14"/>
      <c r="L559" s="18"/>
      <c r="M559" s="13"/>
      <c r="N559" s="13"/>
      <c r="O559" s="14"/>
      <c r="P559" s="15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4" customHeight="1">
      <c r="A560" s="19"/>
      <c r="B560" s="11"/>
      <c r="C560" s="23"/>
      <c r="D560" s="11"/>
      <c r="E560" s="11"/>
      <c r="F560" s="11"/>
      <c r="G560" s="13"/>
      <c r="H560" s="14"/>
      <c r="I560" s="14"/>
      <c r="J560" s="14"/>
      <c r="K560" s="14"/>
      <c r="L560" s="18"/>
      <c r="M560" s="13"/>
      <c r="N560" s="13"/>
      <c r="O560" s="14"/>
      <c r="P560" s="15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4" customHeight="1">
      <c r="A561" s="19"/>
      <c r="B561" s="11"/>
      <c r="C561" s="23"/>
      <c r="D561" s="11"/>
      <c r="E561" s="11"/>
      <c r="F561" s="11"/>
      <c r="G561" s="13"/>
      <c r="H561" s="14"/>
      <c r="I561" s="14"/>
      <c r="J561" s="14"/>
      <c r="K561" s="14"/>
      <c r="L561" s="18"/>
      <c r="M561" s="13"/>
      <c r="N561" s="13"/>
      <c r="O561" s="14"/>
      <c r="P561" s="15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4" customHeight="1">
      <c r="A562" s="19"/>
      <c r="B562" s="11"/>
      <c r="C562" s="23"/>
      <c r="D562" s="11"/>
      <c r="E562" s="11"/>
      <c r="F562" s="11"/>
      <c r="G562" s="13"/>
      <c r="H562" s="14"/>
      <c r="I562" s="14"/>
      <c r="J562" s="14"/>
      <c r="K562" s="14"/>
      <c r="L562" s="18"/>
      <c r="M562" s="13"/>
      <c r="N562" s="13"/>
      <c r="O562" s="14"/>
      <c r="P562" s="15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4" customHeight="1">
      <c r="A563" s="19"/>
      <c r="B563" s="11"/>
      <c r="C563" s="23"/>
      <c r="D563" s="11"/>
      <c r="E563" s="11"/>
      <c r="F563" s="11"/>
      <c r="G563" s="13"/>
      <c r="H563" s="14"/>
      <c r="I563" s="14"/>
      <c r="J563" s="14"/>
      <c r="K563" s="14"/>
      <c r="L563" s="18"/>
      <c r="M563" s="13"/>
      <c r="N563" s="13"/>
      <c r="O563" s="14"/>
      <c r="P563" s="15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4" customHeight="1">
      <c r="A564" s="19"/>
      <c r="B564" s="11"/>
      <c r="C564" s="23"/>
      <c r="D564" s="11"/>
      <c r="E564" s="11"/>
      <c r="F564" s="11"/>
      <c r="G564" s="13"/>
      <c r="H564" s="14"/>
      <c r="I564" s="14"/>
      <c r="J564" s="14"/>
      <c r="K564" s="14"/>
      <c r="L564" s="18"/>
      <c r="M564" s="13"/>
      <c r="N564" s="13"/>
      <c r="O564" s="14"/>
      <c r="P564" s="15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4" customHeight="1">
      <c r="A565" s="19"/>
      <c r="B565" s="11"/>
      <c r="C565" s="23"/>
      <c r="D565" s="11"/>
      <c r="E565" s="11"/>
      <c r="F565" s="11"/>
      <c r="G565" s="13"/>
      <c r="H565" s="14"/>
      <c r="I565" s="14"/>
      <c r="J565" s="14"/>
      <c r="K565" s="14"/>
      <c r="L565" s="18"/>
      <c r="M565" s="13"/>
      <c r="N565" s="13"/>
      <c r="O565" s="14"/>
      <c r="P565" s="15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4" customHeight="1">
      <c r="A566" s="19"/>
      <c r="B566" s="11"/>
      <c r="C566" s="23"/>
      <c r="D566" s="11"/>
      <c r="E566" s="11"/>
      <c r="F566" s="11"/>
      <c r="G566" s="13"/>
      <c r="H566" s="14"/>
      <c r="I566" s="14"/>
      <c r="J566" s="14"/>
      <c r="K566" s="14"/>
      <c r="L566" s="18"/>
      <c r="M566" s="13"/>
      <c r="N566" s="13"/>
      <c r="O566" s="14"/>
      <c r="P566" s="15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4" customHeight="1">
      <c r="A567" s="19"/>
      <c r="B567" s="11"/>
      <c r="C567" s="23"/>
      <c r="D567" s="11"/>
      <c r="E567" s="11"/>
      <c r="F567" s="11"/>
      <c r="G567" s="13"/>
      <c r="H567" s="14"/>
      <c r="I567" s="14"/>
      <c r="J567" s="14"/>
      <c r="K567" s="14"/>
      <c r="L567" s="18"/>
      <c r="M567" s="13"/>
      <c r="N567" s="13"/>
      <c r="O567" s="14"/>
      <c r="P567" s="15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4" customHeight="1">
      <c r="A568" s="19"/>
      <c r="B568" s="11"/>
      <c r="C568" s="23"/>
      <c r="D568" s="11"/>
      <c r="E568" s="11"/>
      <c r="F568" s="11"/>
      <c r="G568" s="13"/>
      <c r="H568" s="14"/>
      <c r="I568" s="14"/>
      <c r="J568" s="14"/>
      <c r="K568" s="14"/>
      <c r="L568" s="18"/>
      <c r="M568" s="13"/>
      <c r="N568" s="13"/>
      <c r="O568" s="14"/>
      <c r="P568" s="15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4" customHeight="1">
      <c r="A569" s="19"/>
      <c r="B569" s="11"/>
      <c r="C569" s="23"/>
      <c r="D569" s="11"/>
      <c r="E569" s="11"/>
      <c r="F569" s="11"/>
      <c r="G569" s="13"/>
      <c r="H569" s="14"/>
      <c r="I569" s="14"/>
      <c r="J569" s="14"/>
      <c r="K569" s="14"/>
      <c r="L569" s="18"/>
      <c r="M569" s="13"/>
      <c r="N569" s="13"/>
      <c r="O569" s="14"/>
      <c r="P569" s="15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4" customHeight="1">
      <c r="A570" s="19"/>
      <c r="B570" s="11"/>
      <c r="C570" s="23"/>
      <c r="D570" s="11"/>
      <c r="E570" s="11"/>
      <c r="F570" s="11"/>
      <c r="G570" s="13"/>
      <c r="H570" s="14"/>
      <c r="I570" s="14"/>
      <c r="J570" s="14"/>
      <c r="K570" s="14"/>
      <c r="L570" s="18"/>
      <c r="M570" s="13"/>
      <c r="N570" s="13"/>
      <c r="O570" s="14"/>
      <c r="P570" s="15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4" customHeight="1">
      <c r="A571" s="19"/>
      <c r="B571" s="11"/>
      <c r="C571" s="23"/>
      <c r="D571" s="11"/>
      <c r="E571" s="11"/>
      <c r="F571" s="11"/>
      <c r="G571" s="13"/>
      <c r="H571" s="14"/>
      <c r="I571" s="14"/>
      <c r="J571" s="14"/>
      <c r="K571" s="14"/>
      <c r="L571" s="18"/>
      <c r="M571" s="13"/>
      <c r="N571" s="13"/>
      <c r="O571" s="14"/>
      <c r="P571" s="15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4" customHeight="1">
      <c r="A572" s="19"/>
      <c r="B572" s="11"/>
      <c r="C572" s="23"/>
      <c r="D572" s="11"/>
      <c r="E572" s="11"/>
      <c r="F572" s="11"/>
      <c r="G572" s="13"/>
      <c r="H572" s="14"/>
      <c r="I572" s="14"/>
      <c r="J572" s="14"/>
      <c r="K572" s="14"/>
      <c r="L572" s="18"/>
      <c r="M572" s="13"/>
      <c r="N572" s="13"/>
      <c r="O572" s="14"/>
      <c r="P572" s="15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4" customHeight="1">
      <c r="A573" s="19"/>
      <c r="B573" s="11"/>
      <c r="C573" s="23"/>
      <c r="D573" s="11"/>
      <c r="E573" s="11"/>
      <c r="F573" s="11"/>
      <c r="G573" s="13"/>
      <c r="H573" s="14"/>
      <c r="I573" s="14"/>
      <c r="J573" s="14"/>
      <c r="K573" s="14"/>
      <c r="L573" s="18"/>
      <c r="M573" s="13"/>
      <c r="N573" s="13"/>
      <c r="O573" s="14"/>
      <c r="P573" s="15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4" customHeight="1">
      <c r="A574" s="19"/>
      <c r="B574" s="11"/>
      <c r="C574" s="23"/>
      <c r="D574" s="11"/>
      <c r="E574" s="11"/>
      <c r="F574" s="11"/>
      <c r="G574" s="13"/>
      <c r="H574" s="14"/>
      <c r="I574" s="14"/>
      <c r="J574" s="14"/>
      <c r="K574" s="14"/>
      <c r="L574" s="18"/>
      <c r="M574" s="13"/>
      <c r="N574" s="13"/>
      <c r="O574" s="14"/>
      <c r="P574" s="15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4" customHeight="1">
      <c r="A575" s="19"/>
      <c r="B575" s="11"/>
      <c r="C575" s="23"/>
      <c r="D575" s="11"/>
      <c r="E575" s="11"/>
      <c r="F575" s="11"/>
      <c r="G575" s="13"/>
      <c r="H575" s="14"/>
      <c r="I575" s="14"/>
      <c r="J575" s="14"/>
      <c r="K575" s="14"/>
      <c r="L575" s="18"/>
      <c r="M575" s="13"/>
      <c r="N575" s="13"/>
      <c r="O575" s="14"/>
      <c r="P575" s="15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4" customHeight="1">
      <c r="A576" s="19"/>
      <c r="B576" s="11"/>
      <c r="C576" s="23"/>
      <c r="D576" s="11"/>
      <c r="E576" s="11"/>
      <c r="F576" s="11"/>
      <c r="G576" s="13"/>
      <c r="H576" s="14"/>
      <c r="I576" s="14"/>
      <c r="J576" s="14"/>
      <c r="K576" s="14"/>
      <c r="L576" s="18"/>
      <c r="M576" s="13"/>
      <c r="N576" s="13"/>
      <c r="O576" s="14"/>
      <c r="P576" s="15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4" customHeight="1">
      <c r="A577" s="19"/>
      <c r="B577" s="11"/>
      <c r="C577" s="23"/>
      <c r="D577" s="11"/>
      <c r="E577" s="11"/>
      <c r="F577" s="11"/>
      <c r="G577" s="13"/>
      <c r="H577" s="14"/>
      <c r="I577" s="14"/>
      <c r="J577" s="14"/>
      <c r="K577" s="14"/>
      <c r="L577" s="18"/>
      <c r="M577" s="13"/>
      <c r="N577" s="13"/>
      <c r="O577" s="14"/>
      <c r="P577" s="15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4" customHeight="1">
      <c r="A578" s="19"/>
      <c r="B578" s="11"/>
      <c r="C578" s="23"/>
      <c r="D578" s="11"/>
      <c r="E578" s="11"/>
      <c r="F578" s="11"/>
      <c r="G578" s="13"/>
      <c r="H578" s="14"/>
      <c r="I578" s="14"/>
      <c r="J578" s="14"/>
      <c r="K578" s="14"/>
      <c r="L578" s="18"/>
      <c r="M578" s="13"/>
      <c r="N578" s="13"/>
      <c r="O578" s="14"/>
      <c r="P578" s="15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4" customHeight="1">
      <c r="A579" s="19"/>
      <c r="B579" s="11"/>
      <c r="C579" s="23"/>
      <c r="D579" s="11"/>
      <c r="E579" s="11"/>
      <c r="F579" s="11"/>
      <c r="G579" s="13"/>
      <c r="H579" s="14"/>
      <c r="I579" s="14"/>
      <c r="J579" s="14"/>
      <c r="K579" s="14"/>
      <c r="L579" s="18"/>
      <c r="M579" s="13"/>
      <c r="N579" s="13"/>
      <c r="O579" s="14"/>
      <c r="P579" s="15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4" customHeight="1">
      <c r="A580" s="19"/>
      <c r="B580" s="11"/>
      <c r="C580" s="23"/>
      <c r="D580" s="11"/>
      <c r="E580" s="11"/>
      <c r="F580" s="11"/>
      <c r="G580" s="13"/>
      <c r="H580" s="14"/>
      <c r="I580" s="14"/>
      <c r="J580" s="14"/>
      <c r="K580" s="14"/>
      <c r="L580" s="18"/>
      <c r="M580" s="13"/>
      <c r="N580" s="13"/>
      <c r="O580" s="14"/>
      <c r="P580" s="15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4" customHeight="1">
      <c r="A581" s="19"/>
      <c r="B581" s="11"/>
      <c r="C581" s="23"/>
      <c r="D581" s="11"/>
      <c r="E581" s="11"/>
      <c r="F581" s="11"/>
      <c r="G581" s="13"/>
      <c r="H581" s="14"/>
      <c r="I581" s="14"/>
      <c r="J581" s="14"/>
      <c r="K581" s="14"/>
      <c r="L581" s="18"/>
      <c r="M581" s="13"/>
      <c r="N581" s="13"/>
      <c r="O581" s="14"/>
      <c r="P581" s="15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4" customHeight="1">
      <c r="A582" s="19"/>
      <c r="B582" s="11"/>
      <c r="C582" s="23"/>
      <c r="D582" s="11"/>
      <c r="E582" s="11"/>
      <c r="F582" s="11"/>
      <c r="G582" s="13"/>
      <c r="H582" s="14"/>
      <c r="I582" s="14"/>
      <c r="J582" s="14"/>
      <c r="K582" s="14"/>
      <c r="L582" s="18"/>
      <c r="M582" s="13"/>
      <c r="N582" s="13"/>
      <c r="O582" s="14"/>
      <c r="P582" s="15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4" customHeight="1">
      <c r="A583" s="19"/>
      <c r="B583" s="11"/>
      <c r="C583" s="23"/>
      <c r="D583" s="11"/>
      <c r="E583" s="11"/>
      <c r="F583" s="11"/>
      <c r="G583" s="13"/>
      <c r="H583" s="14"/>
      <c r="I583" s="14"/>
      <c r="J583" s="14"/>
      <c r="K583" s="14"/>
      <c r="L583" s="18"/>
      <c r="M583" s="13"/>
      <c r="N583" s="13"/>
      <c r="O583" s="14"/>
      <c r="P583" s="15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4" customHeight="1">
      <c r="A584" s="19"/>
      <c r="B584" s="11"/>
      <c r="C584" s="23"/>
      <c r="D584" s="11"/>
      <c r="E584" s="11"/>
      <c r="F584" s="11"/>
      <c r="G584" s="13"/>
      <c r="H584" s="14"/>
      <c r="I584" s="14"/>
      <c r="J584" s="14"/>
      <c r="K584" s="14"/>
      <c r="L584" s="18"/>
      <c r="M584" s="13"/>
      <c r="N584" s="13"/>
      <c r="O584" s="14"/>
      <c r="P584" s="15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4" customHeight="1">
      <c r="A585" s="19"/>
      <c r="B585" s="11"/>
      <c r="C585" s="23"/>
      <c r="D585" s="11"/>
      <c r="E585" s="11"/>
      <c r="F585" s="11"/>
      <c r="G585" s="13"/>
      <c r="H585" s="14"/>
      <c r="I585" s="14"/>
      <c r="J585" s="14"/>
      <c r="K585" s="14"/>
      <c r="L585" s="18"/>
      <c r="M585" s="13"/>
      <c r="N585" s="13"/>
      <c r="O585" s="14"/>
      <c r="P585" s="15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4" customHeight="1">
      <c r="A586" s="19"/>
      <c r="B586" s="11"/>
      <c r="C586" s="23"/>
      <c r="D586" s="11"/>
      <c r="E586" s="11"/>
      <c r="F586" s="11"/>
      <c r="G586" s="13"/>
      <c r="H586" s="14"/>
      <c r="I586" s="14"/>
      <c r="J586" s="14"/>
      <c r="K586" s="14"/>
      <c r="L586" s="18"/>
      <c r="M586" s="13"/>
      <c r="N586" s="13"/>
      <c r="O586" s="14"/>
      <c r="P586" s="15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4" customHeight="1">
      <c r="A587" s="19"/>
      <c r="B587" s="11"/>
      <c r="C587" s="23"/>
      <c r="D587" s="11"/>
      <c r="E587" s="11"/>
      <c r="F587" s="11"/>
      <c r="G587" s="13"/>
      <c r="H587" s="14"/>
      <c r="I587" s="14"/>
      <c r="J587" s="14"/>
      <c r="K587" s="14"/>
      <c r="L587" s="18"/>
      <c r="M587" s="13"/>
      <c r="N587" s="13"/>
      <c r="O587" s="14"/>
      <c r="P587" s="15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4" customHeight="1">
      <c r="A588" s="19"/>
      <c r="B588" s="11"/>
      <c r="C588" s="23"/>
      <c r="D588" s="11"/>
      <c r="E588" s="11"/>
      <c r="F588" s="11"/>
      <c r="G588" s="13"/>
      <c r="H588" s="14"/>
      <c r="I588" s="14"/>
      <c r="J588" s="14"/>
      <c r="K588" s="14"/>
      <c r="L588" s="18"/>
      <c r="M588" s="13"/>
      <c r="N588" s="13"/>
      <c r="O588" s="14"/>
      <c r="P588" s="15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4" customHeight="1">
      <c r="A589" s="19"/>
      <c r="B589" s="11"/>
      <c r="C589" s="23"/>
      <c r="D589" s="11"/>
      <c r="E589" s="11"/>
      <c r="F589" s="11"/>
      <c r="G589" s="13"/>
      <c r="H589" s="14"/>
      <c r="I589" s="14"/>
      <c r="J589" s="14"/>
      <c r="K589" s="14"/>
      <c r="L589" s="18"/>
      <c r="M589" s="13"/>
      <c r="N589" s="13"/>
      <c r="O589" s="14"/>
      <c r="P589" s="15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4" customHeight="1">
      <c r="A590" s="19"/>
      <c r="B590" s="11"/>
      <c r="C590" s="23"/>
      <c r="D590" s="11"/>
      <c r="E590" s="11"/>
      <c r="F590" s="11"/>
      <c r="G590" s="13"/>
      <c r="H590" s="14"/>
      <c r="I590" s="14"/>
      <c r="J590" s="14"/>
      <c r="K590" s="14"/>
      <c r="L590" s="18"/>
      <c r="M590" s="13"/>
      <c r="N590" s="13"/>
      <c r="O590" s="14"/>
      <c r="P590" s="15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4" customHeight="1">
      <c r="A591" s="19"/>
      <c r="B591" s="11"/>
      <c r="C591" s="23"/>
      <c r="D591" s="11"/>
      <c r="E591" s="11"/>
      <c r="F591" s="11"/>
      <c r="G591" s="13"/>
      <c r="H591" s="14"/>
      <c r="I591" s="14"/>
      <c r="J591" s="14"/>
      <c r="K591" s="14"/>
      <c r="L591" s="18"/>
      <c r="M591" s="13"/>
      <c r="N591" s="13"/>
      <c r="O591" s="14"/>
      <c r="P591" s="15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4" customHeight="1">
      <c r="A592" s="19"/>
      <c r="B592" s="11"/>
      <c r="C592" s="23"/>
      <c r="D592" s="11"/>
      <c r="E592" s="11"/>
      <c r="F592" s="11"/>
      <c r="G592" s="13"/>
      <c r="H592" s="14"/>
      <c r="I592" s="14"/>
      <c r="J592" s="14"/>
      <c r="K592" s="14"/>
      <c r="L592" s="18"/>
      <c r="M592" s="13"/>
      <c r="N592" s="13"/>
      <c r="O592" s="14"/>
      <c r="P592" s="15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4" customHeight="1">
      <c r="A593" s="19"/>
      <c r="B593" s="11"/>
      <c r="C593" s="23"/>
      <c r="D593" s="11"/>
      <c r="E593" s="11"/>
      <c r="F593" s="11"/>
      <c r="G593" s="13"/>
      <c r="H593" s="14"/>
      <c r="I593" s="14"/>
      <c r="J593" s="14"/>
      <c r="K593" s="14"/>
      <c r="L593" s="18"/>
      <c r="M593" s="13"/>
      <c r="N593" s="13"/>
      <c r="O593" s="14"/>
      <c r="P593" s="15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4" customHeight="1">
      <c r="A594" s="19"/>
      <c r="B594" s="11"/>
      <c r="C594" s="23"/>
      <c r="D594" s="11"/>
      <c r="E594" s="11"/>
      <c r="F594" s="11"/>
      <c r="G594" s="13"/>
      <c r="H594" s="14"/>
      <c r="I594" s="14"/>
      <c r="J594" s="14"/>
      <c r="K594" s="14"/>
      <c r="L594" s="18"/>
      <c r="M594" s="13"/>
      <c r="N594" s="13"/>
      <c r="O594" s="14"/>
      <c r="P594" s="15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4" customHeight="1">
      <c r="A595" s="19"/>
      <c r="B595" s="11"/>
      <c r="C595" s="23"/>
      <c r="D595" s="11"/>
      <c r="E595" s="11"/>
      <c r="F595" s="11"/>
      <c r="G595" s="13"/>
      <c r="H595" s="14"/>
      <c r="I595" s="14"/>
      <c r="J595" s="14"/>
      <c r="K595" s="14"/>
      <c r="L595" s="18"/>
      <c r="M595" s="13"/>
      <c r="N595" s="13"/>
      <c r="O595" s="14"/>
      <c r="P595" s="15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4" customHeight="1">
      <c r="A596" s="19"/>
      <c r="B596" s="11"/>
      <c r="C596" s="23"/>
      <c r="D596" s="11"/>
      <c r="E596" s="11"/>
      <c r="F596" s="11"/>
      <c r="G596" s="13"/>
      <c r="H596" s="14"/>
      <c r="I596" s="14"/>
      <c r="J596" s="14"/>
      <c r="K596" s="14"/>
      <c r="L596" s="18"/>
      <c r="M596" s="13"/>
      <c r="N596" s="13"/>
      <c r="O596" s="14"/>
      <c r="P596" s="15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4" customHeight="1">
      <c r="A597" s="19"/>
      <c r="B597" s="11"/>
      <c r="C597" s="23"/>
      <c r="D597" s="11"/>
      <c r="E597" s="11"/>
      <c r="F597" s="11"/>
      <c r="G597" s="13"/>
      <c r="H597" s="14"/>
      <c r="I597" s="14"/>
      <c r="J597" s="14"/>
      <c r="K597" s="14"/>
      <c r="L597" s="18"/>
      <c r="M597" s="13"/>
      <c r="N597" s="13"/>
      <c r="O597" s="14"/>
      <c r="P597" s="15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4" customHeight="1">
      <c r="A598" s="19"/>
      <c r="B598" s="11"/>
      <c r="C598" s="23"/>
      <c r="D598" s="11"/>
      <c r="E598" s="11"/>
      <c r="F598" s="11"/>
      <c r="G598" s="13"/>
      <c r="H598" s="14"/>
      <c r="I598" s="14"/>
      <c r="J598" s="14"/>
      <c r="K598" s="14"/>
      <c r="L598" s="18"/>
      <c r="M598" s="13"/>
      <c r="N598" s="13"/>
      <c r="O598" s="14"/>
      <c r="P598" s="15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4" customHeight="1">
      <c r="A599" s="19"/>
      <c r="B599" s="11"/>
      <c r="C599" s="23"/>
      <c r="D599" s="11"/>
      <c r="E599" s="11"/>
      <c r="F599" s="11"/>
      <c r="G599" s="13"/>
      <c r="H599" s="14"/>
      <c r="I599" s="14"/>
      <c r="J599" s="14"/>
      <c r="K599" s="14"/>
      <c r="L599" s="18"/>
      <c r="M599" s="13"/>
      <c r="N599" s="13"/>
      <c r="O599" s="14"/>
      <c r="P599" s="15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4" customHeight="1">
      <c r="A600" s="19"/>
      <c r="B600" s="11"/>
      <c r="C600" s="23"/>
      <c r="D600" s="11"/>
      <c r="E600" s="11"/>
      <c r="F600" s="11"/>
      <c r="G600" s="13"/>
      <c r="H600" s="14"/>
      <c r="I600" s="14"/>
      <c r="J600" s="14"/>
      <c r="K600" s="14"/>
      <c r="L600" s="18"/>
      <c r="M600" s="13"/>
      <c r="N600" s="13"/>
      <c r="O600" s="14"/>
      <c r="P600" s="15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4" customHeight="1">
      <c r="A601" s="19"/>
      <c r="B601" s="11"/>
      <c r="C601" s="23"/>
      <c r="D601" s="11"/>
      <c r="E601" s="11"/>
      <c r="F601" s="11"/>
      <c r="G601" s="13"/>
      <c r="H601" s="14"/>
      <c r="I601" s="14"/>
      <c r="J601" s="14"/>
      <c r="K601" s="14"/>
      <c r="L601" s="18"/>
      <c r="M601" s="13"/>
      <c r="N601" s="13"/>
      <c r="O601" s="14"/>
      <c r="P601" s="15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4" customHeight="1">
      <c r="A602" s="19"/>
      <c r="B602" s="11"/>
      <c r="C602" s="23"/>
      <c r="D602" s="11"/>
      <c r="E602" s="11"/>
      <c r="F602" s="11"/>
      <c r="G602" s="13"/>
      <c r="H602" s="14"/>
      <c r="I602" s="14"/>
      <c r="J602" s="14"/>
      <c r="K602" s="14"/>
      <c r="L602" s="18"/>
      <c r="M602" s="13"/>
      <c r="N602" s="13"/>
      <c r="O602" s="14"/>
      <c r="P602" s="15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4" customHeight="1">
      <c r="A603" s="19"/>
      <c r="B603" s="11"/>
      <c r="C603" s="23"/>
      <c r="D603" s="11"/>
      <c r="E603" s="11"/>
      <c r="F603" s="11"/>
      <c r="G603" s="13"/>
      <c r="H603" s="14"/>
      <c r="I603" s="14"/>
      <c r="J603" s="14"/>
      <c r="K603" s="14"/>
      <c r="L603" s="18"/>
      <c r="M603" s="13"/>
      <c r="N603" s="13"/>
      <c r="O603" s="14"/>
      <c r="P603" s="15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4" customHeight="1">
      <c r="A604" s="19"/>
      <c r="B604" s="11"/>
      <c r="C604" s="23"/>
      <c r="D604" s="11"/>
      <c r="E604" s="11"/>
      <c r="F604" s="11"/>
      <c r="G604" s="13"/>
      <c r="H604" s="14"/>
      <c r="I604" s="14"/>
      <c r="J604" s="14"/>
      <c r="K604" s="14"/>
      <c r="L604" s="18"/>
      <c r="M604" s="13"/>
      <c r="N604" s="13"/>
      <c r="O604" s="14"/>
      <c r="P604" s="15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4" customHeight="1">
      <c r="A605" s="19"/>
      <c r="B605" s="11"/>
      <c r="C605" s="23"/>
      <c r="D605" s="11"/>
      <c r="E605" s="11"/>
      <c r="F605" s="11"/>
      <c r="G605" s="13"/>
      <c r="H605" s="14"/>
      <c r="I605" s="14"/>
      <c r="J605" s="14"/>
      <c r="K605" s="14"/>
      <c r="L605" s="18"/>
      <c r="M605" s="13"/>
      <c r="N605" s="13"/>
      <c r="O605" s="14"/>
      <c r="P605" s="15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4" customHeight="1">
      <c r="A606" s="19"/>
      <c r="B606" s="11"/>
      <c r="C606" s="23"/>
      <c r="D606" s="11"/>
      <c r="E606" s="11"/>
      <c r="F606" s="11"/>
      <c r="G606" s="13"/>
      <c r="H606" s="14"/>
      <c r="I606" s="14"/>
      <c r="J606" s="14"/>
      <c r="K606" s="14"/>
      <c r="L606" s="18"/>
      <c r="M606" s="13"/>
      <c r="N606" s="13"/>
      <c r="O606" s="14"/>
      <c r="P606" s="15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4" customHeight="1">
      <c r="A607" s="19"/>
      <c r="B607" s="11"/>
      <c r="C607" s="23"/>
      <c r="D607" s="11"/>
      <c r="E607" s="11"/>
      <c r="F607" s="11"/>
      <c r="G607" s="13"/>
      <c r="H607" s="14"/>
      <c r="I607" s="14"/>
      <c r="J607" s="14"/>
      <c r="K607" s="14"/>
      <c r="L607" s="18"/>
      <c r="M607" s="13"/>
      <c r="N607" s="13"/>
      <c r="O607" s="14"/>
      <c r="P607" s="15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4" customHeight="1">
      <c r="A608" s="19"/>
      <c r="B608" s="11"/>
      <c r="C608" s="23"/>
      <c r="D608" s="11"/>
      <c r="E608" s="11"/>
      <c r="F608" s="11"/>
      <c r="G608" s="13"/>
      <c r="H608" s="14"/>
      <c r="I608" s="14"/>
      <c r="J608" s="14"/>
      <c r="K608" s="14"/>
      <c r="L608" s="18"/>
      <c r="M608" s="13"/>
      <c r="N608" s="13"/>
      <c r="O608" s="14"/>
      <c r="P608" s="15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4" customHeight="1">
      <c r="A609" s="19"/>
      <c r="B609" s="11"/>
      <c r="C609" s="23"/>
      <c r="D609" s="11"/>
      <c r="E609" s="11"/>
      <c r="F609" s="11"/>
      <c r="G609" s="13"/>
      <c r="H609" s="14"/>
      <c r="I609" s="14"/>
      <c r="J609" s="14"/>
      <c r="K609" s="14"/>
      <c r="L609" s="18"/>
      <c r="M609" s="13"/>
      <c r="N609" s="13"/>
      <c r="O609" s="14"/>
      <c r="P609" s="15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4" customHeight="1">
      <c r="A610" s="19"/>
      <c r="B610" s="11"/>
      <c r="C610" s="23"/>
      <c r="D610" s="11"/>
      <c r="E610" s="11"/>
      <c r="F610" s="11"/>
      <c r="G610" s="13"/>
      <c r="H610" s="14"/>
      <c r="I610" s="14"/>
      <c r="J610" s="14"/>
      <c r="K610" s="14"/>
      <c r="L610" s="18"/>
      <c r="M610" s="13"/>
      <c r="N610" s="13"/>
      <c r="O610" s="14"/>
      <c r="P610" s="15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4" customHeight="1">
      <c r="A611" s="19"/>
      <c r="B611" s="11"/>
      <c r="C611" s="23"/>
      <c r="D611" s="11"/>
      <c r="E611" s="11"/>
      <c r="F611" s="11"/>
      <c r="G611" s="13"/>
      <c r="H611" s="14"/>
      <c r="I611" s="14"/>
      <c r="J611" s="14"/>
      <c r="K611" s="14"/>
      <c r="L611" s="18"/>
      <c r="M611" s="13"/>
      <c r="N611" s="13"/>
      <c r="O611" s="14"/>
      <c r="P611" s="15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4" customHeight="1">
      <c r="A612" s="19"/>
      <c r="B612" s="11"/>
      <c r="C612" s="23"/>
      <c r="D612" s="11"/>
      <c r="E612" s="11"/>
      <c r="F612" s="11"/>
      <c r="G612" s="13"/>
      <c r="H612" s="14"/>
      <c r="I612" s="14"/>
      <c r="J612" s="14"/>
      <c r="K612" s="14"/>
      <c r="L612" s="18"/>
      <c r="M612" s="13"/>
      <c r="N612" s="13"/>
      <c r="O612" s="14"/>
      <c r="P612" s="15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4" customHeight="1">
      <c r="A613" s="19"/>
      <c r="B613" s="11"/>
      <c r="C613" s="23"/>
      <c r="D613" s="11"/>
      <c r="E613" s="11"/>
      <c r="F613" s="11"/>
      <c r="G613" s="13"/>
      <c r="H613" s="14"/>
      <c r="I613" s="14"/>
      <c r="J613" s="14"/>
      <c r="K613" s="14"/>
      <c r="L613" s="18"/>
      <c r="M613" s="13"/>
      <c r="N613" s="13"/>
      <c r="O613" s="14"/>
      <c r="P613" s="15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4" customHeight="1">
      <c r="A614" s="19"/>
      <c r="B614" s="11"/>
      <c r="C614" s="23"/>
      <c r="D614" s="11"/>
      <c r="E614" s="11"/>
      <c r="F614" s="11"/>
      <c r="G614" s="13"/>
      <c r="H614" s="14"/>
      <c r="I614" s="14"/>
      <c r="J614" s="14"/>
      <c r="K614" s="14"/>
      <c r="L614" s="18"/>
      <c r="M614" s="13"/>
      <c r="N614" s="13"/>
      <c r="O614" s="14"/>
      <c r="P614" s="15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4" customHeight="1">
      <c r="A615" s="19"/>
      <c r="B615" s="11"/>
      <c r="C615" s="23"/>
      <c r="D615" s="11"/>
      <c r="E615" s="11"/>
      <c r="F615" s="11"/>
      <c r="G615" s="13"/>
      <c r="H615" s="14"/>
      <c r="I615" s="14"/>
      <c r="J615" s="14"/>
      <c r="K615" s="14"/>
      <c r="L615" s="18"/>
      <c r="M615" s="13"/>
      <c r="N615" s="13"/>
      <c r="O615" s="14"/>
      <c r="P615" s="15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4" customHeight="1">
      <c r="A616" s="19"/>
      <c r="B616" s="11"/>
      <c r="C616" s="23"/>
      <c r="D616" s="11"/>
      <c r="E616" s="11"/>
      <c r="F616" s="11"/>
      <c r="G616" s="13"/>
      <c r="H616" s="14"/>
      <c r="I616" s="14"/>
      <c r="J616" s="14"/>
      <c r="K616" s="14"/>
      <c r="L616" s="18"/>
      <c r="M616" s="13"/>
      <c r="N616" s="13"/>
      <c r="O616" s="14"/>
      <c r="P616" s="15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4" customHeight="1">
      <c r="A617" s="19"/>
      <c r="B617" s="11"/>
      <c r="C617" s="23"/>
      <c r="D617" s="11"/>
      <c r="E617" s="11"/>
      <c r="F617" s="11"/>
      <c r="G617" s="13"/>
      <c r="H617" s="14"/>
      <c r="I617" s="14"/>
      <c r="J617" s="14"/>
      <c r="K617" s="14"/>
      <c r="L617" s="18"/>
      <c r="M617" s="13"/>
      <c r="N617" s="13"/>
      <c r="O617" s="14"/>
      <c r="P617" s="15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4" customHeight="1">
      <c r="A618" s="19"/>
      <c r="B618" s="11"/>
      <c r="C618" s="23"/>
      <c r="D618" s="11"/>
      <c r="E618" s="11"/>
      <c r="F618" s="11"/>
      <c r="G618" s="13"/>
      <c r="H618" s="14"/>
      <c r="I618" s="14"/>
      <c r="J618" s="14"/>
      <c r="K618" s="14"/>
      <c r="L618" s="18"/>
      <c r="M618" s="13"/>
      <c r="N618" s="13"/>
      <c r="O618" s="14"/>
      <c r="P618" s="15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4" customHeight="1">
      <c r="A619" s="19"/>
      <c r="B619" s="11"/>
      <c r="C619" s="23"/>
      <c r="D619" s="11"/>
      <c r="E619" s="11"/>
      <c r="F619" s="11"/>
      <c r="G619" s="13"/>
      <c r="H619" s="14"/>
      <c r="I619" s="14"/>
      <c r="J619" s="14"/>
      <c r="K619" s="14"/>
      <c r="L619" s="18"/>
      <c r="M619" s="13"/>
      <c r="N619" s="13"/>
      <c r="O619" s="14"/>
      <c r="P619" s="15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4" customHeight="1">
      <c r="A620" s="19"/>
      <c r="B620" s="11"/>
      <c r="C620" s="23"/>
      <c r="D620" s="11"/>
      <c r="E620" s="11"/>
      <c r="F620" s="11"/>
      <c r="G620" s="13"/>
      <c r="H620" s="14"/>
      <c r="I620" s="14"/>
      <c r="J620" s="14"/>
      <c r="K620" s="14"/>
      <c r="L620" s="18"/>
      <c r="M620" s="13"/>
      <c r="N620" s="13"/>
      <c r="O620" s="14"/>
      <c r="P620" s="15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4" customHeight="1">
      <c r="A621" s="19"/>
      <c r="B621" s="11"/>
      <c r="C621" s="23"/>
      <c r="D621" s="11"/>
      <c r="E621" s="11"/>
      <c r="F621" s="11"/>
      <c r="G621" s="13"/>
      <c r="H621" s="14"/>
      <c r="I621" s="14"/>
      <c r="J621" s="14"/>
      <c r="K621" s="14"/>
      <c r="L621" s="18"/>
      <c r="M621" s="13"/>
      <c r="N621" s="13"/>
      <c r="O621" s="14"/>
      <c r="P621" s="15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4" customHeight="1">
      <c r="A622" s="19"/>
      <c r="B622" s="11"/>
      <c r="C622" s="23"/>
      <c r="D622" s="11"/>
      <c r="E622" s="11"/>
      <c r="F622" s="11"/>
      <c r="G622" s="13"/>
      <c r="H622" s="14"/>
      <c r="I622" s="14"/>
      <c r="J622" s="14"/>
      <c r="K622" s="14"/>
      <c r="L622" s="18"/>
      <c r="M622" s="13"/>
      <c r="N622" s="13"/>
      <c r="O622" s="14"/>
      <c r="P622" s="15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4" customHeight="1">
      <c r="A623" s="19"/>
      <c r="B623" s="11"/>
      <c r="C623" s="23"/>
      <c r="D623" s="11"/>
      <c r="E623" s="11"/>
      <c r="F623" s="11"/>
      <c r="G623" s="13"/>
      <c r="H623" s="14"/>
      <c r="I623" s="14"/>
      <c r="J623" s="14"/>
      <c r="K623" s="14"/>
      <c r="L623" s="18"/>
      <c r="M623" s="13"/>
      <c r="N623" s="13"/>
      <c r="O623" s="14"/>
      <c r="P623" s="15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4" customHeight="1">
      <c r="A624" s="19"/>
      <c r="B624" s="11"/>
      <c r="C624" s="23"/>
      <c r="D624" s="11"/>
      <c r="E624" s="11"/>
      <c r="F624" s="11"/>
      <c r="G624" s="13"/>
      <c r="H624" s="14"/>
      <c r="I624" s="14"/>
      <c r="J624" s="14"/>
      <c r="K624" s="14"/>
      <c r="L624" s="18"/>
      <c r="M624" s="13"/>
      <c r="N624" s="13"/>
      <c r="O624" s="14"/>
      <c r="P624" s="15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4" customHeight="1">
      <c r="A625" s="19"/>
      <c r="B625" s="11"/>
      <c r="C625" s="23"/>
      <c r="D625" s="11"/>
      <c r="E625" s="11"/>
      <c r="F625" s="11"/>
      <c r="G625" s="13"/>
      <c r="H625" s="14"/>
      <c r="I625" s="14"/>
      <c r="J625" s="14"/>
      <c r="K625" s="14"/>
      <c r="L625" s="18"/>
      <c r="M625" s="13"/>
      <c r="N625" s="13"/>
      <c r="O625" s="14"/>
      <c r="P625" s="15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4" customHeight="1">
      <c r="A626" s="19"/>
      <c r="B626" s="11"/>
      <c r="C626" s="23"/>
      <c r="D626" s="11"/>
      <c r="E626" s="11"/>
      <c r="F626" s="11"/>
      <c r="G626" s="13"/>
      <c r="H626" s="14"/>
      <c r="I626" s="14"/>
      <c r="J626" s="14"/>
      <c r="K626" s="14"/>
      <c r="L626" s="18"/>
      <c r="M626" s="13"/>
      <c r="N626" s="13"/>
      <c r="O626" s="14"/>
      <c r="P626" s="15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4" customHeight="1">
      <c r="A627" s="19"/>
      <c r="B627" s="11"/>
      <c r="C627" s="23"/>
      <c r="D627" s="11"/>
      <c r="E627" s="11"/>
      <c r="F627" s="11"/>
      <c r="G627" s="13"/>
      <c r="H627" s="14"/>
      <c r="I627" s="14"/>
      <c r="J627" s="14"/>
      <c r="K627" s="14"/>
      <c r="L627" s="18"/>
      <c r="M627" s="13"/>
      <c r="N627" s="13"/>
      <c r="O627" s="14"/>
      <c r="P627" s="15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4" customHeight="1">
      <c r="A628" s="19"/>
      <c r="B628" s="11"/>
      <c r="C628" s="23"/>
      <c r="D628" s="11"/>
      <c r="E628" s="11"/>
      <c r="F628" s="11"/>
      <c r="G628" s="13"/>
      <c r="H628" s="14"/>
      <c r="I628" s="14"/>
      <c r="J628" s="14"/>
      <c r="K628" s="14"/>
      <c r="L628" s="18"/>
      <c r="M628" s="13"/>
      <c r="N628" s="13"/>
      <c r="O628" s="14"/>
      <c r="P628" s="15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4" customHeight="1">
      <c r="A629" s="19"/>
      <c r="B629" s="11"/>
      <c r="C629" s="23"/>
      <c r="D629" s="11"/>
      <c r="E629" s="11"/>
      <c r="F629" s="11"/>
      <c r="G629" s="13"/>
      <c r="H629" s="14"/>
      <c r="I629" s="14"/>
      <c r="J629" s="14"/>
      <c r="K629" s="14"/>
      <c r="L629" s="18"/>
      <c r="M629" s="13"/>
      <c r="N629" s="13"/>
      <c r="O629" s="14"/>
      <c r="P629" s="15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4" customHeight="1">
      <c r="A630" s="19"/>
      <c r="B630" s="11"/>
      <c r="C630" s="23"/>
      <c r="D630" s="11"/>
      <c r="E630" s="11"/>
      <c r="F630" s="11"/>
      <c r="G630" s="13"/>
      <c r="H630" s="14"/>
      <c r="I630" s="14"/>
      <c r="J630" s="14"/>
      <c r="K630" s="14"/>
      <c r="L630" s="18"/>
      <c r="M630" s="13"/>
      <c r="N630" s="13"/>
      <c r="O630" s="14"/>
      <c r="P630" s="15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4" customHeight="1">
      <c r="A631" s="19"/>
      <c r="B631" s="11"/>
      <c r="C631" s="23"/>
      <c r="D631" s="11"/>
      <c r="E631" s="11"/>
      <c r="F631" s="11"/>
      <c r="G631" s="13"/>
      <c r="H631" s="14"/>
      <c r="I631" s="14"/>
      <c r="J631" s="14"/>
      <c r="K631" s="14"/>
      <c r="L631" s="18"/>
      <c r="M631" s="13"/>
      <c r="N631" s="13"/>
      <c r="O631" s="14"/>
      <c r="P631" s="15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4" customHeight="1">
      <c r="A632" s="19"/>
      <c r="B632" s="11"/>
      <c r="C632" s="23"/>
      <c r="D632" s="11"/>
      <c r="E632" s="11"/>
      <c r="F632" s="11"/>
      <c r="G632" s="13"/>
      <c r="H632" s="14"/>
      <c r="I632" s="14"/>
      <c r="J632" s="14"/>
      <c r="K632" s="14"/>
      <c r="L632" s="18"/>
      <c r="M632" s="13"/>
      <c r="N632" s="13"/>
      <c r="O632" s="14"/>
      <c r="P632" s="15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4" customHeight="1">
      <c r="A633" s="19"/>
      <c r="B633" s="11"/>
      <c r="C633" s="23"/>
      <c r="D633" s="11"/>
      <c r="E633" s="11"/>
      <c r="F633" s="11"/>
      <c r="G633" s="13"/>
      <c r="H633" s="14"/>
      <c r="I633" s="14"/>
      <c r="J633" s="14"/>
      <c r="K633" s="14"/>
      <c r="L633" s="18"/>
      <c r="M633" s="13"/>
      <c r="N633" s="13"/>
      <c r="O633" s="14"/>
      <c r="P633" s="15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4" customHeight="1">
      <c r="A634" s="19"/>
      <c r="B634" s="11"/>
      <c r="C634" s="23"/>
      <c r="D634" s="11"/>
      <c r="E634" s="11"/>
      <c r="F634" s="11"/>
      <c r="G634" s="13"/>
      <c r="H634" s="14"/>
      <c r="I634" s="14"/>
      <c r="J634" s="14"/>
      <c r="K634" s="14"/>
      <c r="L634" s="18"/>
      <c r="M634" s="13"/>
      <c r="N634" s="13"/>
      <c r="O634" s="14"/>
      <c r="P634" s="15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4" customHeight="1">
      <c r="A635" s="19"/>
      <c r="B635" s="11"/>
      <c r="C635" s="23"/>
      <c r="D635" s="11"/>
      <c r="E635" s="11"/>
      <c r="F635" s="11"/>
      <c r="G635" s="13"/>
      <c r="H635" s="14"/>
      <c r="I635" s="14"/>
      <c r="J635" s="14"/>
      <c r="K635" s="14"/>
      <c r="L635" s="18"/>
      <c r="M635" s="13"/>
      <c r="N635" s="13"/>
      <c r="O635" s="14"/>
      <c r="P635" s="15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4" customHeight="1">
      <c r="A636" s="19"/>
      <c r="B636" s="11"/>
      <c r="C636" s="23"/>
      <c r="D636" s="11"/>
      <c r="E636" s="11"/>
      <c r="F636" s="11"/>
      <c r="G636" s="13"/>
      <c r="H636" s="14"/>
      <c r="I636" s="14"/>
      <c r="J636" s="14"/>
      <c r="K636" s="14"/>
      <c r="L636" s="18"/>
      <c r="M636" s="13"/>
      <c r="N636" s="13"/>
      <c r="O636" s="14"/>
      <c r="P636" s="15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4" customHeight="1">
      <c r="A637" s="19"/>
      <c r="B637" s="11"/>
      <c r="C637" s="23"/>
      <c r="D637" s="11"/>
      <c r="E637" s="11"/>
      <c r="F637" s="11"/>
      <c r="G637" s="13"/>
      <c r="H637" s="14"/>
      <c r="I637" s="14"/>
      <c r="J637" s="14"/>
      <c r="K637" s="14"/>
      <c r="L637" s="18"/>
      <c r="M637" s="13"/>
      <c r="N637" s="13"/>
      <c r="O637" s="14"/>
      <c r="P637" s="15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4" customHeight="1">
      <c r="A638" s="19"/>
      <c r="B638" s="11"/>
      <c r="C638" s="23"/>
      <c r="D638" s="11"/>
      <c r="E638" s="11"/>
      <c r="F638" s="11"/>
      <c r="G638" s="13"/>
      <c r="H638" s="14"/>
      <c r="I638" s="14"/>
      <c r="J638" s="14"/>
      <c r="K638" s="14"/>
      <c r="L638" s="18"/>
      <c r="M638" s="13"/>
      <c r="N638" s="13"/>
      <c r="O638" s="14"/>
      <c r="P638" s="15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4" customHeight="1">
      <c r="A639" s="19"/>
      <c r="B639" s="11"/>
      <c r="C639" s="23"/>
      <c r="D639" s="11"/>
      <c r="E639" s="11"/>
      <c r="F639" s="11"/>
      <c r="G639" s="13"/>
      <c r="H639" s="14"/>
      <c r="I639" s="14"/>
      <c r="J639" s="14"/>
      <c r="K639" s="14"/>
      <c r="L639" s="18"/>
      <c r="M639" s="13"/>
      <c r="N639" s="13"/>
      <c r="O639" s="14"/>
      <c r="P639" s="15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4" customHeight="1">
      <c r="A640" s="19"/>
      <c r="B640" s="11"/>
      <c r="C640" s="23"/>
      <c r="D640" s="11"/>
      <c r="E640" s="11"/>
      <c r="F640" s="11"/>
      <c r="G640" s="13"/>
      <c r="H640" s="14"/>
      <c r="I640" s="14"/>
      <c r="J640" s="14"/>
      <c r="K640" s="14"/>
      <c r="L640" s="18"/>
      <c r="M640" s="13"/>
      <c r="N640" s="13"/>
      <c r="O640" s="14"/>
      <c r="P640" s="15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4" customHeight="1">
      <c r="A641" s="19"/>
      <c r="B641" s="11"/>
      <c r="C641" s="23"/>
      <c r="D641" s="11"/>
      <c r="E641" s="11"/>
      <c r="F641" s="11"/>
      <c r="G641" s="13"/>
      <c r="H641" s="14"/>
      <c r="I641" s="14"/>
      <c r="J641" s="14"/>
      <c r="K641" s="14"/>
      <c r="L641" s="18"/>
      <c r="M641" s="13"/>
      <c r="N641" s="13"/>
      <c r="O641" s="14"/>
      <c r="P641" s="15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4" customHeight="1">
      <c r="A642" s="19"/>
      <c r="B642" s="11"/>
      <c r="C642" s="23"/>
      <c r="D642" s="11"/>
      <c r="E642" s="11"/>
      <c r="F642" s="11"/>
      <c r="G642" s="13"/>
      <c r="H642" s="14"/>
      <c r="I642" s="14"/>
      <c r="J642" s="14"/>
      <c r="K642" s="14"/>
      <c r="L642" s="18"/>
      <c r="M642" s="13"/>
      <c r="N642" s="13"/>
      <c r="O642" s="14"/>
      <c r="P642" s="15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4" customHeight="1">
      <c r="A643" s="19"/>
      <c r="B643" s="11"/>
      <c r="C643" s="23"/>
      <c r="D643" s="11"/>
      <c r="E643" s="11"/>
      <c r="F643" s="11"/>
      <c r="G643" s="13"/>
      <c r="H643" s="14"/>
      <c r="I643" s="14"/>
      <c r="J643" s="14"/>
      <c r="K643" s="14"/>
      <c r="L643" s="18"/>
      <c r="M643" s="13"/>
      <c r="N643" s="13"/>
      <c r="O643" s="14"/>
      <c r="P643" s="15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4" customHeight="1">
      <c r="A644" s="19"/>
      <c r="B644" s="11"/>
      <c r="C644" s="23"/>
      <c r="D644" s="11"/>
      <c r="E644" s="11"/>
      <c r="F644" s="11"/>
      <c r="G644" s="13"/>
      <c r="H644" s="14"/>
      <c r="I644" s="14"/>
      <c r="J644" s="14"/>
      <c r="K644" s="14"/>
      <c r="L644" s="18"/>
      <c r="M644" s="13"/>
      <c r="N644" s="13"/>
      <c r="O644" s="14"/>
      <c r="P644" s="15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4" customHeight="1">
      <c r="A645" s="19"/>
      <c r="B645" s="11"/>
      <c r="C645" s="23"/>
      <c r="D645" s="11"/>
      <c r="E645" s="11"/>
      <c r="F645" s="11"/>
      <c r="G645" s="13"/>
      <c r="H645" s="14"/>
      <c r="I645" s="14"/>
      <c r="J645" s="14"/>
      <c r="K645" s="14"/>
      <c r="L645" s="18"/>
      <c r="M645" s="13"/>
      <c r="N645" s="13"/>
      <c r="O645" s="14"/>
      <c r="P645" s="15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4" customHeight="1">
      <c r="A646" s="19"/>
      <c r="B646" s="11"/>
      <c r="C646" s="23"/>
      <c r="D646" s="11"/>
      <c r="E646" s="11"/>
      <c r="F646" s="11"/>
      <c r="G646" s="13"/>
      <c r="H646" s="14"/>
      <c r="I646" s="14"/>
      <c r="J646" s="14"/>
      <c r="K646" s="14"/>
      <c r="L646" s="18"/>
      <c r="M646" s="13"/>
      <c r="N646" s="13"/>
      <c r="O646" s="14"/>
      <c r="P646" s="15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4" customHeight="1">
      <c r="A647" s="19"/>
      <c r="B647" s="11"/>
      <c r="C647" s="23"/>
      <c r="D647" s="11"/>
      <c r="E647" s="11"/>
      <c r="F647" s="11"/>
      <c r="G647" s="13"/>
      <c r="H647" s="14"/>
      <c r="I647" s="14"/>
      <c r="J647" s="14"/>
      <c r="K647" s="14"/>
      <c r="L647" s="18"/>
      <c r="M647" s="13"/>
      <c r="N647" s="13"/>
      <c r="O647" s="14"/>
      <c r="P647" s="15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4" customHeight="1">
      <c r="A648" s="19"/>
      <c r="B648" s="11"/>
      <c r="C648" s="23"/>
      <c r="D648" s="11"/>
      <c r="E648" s="11"/>
      <c r="F648" s="11"/>
      <c r="G648" s="13"/>
      <c r="H648" s="14"/>
      <c r="I648" s="14"/>
      <c r="J648" s="14"/>
      <c r="K648" s="14"/>
      <c r="L648" s="18"/>
      <c r="M648" s="13"/>
      <c r="N648" s="13"/>
      <c r="O648" s="14"/>
      <c r="P648" s="15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4" customHeight="1">
      <c r="A649" s="19"/>
      <c r="B649" s="11"/>
      <c r="C649" s="23"/>
      <c r="D649" s="11"/>
      <c r="E649" s="11"/>
      <c r="F649" s="11"/>
      <c r="G649" s="13"/>
      <c r="H649" s="14"/>
      <c r="I649" s="14"/>
      <c r="J649" s="14"/>
      <c r="K649" s="14"/>
      <c r="L649" s="18"/>
      <c r="M649" s="13"/>
      <c r="N649" s="13"/>
      <c r="O649" s="14"/>
      <c r="P649" s="15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4" customHeight="1">
      <c r="A650" s="19"/>
      <c r="B650" s="11"/>
      <c r="C650" s="23"/>
      <c r="D650" s="11"/>
      <c r="E650" s="11"/>
      <c r="F650" s="11"/>
      <c r="G650" s="13"/>
      <c r="H650" s="14"/>
      <c r="I650" s="14"/>
      <c r="J650" s="14"/>
      <c r="K650" s="14"/>
      <c r="L650" s="18"/>
      <c r="M650" s="13"/>
      <c r="N650" s="13"/>
      <c r="O650" s="14"/>
      <c r="P650" s="15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4" customHeight="1">
      <c r="A651" s="19"/>
      <c r="B651" s="11"/>
      <c r="C651" s="23"/>
      <c r="D651" s="11"/>
      <c r="E651" s="11"/>
      <c r="F651" s="11"/>
      <c r="G651" s="13"/>
      <c r="H651" s="14"/>
      <c r="I651" s="14"/>
      <c r="J651" s="14"/>
      <c r="K651" s="14"/>
      <c r="L651" s="18"/>
      <c r="M651" s="13"/>
      <c r="N651" s="13"/>
      <c r="O651" s="14"/>
      <c r="P651" s="15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4" customHeight="1">
      <c r="A652" s="19"/>
      <c r="B652" s="11"/>
      <c r="C652" s="23"/>
      <c r="D652" s="11"/>
      <c r="E652" s="11"/>
      <c r="F652" s="11"/>
      <c r="G652" s="13"/>
      <c r="H652" s="14"/>
      <c r="I652" s="14"/>
      <c r="J652" s="14"/>
      <c r="K652" s="14"/>
      <c r="L652" s="18"/>
      <c r="M652" s="13"/>
      <c r="N652" s="13"/>
      <c r="O652" s="14"/>
      <c r="P652" s="15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4" customHeight="1">
      <c r="A653" s="19"/>
      <c r="B653" s="11"/>
      <c r="C653" s="23"/>
      <c r="D653" s="11"/>
      <c r="E653" s="11"/>
      <c r="F653" s="11"/>
      <c r="G653" s="13"/>
      <c r="H653" s="14"/>
      <c r="I653" s="14"/>
      <c r="J653" s="14"/>
      <c r="K653" s="14"/>
      <c r="L653" s="18"/>
      <c r="M653" s="13"/>
      <c r="N653" s="13"/>
      <c r="O653" s="14"/>
      <c r="P653" s="15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4" customHeight="1">
      <c r="A654" s="19"/>
      <c r="B654" s="11"/>
      <c r="C654" s="23"/>
      <c r="D654" s="11"/>
      <c r="E654" s="11"/>
      <c r="F654" s="11"/>
      <c r="G654" s="13"/>
      <c r="H654" s="14"/>
      <c r="I654" s="14"/>
      <c r="J654" s="14"/>
      <c r="K654" s="14"/>
      <c r="L654" s="18"/>
      <c r="M654" s="13"/>
      <c r="N654" s="13"/>
      <c r="O654" s="14"/>
      <c r="P654" s="15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4" customHeight="1">
      <c r="A655" s="19"/>
      <c r="B655" s="11"/>
      <c r="C655" s="23"/>
      <c r="D655" s="11"/>
      <c r="E655" s="11"/>
      <c r="F655" s="11"/>
      <c r="G655" s="13"/>
      <c r="H655" s="14"/>
      <c r="I655" s="14"/>
      <c r="J655" s="14"/>
      <c r="K655" s="14"/>
      <c r="L655" s="18"/>
      <c r="M655" s="13"/>
      <c r="N655" s="13"/>
      <c r="O655" s="14"/>
      <c r="P655" s="15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4" customHeight="1">
      <c r="A656" s="19"/>
      <c r="B656" s="11"/>
      <c r="C656" s="23"/>
      <c r="D656" s="11"/>
      <c r="E656" s="11"/>
      <c r="F656" s="11"/>
      <c r="G656" s="13"/>
      <c r="H656" s="14"/>
      <c r="I656" s="14"/>
      <c r="J656" s="14"/>
      <c r="K656" s="14"/>
      <c r="L656" s="18"/>
      <c r="M656" s="13"/>
      <c r="N656" s="13"/>
      <c r="O656" s="14"/>
      <c r="P656" s="15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4" customHeight="1">
      <c r="A657" s="19"/>
      <c r="B657" s="11"/>
      <c r="C657" s="23"/>
      <c r="D657" s="11"/>
      <c r="E657" s="11"/>
      <c r="F657" s="11"/>
      <c r="G657" s="13"/>
      <c r="H657" s="14"/>
      <c r="I657" s="14"/>
      <c r="J657" s="14"/>
      <c r="K657" s="14"/>
      <c r="L657" s="18"/>
      <c r="M657" s="13"/>
      <c r="N657" s="13"/>
      <c r="O657" s="14"/>
      <c r="P657" s="15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4" customHeight="1">
      <c r="A658" s="19"/>
      <c r="B658" s="11"/>
      <c r="C658" s="23"/>
      <c r="D658" s="11"/>
      <c r="E658" s="11"/>
      <c r="F658" s="11"/>
      <c r="G658" s="13"/>
      <c r="H658" s="14"/>
      <c r="I658" s="14"/>
      <c r="J658" s="14"/>
      <c r="K658" s="14"/>
      <c r="L658" s="18"/>
      <c r="M658" s="13"/>
      <c r="N658" s="13"/>
      <c r="O658" s="14"/>
      <c r="P658" s="15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4" customHeight="1">
      <c r="A659" s="19"/>
      <c r="B659" s="11"/>
      <c r="C659" s="23"/>
      <c r="D659" s="11"/>
      <c r="E659" s="11"/>
      <c r="F659" s="11"/>
      <c r="G659" s="13"/>
      <c r="H659" s="14"/>
      <c r="I659" s="14"/>
      <c r="J659" s="14"/>
      <c r="K659" s="14"/>
      <c r="L659" s="18"/>
      <c r="M659" s="13"/>
      <c r="N659" s="13"/>
      <c r="O659" s="14"/>
      <c r="P659" s="15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4" customHeight="1">
      <c r="A660" s="19"/>
      <c r="B660" s="11"/>
      <c r="C660" s="23"/>
      <c r="D660" s="11"/>
      <c r="E660" s="11"/>
      <c r="F660" s="11"/>
      <c r="G660" s="13"/>
      <c r="H660" s="14"/>
      <c r="I660" s="14"/>
      <c r="J660" s="14"/>
      <c r="K660" s="14"/>
      <c r="L660" s="18"/>
      <c r="M660" s="13"/>
      <c r="N660" s="13"/>
      <c r="O660" s="14"/>
      <c r="P660" s="15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4" customHeight="1">
      <c r="A661" s="19"/>
      <c r="B661" s="11"/>
      <c r="C661" s="23"/>
      <c r="D661" s="11"/>
      <c r="E661" s="11"/>
      <c r="F661" s="11"/>
      <c r="G661" s="13"/>
      <c r="H661" s="14"/>
      <c r="I661" s="14"/>
      <c r="J661" s="14"/>
      <c r="K661" s="14"/>
      <c r="L661" s="18"/>
      <c r="M661" s="13"/>
      <c r="N661" s="13"/>
      <c r="O661" s="14"/>
      <c r="P661" s="15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4" customHeight="1">
      <c r="A662" s="19"/>
      <c r="B662" s="11"/>
      <c r="C662" s="23"/>
      <c r="D662" s="11"/>
      <c r="E662" s="11"/>
      <c r="F662" s="11"/>
      <c r="G662" s="13"/>
      <c r="H662" s="14"/>
      <c r="I662" s="14"/>
      <c r="J662" s="14"/>
      <c r="K662" s="14"/>
      <c r="L662" s="18"/>
      <c r="M662" s="13"/>
      <c r="N662" s="13"/>
      <c r="O662" s="14"/>
      <c r="P662" s="15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4" customHeight="1">
      <c r="A663" s="19"/>
      <c r="B663" s="11"/>
      <c r="C663" s="23"/>
      <c r="D663" s="11"/>
      <c r="E663" s="11"/>
      <c r="F663" s="11"/>
      <c r="G663" s="13"/>
      <c r="H663" s="14"/>
      <c r="I663" s="14"/>
      <c r="J663" s="14"/>
      <c r="K663" s="14"/>
      <c r="L663" s="18"/>
      <c r="M663" s="13"/>
      <c r="N663" s="13"/>
      <c r="O663" s="14"/>
      <c r="P663" s="15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4" customHeight="1">
      <c r="A664" s="19"/>
      <c r="B664" s="11"/>
      <c r="C664" s="23"/>
      <c r="D664" s="11"/>
      <c r="E664" s="11"/>
      <c r="F664" s="11"/>
      <c r="G664" s="13"/>
      <c r="H664" s="14"/>
      <c r="I664" s="14"/>
      <c r="J664" s="14"/>
      <c r="K664" s="14"/>
      <c r="L664" s="18"/>
      <c r="M664" s="13"/>
      <c r="N664" s="13"/>
      <c r="O664" s="14"/>
      <c r="P664" s="15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4" customHeight="1">
      <c r="A665" s="19"/>
      <c r="B665" s="11"/>
      <c r="C665" s="23"/>
      <c r="D665" s="11"/>
      <c r="E665" s="11"/>
      <c r="F665" s="11"/>
      <c r="G665" s="13"/>
      <c r="H665" s="14"/>
      <c r="I665" s="14"/>
      <c r="J665" s="14"/>
      <c r="K665" s="14"/>
      <c r="L665" s="18"/>
      <c r="M665" s="13"/>
      <c r="N665" s="13"/>
      <c r="O665" s="14"/>
      <c r="P665" s="15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4" customHeight="1">
      <c r="A666" s="19"/>
      <c r="B666" s="11"/>
      <c r="C666" s="23"/>
      <c r="D666" s="11"/>
      <c r="E666" s="11"/>
      <c r="F666" s="11"/>
      <c r="G666" s="13"/>
      <c r="H666" s="14"/>
      <c r="I666" s="14"/>
      <c r="J666" s="14"/>
      <c r="K666" s="14"/>
      <c r="L666" s="18"/>
      <c r="M666" s="13"/>
      <c r="N666" s="13"/>
      <c r="O666" s="14"/>
      <c r="P666" s="15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4" customHeight="1">
      <c r="A667" s="19"/>
      <c r="B667" s="11"/>
      <c r="C667" s="23"/>
      <c r="D667" s="11"/>
      <c r="E667" s="11"/>
      <c r="F667" s="11"/>
      <c r="G667" s="13"/>
      <c r="H667" s="14"/>
      <c r="I667" s="14"/>
      <c r="J667" s="14"/>
      <c r="K667" s="14"/>
      <c r="L667" s="18"/>
      <c r="M667" s="13"/>
      <c r="N667" s="13"/>
      <c r="O667" s="14"/>
      <c r="P667" s="15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4" customHeight="1">
      <c r="A668" s="19"/>
      <c r="B668" s="11"/>
      <c r="C668" s="23"/>
      <c r="D668" s="11"/>
      <c r="E668" s="11"/>
      <c r="F668" s="11"/>
      <c r="G668" s="13"/>
      <c r="H668" s="14"/>
      <c r="I668" s="14"/>
      <c r="J668" s="14"/>
      <c r="K668" s="14"/>
      <c r="L668" s="18"/>
      <c r="M668" s="13"/>
      <c r="N668" s="13"/>
      <c r="O668" s="14"/>
      <c r="P668" s="15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4" customHeight="1">
      <c r="A669" s="19"/>
      <c r="B669" s="11"/>
      <c r="C669" s="23"/>
      <c r="D669" s="11"/>
      <c r="E669" s="11"/>
      <c r="F669" s="11"/>
      <c r="G669" s="13"/>
      <c r="H669" s="14"/>
      <c r="I669" s="14"/>
      <c r="J669" s="14"/>
      <c r="K669" s="14"/>
      <c r="L669" s="18"/>
      <c r="M669" s="13"/>
      <c r="N669" s="13"/>
      <c r="O669" s="14"/>
      <c r="P669" s="15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4" customHeight="1">
      <c r="A670" s="19"/>
      <c r="B670" s="11"/>
      <c r="C670" s="23"/>
      <c r="D670" s="11"/>
      <c r="E670" s="11"/>
      <c r="F670" s="11"/>
      <c r="G670" s="13"/>
      <c r="H670" s="14"/>
      <c r="I670" s="14"/>
      <c r="J670" s="14"/>
      <c r="K670" s="14"/>
      <c r="L670" s="18"/>
      <c r="M670" s="13"/>
      <c r="N670" s="13"/>
      <c r="O670" s="14"/>
      <c r="P670" s="15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4" customHeight="1">
      <c r="A671" s="19"/>
      <c r="B671" s="11"/>
      <c r="C671" s="23"/>
      <c r="D671" s="11"/>
      <c r="E671" s="11"/>
      <c r="F671" s="11"/>
      <c r="G671" s="13"/>
      <c r="H671" s="14"/>
      <c r="I671" s="14"/>
      <c r="J671" s="14"/>
      <c r="K671" s="14"/>
      <c r="L671" s="18"/>
      <c r="M671" s="13"/>
      <c r="N671" s="13"/>
      <c r="O671" s="14"/>
      <c r="P671" s="15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4" customHeight="1">
      <c r="A672" s="19"/>
      <c r="B672" s="11"/>
      <c r="C672" s="23"/>
      <c r="D672" s="11"/>
      <c r="E672" s="11"/>
      <c r="F672" s="11"/>
      <c r="G672" s="13"/>
      <c r="H672" s="14"/>
      <c r="I672" s="14"/>
      <c r="J672" s="14"/>
      <c r="K672" s="14"/>
      <c r="L672" s="18"/>
      <c r="M672" s="13"/>
      <c r="N672" s="13"/>
      <c r="O672" s="14"/>
      <c r="P672" s="15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4" customHeight="1">
      <c r="A673" s="19"/>
      <c r="B673" s="11"/>
      <c r="C673" s="23"/>
      <c r="D673" s="11"/>
      <c r="E673" s="11"/>
      <c r="F673" s="11"/>
      <c r="G673" s="13"/>
      <c r="H673" s="14"/>
      <c r="I673" s="14"/>
      <c r="J673" s="14"/>
      <c r="K673" s="14"/>
      <c r="L673" s="18"/>
      <c r="M673" s="13"/>
      <c r="N673" s="13"/>
      <c r="O673" s="14"/>
      <c r="P673" s="15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4" customHeight="1">
      <c r="A674" s="19"/>
      <c r="B674" s="11"/>
      <c r="C674" s="23"/>
      <c r="D674" s="11"/>
      <c r="E674" s="11"/>
      <c r="F674" s="11"/>
      <c r="G674" s="13"/>
      <c r="H674" s="14"/>
      <c r="I674" s="14"/>
      <c r="J674" s="14"/>
      <c r="K674" s="14"/>
      <c r="L674" s="18"/>
      <c r="M674" s="13"/>
      <c r="N674" s="13"/>
      <c r="O674" s="14"/>
      <c r="P674" s="15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4" customHeight="1">
      <c r="A675" s="19"/>
      <c r="B675" s="11"/>
      <c r="C675" s="23"/>
      <c r="D675" s="11"/>
      <c r="E675" s="11"/>
      <c r="F675" s="11"/>
      <c r="G675" s="13"/>
      <c r="H675" s="14"/>
      <c r="I675" s="14"/>
      <c r="J675" s="14"/>
      <c r="K675" s="14"/>
      <c r="L675" s="18"/>
      <c r="M675" s="13"/>
      <c r="N675" s="13"/>
      <c r="O675" s="14"/>
      <c r="P675" s="15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4" customHeight="1">
      <c r="A676" s="19"/>
      <c r="B676" s="11"/>
      <c r="C676" s="23"/>
      <c r="D676" s="11"/>
      <c r="E676" s="11"/>
      <c r="F676" s="11"/>
      <c r="G676" s="13"/>
      <c r="H676" s="14"/>
      <c r="I676" s="14"/>
      <c r="J676" s="14"/>
      <c r="K676" s="14"/>
      <c r="L676" s="18"/>
      <c r="M676" s="13"/>
      <c r="N676" s="13"/>
      <c r="O676" s="14"/>
      <c r="P676" s="15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4" customHeight="1">
      <c r="A677" s="19"/>
      <c r="B677" s="11"/>
      <c r="C677" s="23"/>
      <c r="D677" s="11"/>
      <c r="E677" s="11"/>
      <c r="F677" s="11"/>
      <c r="G677" s="13"/>
      <c r="H677" s="14"/>
      <c r="I677" s="14"/>
      <c r="J677" s="14"/>
      <c r="K677" s="14"/>
      <c r="L677" s="18"/>
      <c r="M677" s="13"/>
      <c r="N677" s="13"/>
      <c r="O677" s="14"/>
      <c r="P677" s="15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4" customHeight="1">
      <c r="A678" s="19"/>
      <c r="B678" s="11"/>
      <c r="C678" s="23"/>
      <c r="D678" s="11"/>
      <c r="E678" s="11"/>
      <c r="F678" s="11"/>
      <c r="G678" s="13"/>
      <c r="H678" s="14"/>
      <c r="I678" s="14"/>
      <c r="J678" s="14"/>
      <c r="K678" s="14"/>
      <c r="L678" s="18"/>
      <c r="M678" s="13"/>
      <c r="N678" s="13"/>
      <c r="O678" s="14"/>
      <c r="P678" s="15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4" customHeight="1">
      <c r="A679" s="19"/>
      <c r="B679" s="11"/>
      <c r="C679" s="23"/>
      <c r="D679" s="11"/>
      <c r="E679" s="11"/>
      <c r="F679" s="11"/>
      <c r="G679" s="13"/>
      <c r="H679" s="14"/>
      <c r="I679" s="14"/>
      <c r="J679" s="14"/>
      <c r="K679" s="14"/>
      <c r="L679" s="18"/>
      <c r="M679" s="13"/>
      <c r="N679" s="13"/>
      <c r="O679" s="14"/>
      <c r="P679" s="15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4" customHeight="1">
      <c r="A680" s="19"/>
      <c r="B680" s="11"/>
      <c r="C680" s="23"/>
      <c r="D680" s="11"/>
      <c r="E680" s="11"/>
      <c r="F680" s="11"/>
      <c r="G680" s="13"/>
      <c r="H680" s="14"/>
      <c r="I680" s="14"/>
      <c r="J680" s="14"/>
      <c r="K680" s="14"/>
      <c r="L680" s="18"/>
      <c r="M680" s="13"/>
      <c r="N680" s="13"/>
      <c r="O680" s="14"/>
      <c r="P680" s="15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4" customHeight="1">
      <c r="A681" s="19"/>
      <c r="B681" s="11"/>
      <c r="C681" s="23"/>
      <c r="D681" s="11"/>
      <c r="E681" s="11"/>
      <c r="F681" s="11"/>
      <c r="G681" s="13"/>
      <c r="H681" s="14"/>
      <c r="I681" s="14"/>
      <c r="J681" s="14"/>
      <c r="K681" s="14"/>
      <c r="L681" s="18"/>
      <c r="M681" s="13"/>
      <c r="N681" s="13"/>
      <c r="O681" s="14"/>
      <c r="P681" s="15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4" customHeight="1">
      <c r="A682" s="19"/>
      <c r="B682" s="11"/>
      <c r="C682" s="23"/>
      <c r="D682" s="11"/>
      <c r="E682" s="11"/>
      <c r="F682" s="11"/>
      <c r="G682" s="13"/>
      <c r="H682" s="14"/>
      <c r="I682" s="14"/>
      <c r="J682" s="14"/>
      <c r="K682" s="14"/>
      <c r="L682" s="18"/>
      <c r="M682" s="13"/>
      <c r="N682" s="13"/>
      <c r="O682" s="14"/>
      <c r="P682" s="15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4" customHeight="1">
      <c r="A683" s="19"/>
      <c r="B683" s="11"/>
      <c r="C683" s="23"/>
      <c r="D683" s="11"/>
      <c r="E683" s="11"/>
      <c r="F683" s="11"/>
      <c r="G683" s="13"/>
      <c r="H683" s="14"/>
      <c r="I683" s="14"/>
      <c r="J683" s="14"/>
      <c r="K683" s="14"/>
      <c r="L683" s="18"/>
      <c r="M683" s="13"/>
      <c r="N683" s="13"/>
      <c r="O683" s="14"/>
      <c r="P683" s="15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4" customHeight="1">
      <c r="A684" s="19"/>
      <c r="B684" s="11"/>
      <c r="C684" s="23"/>
      <c r="D684" s="11"/>
      <c r="E684" s="11"/>
      <c r="F684" s="11"/>
      <c r="G684" s="13"/>
      <c r="H684" s="14"/>
      <c r="I684" s="14"/>
      <c r="J684" s="14"/>
      <c r="K684" s="14"/>
      <c r="L684" s="18"/>
      <c r="M684" s="13"/>
      <c r="N684" s="13"/>
      <c r="O684" s="14"/>
      <c r="P684" s="15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4" customHeight="1">
      <c r="A685" s="19"/>
      <c r="B685" s="11"/>
      <c r="C685" s="23"/>
      <c r="D685" s="11"/>
      <c r="E685" s="11"/>
      <c r="F685" s="11"/>
      <c r="G685" s="13"/>
      <c r="H685" s="14"/>
      <c r="I685" s="14"/>
      <c r="J685" s="14"/>
      <c r="K685" s="14"/>
      <c r="L685" s="18"/>
      <c r="M685" s="13"/>
      <c r="N685" s="13"/>
      <c r="O685" s="14"/>
      <c r="P685" s="15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4" customHeight="1">
      <c r="A686" s="19"/>
      <c r="B686" s="11"/>
      <c r="C686" s="23"/>
      <c r="D686" s="11"/>
      <c r="E686" s="11"/>
      <c r="F686" s="11"/>
      <c r="G686" s="13"/>
      <c r="H686" s="14"/>
      <c r="I686" s="14"/>
      <c r="J686" s="14"/>
      <c r="K686" s="14"/>
      <c r="L686" s="18"/>
      <c r="M686" s="13"/>
      <c r="N686" s="13"/>
      <c r="O686" s="14"/>
      <c r="P686" s="15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4" customHeight="1">
      <c r="A687" s="19"/>
      <c r="B687" s="11"/>
      <c r="C687" s="23"/>
      <c r="D687" s="11"/>
      <c r="E687" s="11"/>
      <c r="F687" s="11"/>
      <c r="G687" s="13"/>
      <c r="H687" s="14"/>
      <c r="I687" s="14"/>
      <c r="J687" s="14"/>
      <c r="K687" s="14"/>
      <c r="L687" s="18"/>
      <c r="M687" s="13"/>
      <c r="N687" s="13"/>
      <c r="O687" s="14"/>
      <c r="P687" s="15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4" customHeight="1">
      <c r="A688" s="19"/>
      <c r="B688" s="11"/>
      <c r="C688" s="23"/>
      <c r="D688" s="11"/>
      <c r="E688" s="11"/>
      <c r="F688" s="11"/>
      <c r="G688" s="13"/>
      <c r="H688" s="14"/>
      <c r="I688" s="14"/>
      <c r="J688" s="14"/>
      <c r="K688" s="14"/>
      <c r="L688" s="18"/>
      <c r="M688" s="13"/>
      <c r="N688" s="13"/>
      <c r="O688" s="14"/>
      <c r="P688" s="15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4" customHeight="1">
      <c r="A689" s="19"/>
      <c r="B689" s="11"/>
      <c r="C689" s="23"/>
      <c r="D689" s="11"/>
      <c r="E689" s="11"/>
      <c r="F689" s="11"/>
      <c r="G689" s="13"/>
      <c r="H689" s="14"/>
      <c r="I689" s="14"/>
      <c r="J689" s="14"/>
      <c r="K689" s="14"/>
      <c r="L689" s="18"/>
      <c r="M689" s="13"/>
      <c r="N689" s="13"/>
      <c r="O689" s="14"/>
      <c r="P689" s="15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4" customHeight="1">
      <c r="A690" s="19"/>
      <c r="B690" s="11"/>
      <c r="C690" s="23"/>
      <c r="D690" s="11"/>
      <c r="E690" s="11"/>
      <c r="F690" s="11"/>
      <c r="G690" s="13"/>
      <c r="H690" s="14"/>
      <c r="I690" s="14"/>
      <c r="J690" s="14"/>
      <c r="K690" s="14"/>
      <c r="L690" s="18"/>
      <c r="M690" s="13"/>
      <c r="N690" s="13"/>
      <c r="O690" s="14"/>
      <c r="P690" s="15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4" customHeight="1">
      <c r="A691" s="19"/>
      <c r="B691" s="11"/>
      <c r="C691" s="23"/>
      <c r="D691" s="11"/>
      <c r="E691" s="11"/>
      <c r="F691" s="11"/>
      <c r="G691" s="13"/>
      <c r="H691" s="14"/>
      <c r="I691" s="14"/>
      <c r="J691" s="14"/>
      <c r="K691" s="14"/>
      <c r="L691" s="18"/>
      <c r="M691" s="13"/>
      <c r="N691" s="13"/>
      <c r="O691" s="14"/>
      <c r="P691" s="15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4" customHeight="1">
      <c r="A692" s="19"/>
      <c r="B692" s="11"/>
      <c r="C692" s="23"/>
      <c r="D692" s="11"/>
      <c r="E692" s="11"/>
      <c r="F692" s="11"/>
      <c r="G692" s="13"/>
      <c r="H692" s="14"/>
      <c r="I692" s="14"/>
      <c r="J692" s="14"/>
      <c r="K692" s="14"/>
      <c r="L692" s="18"/>
      <c r="M692" s="13"/>
      <c r="N692" s="13"/>
      <c r="O692" s="14"/>
      <c r="P692" s="15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4" customHeight="1">
      <c r="A693" s="19"/>
      <c r="B693" s="11"/>
      <c r="C693" s="23"/>
      <c r="D693" s="11"/>
      <c r="E693" s="11"/>
      <c r="F693" s="11"/>
      <c r="G693" s="13"/>
      <c r="H693" s="14"/>
      <c r="I693" s="14"/>
      <c r="J693" s="14"/>
      <c r="K693" s="14"/>
      <c r="L693" s="18"/>
      <c r="M693" s="13"/>
      <c r="N693" s="13"/>
      <c r="O693" s="14"/>
      <c r="P693" s="15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4" customHeight="1">
      <c r="A694" s="19"/>
      <c r="B694" s="11"/>
      <c r="C694" s="23"/>
      <c r="D694" s="11"/>
      <c r="E694" s="11"/>
      <c r="F694" s="11"/>
      <c r="G694" s="13"/>
      <c r="H694" s="14"/>
      <c r="I694" s="14"/>
      <c r="J694" s="14"/>
      <c r="K694" s="14"/>
      <c r="L694" s="18"/>
      <c r="M694" s="13"/>
      <c r="N694" s="13"/>
      <c r="O694" s="14"/>
      <c r="P694" s="15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4" customHeight="1">
      <c r="A695" s="19"/>
      <c r="B695" s="11"/>
      <c r="C695" s="23"/>
      <c r="D695" s="11"/>
      <c r="E695" s="11"/>
      <c r="F695" s="11"/>
      <c r="G695" s="13"/>
      <c r="H695" s="14"/>
      <c r="I695" s="14"/>
      <c r="J695" s="14"/>
      <c r="K695" s="14"/>
      <c r="L695" s="18"/>
      <c r="M695" s="13"/>
      <c r="N695" s="13"/>
      <c r="O695" s="14"/>
      <c r="P695" s="15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4" customHeight="1">
      <c r="A696" s="19"/>
      <c r="B696" s="11"/>
      <c r="C696" s="23"/>
      <c r="D696" s="11"/>
      <c r="E696" s="11"/>
      <c r="F696" s="11"/>
      <c r="G696" s="13"/>
      <c r="H696" s="14"/>
      <c r="I696" s="14"/>
      <c r="J696" s="14"/>
      <c r="K696" s="14"/>
      <c r="L696" s="18"/>
      <c r="M696" s="13"/>
      <c r="N696" s="13"/>
      <c r="O696" s="14"/>
      <c r="P696" s="15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4" customHeight="1">
      <c r="A697" s="19"/>
      <c r="B697" s="11"/>
      <c r="C697" s="23"/>
      <c r="D697" s="11"/>
      <c r="E697" s="11"/>
      <c r="F697" s="11"/>
      <c r="G697" s="13"/>
      <c r="H697" s="14"/>
      <c r="I697" s="14"/>
      <c r="J697" s="14"/>
      <c r="K697" s="14"/>
      <c r="L697" s="18"/>
      <c r="M697" s="13"/>
      <c r="N697" s="13"/>
      <c r="O697" s="14"/>
      <c r="P697" s="15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4" customHeight="1">
      <c r="A698" s="19"/>
      <c r="B698" s="11"/>
      <c r="C698" s="23"/>
      <c r="D698" s="11"/>
      <c r="E698" s="11"/>
      <c r="F698" s="11"/>
      <c r="G698" s="13"/>
      <c r="H698" s="14"/>
      <c r="I698" s="14"/>
      <c r="J698" s="14"/>
      <c r="K698" s="14"/>
      <c r="L698" s="18"/>
      <c r="M698" s="13"/>
      <c r="N698" s="13"/>
      <c r="O698" s="14"/>
      <c r="P698" s="15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4" customHeight="1">
      <c r="A699" s="19"/>
      <c r="B699" s="11"/>
      <c r="C699" s="23"/>
      <c r="D699" s="11"/>
      <c r="E699" s="11"/>
      <c r="F699" s="11"/>
      <c r="G699" s="13"/>
      <c r="H699" s="14"/>
      <c r="I699" s="14"/>
      <c r="J699" s="14"/>
      <c r="K699" s="14"/>
      <c r="L699" s="18"/>
      <c r="M699" s="13"/>
      <c r="N699" s="13"/>
      <c r="O699" s="14"/>
      <c r="P699" s="15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4" customHeight="1">
      <c r="A700" s="19"/>
      <c r="B700" s="11"/>
      <c r="C700" s="23"/>
      <c r="D700" s="11"/>
      <c r="E700" s="11"/>
      <c r="F700" s="11"/>
      <c r="G700" s="13"/>
      <c r="H700" s="14"/>
      <c r="I700" s="14"/>
      <c r="J700" s="14"/>
      <c r="K700" s="14"/>
      <c r="L700" s="18"/>
      <c r="M700" s="13"/>
      <c r="N700" s="13"/>
      <c r="O700" s="14"/>
      <c r="P700" s="15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4" customHeight="1">
      <c r="A701" s="19"/>
      <c r="B701" s="11"/>
      <c r="C701" s="23"/>
      <c r="D701" s="11"/>
      <c r="E701" s="11"/>
      <c r="F701" s="11"/>
      <c r="G701" s="13"/>
      <c r="H701" s="14"/>
      <c r="I701" s="14"/>
      <c r="J701" s="14"/>
      <c r="K701" s="14"/>
      <c r="L701" s="18"/>
      <c r="M701" s="13"/>
      <c r="N701" s="13"/>
      <c r="O701" s="14"/>
      <c r="P701" s="15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4" customHeight="1">
      <c r="A702" s="19"/>
      <c r="B702" s="11"/>
      <c r="C702" s="23"/>
      <c r="D702" s="11"/>
      <c r="E702" s="11"/>
      <c r="F702" s="11"/>
      <c r="G702" s="13"/>
      <c r="H702" s="14"/>
      <c r="I702" s="14"/>
      <c r="J702" s="14"/>
      <c r="K702" s="14"/>
      <c r="L702" s="18"/>
      <c r="M702" s="13"/>
      <c r="N702" s="13"/>
      <c r="O702" s="14"/>
      <c r="P702" s="15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4" customHeight="1">
      <c r="A703" s="19"/>
      <c r="B703" s="11"/>
      <c r="C703" s="23"/>
      <c r="D703" s="11"/>
      <c r="E703" s="11"/>
      <c r="F703" s="11"/>
      <c r="G703" s="13"/>
      <c r="H703" s="14"/>
      <c r="I703" s="14"/>
      <c r="J703" s="14"/>
      <c r="K703" s="14"/>
      <c r="L703" s="18"/>
      <c r="M703" s="13"/>
      <c r="N703" s="13"/>
      <c r="O703" s="14"/>
      <c r="P703" s="15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4" customHeight="1">
      <c r="A704" s="19"/>
      <c r="B704" s="11"/>
      <c r="C704" s="23"/>
      <c r="D704" s="11"/>
      <c r="E704" s="11"/>
      <c r="F704" s="11"/>
      <c r="G704" s="13"/>
      <c r="H704" s="14"/>
      <c r="I704" s="14"/>
      <c r="J704" s="14"/>
      <c r="K704" s="14"/>
      <c r="L704" s="18"/>
      <c r="M704" s="13"/>
      <c r="N704" s="13"/>
      <c r="O704" s="14"/>
      <c r="P704" s="15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4" customHeight="1">
      <c r="A705" s="19"/>
      <c r="B705" s="11"/>
      <c r="C705" s="23"/>
      <c r="D705" s="11"/>
      <c r="E705" s="11"/>
      <c r="F705" s="11"/>
      <c r="G705" s="13"/>
      <c r="H705" s="14"/>
      <c r="I705" s="14"/>
      <c r="J705" s="14"/>
      <c r="K705" s="14"/>
      <c r="L705" s="18"/>
      <c r="M705" s="13"/>
      <c r="N705" s="13"/>
      <c r="O705" s="14"/>
      <c r="P705" s="15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4" customHeight="1">
      <c r="A706" s="19"/>
      <c r="B706" s="11"/>
      <c r="C706" s="23"/>
      <c r="D706" s="11"/>
      <c r="E706" s="11"/>
      <c r="F706" s="11"/>
      <c r="G706" s="13"/>
      <c r="H706" s="14"/>
      <c r="I706" s="14"/>
      <c r="J706" s="14"/>
      <c r="K706" s="14"/>
      <c r="L706" s="18"/>
      <c r="M706" s="13"/>
      <c r="N706" s="13"/>
      <c r="O706" s="14"/>
      <c r="P706" s="15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4" customHeight="1">
      <c r="A707" s="19"/>
      <c r="B707" s="11"/>
      <c r="C707" s="23"/>
      <c r="D707" s="11"/>
      <c r="E707" s="11"/>
      <c r="F707" s="11"/>
      <c r="G707" s="13"/>
      <c r="H707" s="14"/>
      <c r="I707" s="14"/>
      <c r="J707" s="14"/>
      <c r="K707" s="14"/>
      <c r="L707" s="18"/>
      <c r="M707" s="13"/>
      <c r="N707" s="13"/>
      <c r="O707" s="14"/>
      <c r="P707" s="15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4" customHeight="1">
      <c r="A708" s="19"/>
      <c r="B708" s="11"/>
      <c r="C708" s="23"/>
      <c r="D708" s="11"/>
      <c r="E708" s="11"/>
      <c r="F708" s="11"/>
      <c r="G708" s="13"/>
      <c r="H708" s="14"/>
      <c r="I708" s="14"/>
      <c r="J708" s="14"/>
      <c r="K708" s="14"/>
      <c r="L708" s="18"/>
      <c r="M708" s="13"/>
      <c r="N708" s="13"/>
      <c r="O708" s="14"/>
      <c r="P708" s="15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4" customHeight="1">
      <c r="A709" s="19"/>
      <c r="B709" s="11"/>
      <c r="C709" s="23"/>
      <c r="D709" s="11"/>
      <c r="E709" s="11"/>
      <c r="F709" s="11"/>
      <c r="G709" s="13"/>
      <c r="H709" s="14"/>
      <c r="I709" s="14"/>
      <c r="J709" s="14"/>
      <c r="K709" s="14"/>
      <c r="L709" s="18"/>
      <c r="M709" s="13"/>
      <c r="N709" s="13"/>
      <c r="O709" s="14"/>
      <c r="P709" s="15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4" customHeight="1">
      <c r="A710" s="19"/>
      <c r="B710" s="11"/>
      <c r="C710" s="23"/>
      <c r="D710" s="11"/>
      <c r="E710" s="11"/>
      <c r="F710" s="11"/>
      <c r="G710" s="13"/>
      <c r="H710" s="14"/>
      <c r="I710" s="14"/>
      <c r="J710" s="14"/>
      <c r="K710" s="14"/>
      <c r="L710" s="18"/>
      <c r="M710" s="13"/>
      <c r="N710" s="13"/>
      <c r="O710" s="14"/>
      <c r="P710" s="15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4" customHeight="1">
      <c r="A711" s="19"/>
      <c r="B711" s="11"/>
      <c r="C711" s="23"/>
      <c r="D711" s="11"/>
      <c r="E711" s="11"/>
      <c r="F711" s="11"/>
      <c r="G711" s="13"/>
      <c r="H711" s="14"/>
      <c r="I711" s="14"/>
      <c r="J711" s="14"/>
      <c r="K711" s="14"/>
      <c r="L711" s="18"/>
      <c r="M711" s="13"/>
      <c r="N711" s="13"/>
      <c r="O711" s="14"/>
      <c r="P711" s="15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4" customHeight="1">
      <c r="A712" s="19"/>
      <c r="B712" s="11"/>
      <c r="C712" s="23"/>
      <c r="D712" s="11"/>
      <c r="E712" s="11"/>
      <c r="F712" s="11"/>
      <c r="G712" s="13"/>
      <c r="H712" s="14"/>
      <c r="I712" s="14"/>
      <c r="J712" s="14"/>
      <c r="K712" s="14"/>
      <c r="L712" s="18"/>
      <c r="M712" s="13"/>
      <c r="N712" s="13"/>
      <c r="O712" s="14"/>
      <c r="P712" s="15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4" customHeight="1">
      <c r="A713" s="19"/>
      <c r="B713" s="11"/>
      <c r="C713" s="23"/>
      <c r="D713" s="11"/>
      <c r="E713" s="11"/>
      <c r="F713" s="11"/>
      <c r="G713" s="13"/>
      <c r="H713" s="14"/>
      <c r="I713" s="14"/>
      <c r="J713" s="14"/>
      <c r="K713" s="14"/>
      <c r="L713" s="18"/>
      <c r="M713" s="13"/>
      <c r="N713" s="13"/>
      <c r="O713" s="14"/>
      <c r="P713" s="15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4" customHeight="1">
      <c r="A714" s="19"/>
      <c r="B714" s="11"/>
      <c r="C714" s="23"/>
      <c r="D714" s="11"/>
      <c r="E714" s="11"/>
      <c r="F714" s="11"/>
      <c r="G714" s="13"/>
      <c r="H714" s="14"/>
      <c r="I714" s="14"/>
      <c r="J714" s="14"/>
      <c r="K714" s="14"/>
      <c r="L714" s="18"/>
      <c r="M714" s="13"/>
      <c r="N714" s="13"/>
      <c r="O714" s="14"/>
      <c r="P714" s="15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4" customHeight="1">
      <c r="A715" s="19"/>
      <c r="B715" s="11"/>
      <c r="C715" s="23"/>
      <c r="D715" s="11"/>
      <c r="E715" s="11"/>
      <c r="F715" s="11"/>
      <c r="G715" s="13"/>
      <c r="H715" s="14"/>
      <c r="I715" s="14"/>
      <c r="J715" s="14"/>
      <c r="K715" s="14"/>
      <c r="L715" s="18"/>
      <c r="M715" s="13"/>
      <c r="N715" s="13"/>
      <c r="O715" s="14"/>
      <c r="P715" s="15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4" customHeight="1">
      <c r="A716" s="19"/>
      <c r="B716" s="11"/>
      <c r="C716" s="23"/>
      <c r="D716" s="11"/>
      <c r="E716" s="11"/>
      <c r="F716" s="11"/>
      <c r="G716" s="13"/>
      <c r="H716" s="14"/>
      <c r="I716" s="14"/>
      <c r="J716" s="14"/>
      <c r="K716" s="14"/>
      <c r="L716" s="18"/>
      <c r="M716" s="13"/>
      <c r="N716" s="13"/>
      <c r="O716" s="14"/>
      <c r="P716" s="15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4" customHeight="1">
      <c r="A717" s="19"/>
      <c r="B717" s="11"/>
      <c r="C717" s="23"/>
      <c r="D717" s="11"/>
      <c r="E717" s="11"/>
      <c r="F717" s="11"/>
      <c r="G717" s="13"/>
      <c r="H717" s="14"/>
      <c r="I717" s="14"/>
      <c r="J717" s="14"/>
      <c r="K717" s="14"/>
      <c r="L717" s="18"/>
      <c r="M717" s="13"/>
      <c r="N717" s="13"/>
      <c r="O717" s="14"/>
      <c r="P717" s="15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4" customHeight="1">
      <c r="A718" s="19"/>
      <c r="B718" s="11"/>
      <c r="C718" s="23"/>
      <c r="D718" s="11"/>
      <c r="E718" s="11"/>
      <c r="F718" s="11"/>
      <c r="G718" s="13"/>
      <c r="H718" s="14"/>
      <c r="I718" s="14"/>
      <c r="J718" s="14"/>
      <c r="K718" s="14"/>
      <c r="L718" s="18"/>
      <c r="M718" s="13"/>
      <c r="N718" s="13"/>
      <c r="O718" s="14"/>
      <c r="P718" s="15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4" customHeight="1">
      <c r="A719" s="19"/>
      <c r="B719" s="11"/>
      <c r="C719" s="23"/>
      <c r="D719" s="11"/>
      <c r="E719" s="11"/>
      <c r="F719" s="11"/>
      <c r="G719" s="13"/>
      <c r="H719" s="14"/>
      <c r="I719" s="14"/>
      <c r="J719" s="14"/>
      <c r="K719" s="14"/>
      <c r="L719" s="18"/>
      <c r="M719" s="13"/>
      <c r="N719" s="13"/>
      <c r="O719" s="14"/>
      <c r="P719" s="15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4" customHeight="1">
      <c r="A720" s="19"/>
      <c r="B720" s="11"/>
      <c r="C720" s="23"/>
      <c r="D720" s="11"/>
      <c r="E720" s="11"/>
      <c r="F720" s="11"/>
      <c r="G720" s="13"/>
      <c r="H720" s="14"/>
      <c r="I720" s="14"/>
      <c r="J720" s="14"/>
      <c r="K720" s="14"/>
      <c r="L720" s="18"/>
      <c r="M720" s="13"/>
      <c r="N720" s="13"/>
      <c r="O720" s="14"/>
      <c r="P720" s="15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4" customHeight="1">
      <c r="A721" s="19"/>
      <c r="B721" s="11"/>
      <c r="C721" s="23"/>
      <c r="D721" s="11"/>
      <c r="E721" s="11"/>
      <c r="F721" s="11"/>
      <c r="G721" s="13"/>
      <c r="H721" s="14"/>
      <c r="I721" s="14"/>
      <c r="J721" s="14"/>
      <c r="K721" s="14"/>
      <c r="L721" s="18"/>
      <c r="M721" s="13"/>
      <c r="N721" s="13"/>
      <c r="O721" s="14"/>
      <c r="P721" s="15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4" customHeight="1">
      <c r="A722" s="19"/>
      <c r="B722" s="11"/>
      <c r="C722" s="23"/>
      <c r="D722" s="11"/>
      <c r="E722" s="11"/>
      <c r="F722" s="11"/>
      <c r="G722" s="13"/>
      <c r="H722" s="14"/>
      <c r="I722" s="14"/>
      <c r="J722" s="14"/>
      <c r="K722" s="14"/>
      <c r="L722" s="18"/>
      <c r="M722" s="13"/>
      <c r="N722" s="13"/>
      <c r="O722" s="14"/>
      <c r="P722" s="15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4" customHeight="1">
      <c r="A723" s="19"/>
      <c r="B723" s="11"/>
      <c r="C723" s="23"/>
      <c r="D723" s="11"/>
      <c r="E723" s="11"/>
      <c r="F723" s="11"/>
      <c r="G723" s="13"/>
      <c r="H723" s="14"/>
      <c r="I723" s="14"/>
      <c r="J723" s="14"/>
      <c r="K723" s="14"/>
      <c r="L723" s="18"/>
      <c r="M723" s="13"/>
      <c r="N723" s="13"/>
      <c r="O723" s="14"/>
      <c r="P723" s="15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4" customHeight="1">
      <c r="A724" s="19"/>
      <c r="B724" s="11"/>
      <c r="C724" s="23"/>
      <c r="D724" s="11"/>
      <c r="E724" s="11"/>
      <c r="F724" s="11"/>
      <c r="G724" s="13"/>
      <c r="H724" s="14"/>
      <c r="I724" s="14"/>
      <c r="J724" s="14"/>
      <c r="K724" s="14"/>
      <c r="L724" s="18"/>
      <c r="M724" s="13"/>
      <c r="N724" s="13"/>
      <c r="O724" s="14"/>
      <c r="P724" s="15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4" customHeight="1">
      <c r="A725" s="19"/>
      <c r="B725" s="11"/>
      <c r="C725" s="23"/>
      <c r="D725" s="11"/>
      <c r="E725" s="11"/>
      <c r="F725" s="11"/>
      <c r="G725" s="13"/>
      <c r="H725" s="14"/>
      <c r="I725" s="14"/>
      <c r="J725" s="14"/>
      <c r="K725" s="14"/>
      <c r="L725" s="18"/>
      <c r="M725" s="13"/>
      <c r="N725" s="13"/>
      <c r="O725" s="14"/>
      <c r="P725" s="15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4" customHeight="1">
      <c r="A726" s="19"/>
      <c r="B726" s="11"/>
      <c r="C726" s="23"/>
      <c r="D726" s="11"/>
      <c r="E726" s="11"/>
      <c r="F726" s="11"/>
      <c r="G726" s="13"/>
      <c r="H726" s="14"/>
      <c r="I726" s="14"/>
      <c r="J726" s="14"/>
      <c r="K726" s="14"/>
      <c r="L726" s="18"/>
      <c r="M726" s="13"/>
      <c r="N726" s="13"/>
      <c r="O726" s="14"/>
      <c r="P726" s="15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4" customHeight="1">
      <c r="A727" s="19"/>
      <c r="B727" s="11"/>
      <c r="C727" s="23"/>
      <c r="D727" s="11"/>
      <c r="E727" s="11"/>
      <c r="F727" s="11"/>
      <c r="G727" s="13"/>
      <c r="H727" s="14"/>
      <c r="I727" s="14"/>
      <c r="J727" s="14"/>
      <c r="K727" s="14"/>
      <c r="L727" s="18"/>
      <c r="M727" s="13"/>
      <c r="N727" s="13"/>
      <c r="O727" s="14"/>
      <c r="P727" s="15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4" customHeight="1">
      <c r="A728" s="19"/>
      <c r="B728" s="11"/>
      <c r="C728" s="23"/>
      <c r="D728" s="11"/>
      <c r="E728" s="11"/>
      <c r="F728" s="11"/>
      <c r="G728" s="13"/>
      <c r="H728" s="14"/>
      <c r="I728" s="14"/>
      <c r="J728" s="14"/>
      <c r="K728" s="14"/>
      <c r="L728" s="18"/>
      <c r="M728" s="13"/>
      <c r="N728" s="13"/>
      <c r="O728" s="14"/>
      <c r="P728" s="15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4" customHeight="1">
      <c r="A729" s="19"/>
      <c r="B729" s="11"/>
      <c r="C729" s="23"/>
      <c r="D729" s="11"/>
      <c r="E729" s="11"/>
      <c r="F729" s="11"/>
      <c r="G729" s="13"/>
      <c r="H729" s="14"/>
      <c r="I729" s="14"/>
      <c r="J729" s="14"/>
      <c r="K729" s="14"/>
      <c r="L729" s="18"/>
      <c r="M729" s="13"/>
      <c r="N729" s="13"/>
      <c r="O729" s="14"/>
      <c r="P729" s="15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4" customHeight="1">
      <c r="A730" s="19"/>
      <c r="B730" s="11"/>
      <c r="C730" s="23"/>
      <c r="D730" s="11"/>
      <c r="E730" s="11"/>
      <c r="F730" s="11"/>
      <c r="G730" s="13"/>
      <c r="H730" s="14"/>
      <c r="I730" s="14"/>
      <c r="J730" s="14"/>
      <c r="K730" s="14"/>
      <c r="L730" s="18"/>
      <c r="M730" s="13"/>
      <c r="N730" s="13"/>
      <c r="O730" s="14"/>
      <c r="P730" s="15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4" customHeight="1">
      <c r="A731" s="19"/>
      <c r="B731" s="11"/>
      <c r="C731" s="23"/>
      <c r="D731" s="11"/>
      <c r="E731" s="11"/>
      <c r="F731" s="11"/>
      <c r="G731" s="13"/>
      <c r="H731" s="14"/>
      <c r="I731" s="14"/>
      <c r="J731" s="14"/>
      <c r="K731" s="14"/>
      <c r="L731" s="18"/>
      <c r="M731" s="13"/>
      <c r="N731" s="13"/>
      <c r="O731" s="14"/>
      <c r="P731" s="15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4" customHeight="1">
      <c r="A732" s="19"/>
      <c r="B732" s="11"/>
      <c r="C732" s="23"/>
      <c r="D732" s="11"/>
      <c r="E732" s="11"/>
      <c r="F732" s="11"/>
      <c r="G732" s="13"/>
      <c r="H732" s="14"/>
      <c r="I732" s="14"/>
      <c r="J732" s="14"/>
      <c r="K732" s="14"/>
      <c r="L732" s="18"/>
      <c r="M732" s="13"/>
      <c r="N732" s="13"/>
      <c r="O732" s="14"/>
      <c r="P732" s="15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4" customHeight="1">
      <c r="A733" s="19"/>
      <c r="B733" s="11"/>
      <c r="C733" s="23"/>
      <c r="D733" s="11"/>
      <c r="E733" s="11"/>
      <c r="F733" s="11"/>
      <c r="G733" s="13"/>
      <c r="H733" s="14"/>
      <c r="I733" s="14"/>
      <c r="J733" s="14"/>
      <c r="K733" s="14"/>
      <c r="L733" s="18"/>
      <c r="M733" s="13"/>
      <c r="N733" s="13"/>
      <c r="O733" s="14"/>
      <c r="P733" s="15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4" customHeight="1">
      <c r="A734" s="19"/>
      <c r="B734" s="11"/>
      <c r="C734" s="23"/>
      <c r="D734" s="11"/>
      <c r="E734" s="11"/>
      <c r="F734" s="11"/>
      <c r="G734" s="13"/>
      <c r="H734" s="14"/>
      <c r="I734" s="14"/>
      <c r="J734" s="14"/>
      <c r="K734" s="14"/>
      <c r="L734" s="18"/>
      <c r="M734" s="13"/>
      <c r="N734" s="13"/>
      <c r="O734" s="14"/>
      <c r="P734" s="15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4" customHeight="1">
      <c r="A735" s="19"/>
      <c r="B735" s="11"/>
      <c r="C735" s="23"/>
      <c r="D735" s="11"/>
      <c r="E735" s="11"/>
      <c r="F735" s="11"/>
      <c r="G735" s="13"/>
      <c r="H735" s="14"/>
      <c r="I735" s="14"/>
      <c r="J735" s="14"/>
      <c r="K735" s="14"/>
      <c r="L735" s="18"/>
      <c r="M735" s="13"/>
      <c r="N735" s="13"/>
      <c r="O735" s="14"/>
      <c r="P735" s="15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4" customHeight="1">
      <c r="A736" s="19"/>
      <c r="B736" s="11"/>
      <c r="C736" s="23"/>
      <c r="D736" s="11"/>
      <c r="E736" s="11"/>
      <c r="F736" s="11"/>
      <c r="G736" s="13"/>
      <c r="H736" s="14"/>
      <c r="I736" s="14"/>
      <c r="J736" s="14"/>
      <c r="K736" s="14"/>
      <c r="L736" s="18"/>
      <c r="M736" s="13"/>
      <c r="N736" s="13"/>
      <c r="O736" s="14"/>
      <c r="P736" s="15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4" customHeight="1">
      <c r="A737" s="19"/>
      <c r="B737" s="11"/>
      <c r="C737" s="23"/>
      <c r="D737" s="11"/>
      <c r="E737" s="11"/>
      <c r="F737" s="11"/>
      <c r="G737" s="13"/>
      <c r="H737" s="14"/>
      <c r="I737" s="14"/>
      <c r="J737" s="14"/>
      <c r="K737" s="14"/>
      <c r="L737" s="18"/>
      <c r="M737" s="13"/>
      <c r="N737" s="13"/>
      <c r="O737" s="14"/>
      <c r="P737" s="15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4" customHeight="1">
      <c r="A738" s="19"/>
      <c r="B738" s="11"/>
      <c r="C738" s="23"/>
      <c r="D738" s="11"/>
      <c r="E738" s="11"/>
      <c r="F738" s="11"/>
      <c r="G738" s="13"/>
      <c r="H738" s="14"/>
      <c r="I738" s="14"/>
      <c r="J738" s="14"/>
      <c r="K738" s="14"/>
      <c r="L738" s="18"/>
      <c r="M738" s="13"/>
      <c r="N738" s="13"/>
      <c r="O738" s="14"/>
      <c r="P738" s="15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4" customHeight="1">
      <c r="A739" s="19"/>
      <c r="B739" s="11"/>
      <c r="C739" s="23"/>
      <c r="D739" s="11"/>
      <c r="E739" s="11"/>
      <c r="F739" s="11"/>
      <c r="G739" s="13"/>
      <c r="H739" s="14"/>
      <c r="I739" s="14"/>
      <c r="J739" s="14"/>
      <c r="K739" s="14"/>
      <c r="L739" s="18"/>
      <c r="M739" s="13"/>
      <c r="N739" s="13"/>
      <c r="O739" s="14"/>
      <c r="P739" s="15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4" customHeight="1">
      <c r="A740" s="19"/>
      <c r="B740" s="11"/>
      <c r="C740" s="23"/>
      <c r="D740" s="11"/>
      <c r="E740" s="11"/>
      <c r="F740" s="11"/>
      <c r="G740" s="13"/>
      <c r="H740" s="14"/>
      <c r="I740" s="14"/>
      <c r="J740" s="14"/>
      <c r="K740" s="14"/>
      <c r="L740" s="18"/>
      <c r="M740" s="13"/>
      <c r="N740" s="13"/>
      <c r="O740" s="14"/>
      <c r="P740" s="15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4" customHeight="1">
      <c r="A741" s="19"/>
      <c r="B741" s="11"/>
      <c r="C741" s="23"/>
      <c r="D741" s="11"/>
      <c r="E741" s="11"/>
      <c r="F741" s="11"/>
      <c r="G741" s="13"/>
      <c r="H741" s="14"/>
      <c r="I741" s="14"/>
      <c r="J741" s="14"/>
      <c r="K741" s="14"/>
      <c r="L741" s="18"/>
      <c r="M741" s="13"/>
      <c r="N741" s="13"/>
      <c r="O741" s="14"/>
      <c r="P741" s="15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4" customHeight="1">
      <c r="A742" s="19"/>
      <c r="B742" s="11"/>
      <c r="C742" s="23"/>
      <c r="D742" s="11"/>
      <c r="E742" s="11"/>
      <c r="F742" s="11"/>
      <c r="G742" s="13"/>
      <c r="H742" s="14"/>
      <c r="I742" s="14"/>
      <c r="J742" s="14"/>
      <c r="K742" s="14"/>
      <c r="L742" s="18"/>
      <c r="M742" s="13"/>
      <c r="N742" s="13"/>
      <c r="O742" s="14"/>
      <c r="P742" s="15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4" customHeight="1">
      <c r="A743" s="19"/>
      <c r="B743" s="11"/>
      <c r="C743" s="23"/>
      <c r="D743" s="11"/>
      <c r="E743" s="11"/>
      <c r="F743" s="11"/>
      <c r="G743" s="13"/>
      <c r="H743" s="14"/>
      <c r="I743" s="14"/>
      <c r="J743" s="14"/>
      <c r="K743" s="14"/>
      <c r="L743" s="18"/>
      <c r="M743" s="13"/>
      <c r="N743" s="13"/>
      <c r="O743" s="14"/>
      <c r="P743" s="15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4" customHeight="1">
      <c r="A744" s="19"/>
      <c r="B744" s="11"/>
      <c r="C744" s="23"/>
      <c r="D744" s="11"/>
      <c r="E744" s="11"/>
      <c r="F744" s="11"/>
      <c r="G744" s="13"/>
      <c r="H744" s="14"/>
      <c r="I744" s="14"/>
      <c r="J744" s="14"/>
      <c r="K744" s="14"/>
      <c r="L744" s="18"/>
      <c r="M744" s="13"/>
      <c r="N744" s="13"/>
      <c r="O744" s="14"/>
      <c r="P744" s="15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4" customHeight="1">
      <c r="A745" s="19"/>
      <c r="B745" s="11"/>
      <c r="C745" s="23"/>
      <c r="D745" s="11"/>
      <c r="E745" s="11"/>
      <c r="F745" s="11"/>
      <c r="G745" s="13"/>
      <c r="H745" s="14"/>
      <c r="I745" s="14"/>
      <c r="J745" s="14"/>
      <c r="K745" s="14"/>
      <c r="L745" s="18"/>
      <c r="M745" s="13"/>
      <c r="N745" s="13"/>
      <c r="O745" s="14"/>
      <c r="P745" s="15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4" customHeight="1">
      <c r="A746" s="19"/>
      <c r="B746" s="11"/>
      <c r="C746" s="23"/>
      <c r="D746" s="11"/>
      <c r="E746" s="11"/>
      <c r="F746" s="11"/>
      <c r="G746" s="13"/>
      <c r="H746" s="14"/>
      <c r="I746" s="14"/>
      <c r="J746" s="14"/>
      <c r="K746" s="14"/>
      <c r="L746" s="18"/>
      <c r="M746" s="13"/>
      <c r="N746" s="13"/>
      <c r="O746" s="14"/>
      <c r="P746" s="15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4" customHeight="1">
      <c r="A747" s="19"/>
      <c r="B747" s="11"/>
      <c r="C747" s="23"/>
      <c r="D747" s="11"/>
      <c r="E747" s="11"/>
      <c r="F747" s="11"/>
      <c r="G747" s="13"/>
      <c r="H747" s="14"/>
      <c r="I747" s="14"/>
      <c r="J747" s="14"/>
      <c r="K747" s="14"/>
      <c r="L747" s="18"/>
      <c r="M747" s="13"/>
      <c r="N747" s="13"/>
      <c r="O747" s="14"/>
      <c r="P747" s="15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4" customHeight="1">
      <c r="A748" s="19"/>
      <c r="B748" s="11"/>
      <c r="C748" s="23"/>
      <c r="D748" s="11"/>
      <c r="E748" s="11"/>
      <c r="F748" s="11"/>
      <c r="G748" s="13"/>
      <c r="H748" s="14"/>
      <c r="I748" s="14"/>
      <c r="J748" s="14"/>
      <c r="K748" s="14"/>
      <c r="L748" s="18"/>
      <c r="M748" s="13"/>
      <c r="N748" s="13"/>
      <c r="O748" s="14"/>
      <c r="P748" s="15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4" customHeight="1">
      <c r="A749" s="19"/>
      <c r="B749" s="11"/>
      <c r="C749" s="23"/>
      <c r="D749" s="11"/>
      <c r="E749" s="11"/>
      <c r="F749" s="11"/>
      <c r="G749" s="13"/>
      <c r="H749" s="14"/>
      <c r="I749" s="14"/>
      <c r="J749" s="14"/>
      <c r="K749" s="14"/>
      <c r="L749" s="18"/>
      <c r="M749" s="13"/>
      <c r="N749" s="13"/>
      <c r="O749" s="14"/>
      <c r="P749" s="15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4" customHeight="1">
      <c r="A750" s="19"/>
      <c r="B750" s="11"/>
      <c r="C750" s="23"/>
      <c r="D750" s="11"/>
      <c r="E750" s="11"/>
      <c r="F750" s="11"/>
      <c r="G750" s="13"/>
      <c r="H750" s="14"/>
      <c r="I750" s="14"/>
      <c r="J750" s="14"/>
      <c r="K750" s="14"/>
      <c r="L750" s="18"/>
      <c r="M750" s="13"/>
      <c r="N750" s="13"/>
      <c r="O750" s="14"/>
      <c r="P750" s="15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4" customHeight="1">
      <c r="A751" s="19"/>
      <c r="B751" s="11"/>
      <c r="C751" s="23"/>
      <c r="D751" s="11"/>
      <c r="E751" s="11"/>
      <c r="F751" s="11"/>
      <c r="G751" s="13"/>
      <c r="H751" s="14"/>
      <c r="I751" s="14"/>
      <c r="J751" s="14"/>
      <c r="K751" s="14"/>
      <c r="L751" s="18"/>
      <c r="M751" s="13"/>
      <c r="N751" s="13"/>
      <c r="O751" s="14"/>
      <c r="P751" s="15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4" customHeight="1">
      <c r="A752" s="19"/>
      <c r="B752" s="11"/>
      <c r="C752" s="23"/>
      <c r="D752" s="11"/>
      <c r="E752" s="11"/>
      <c r="F752" s="11"/>
      <c r="G752" s="13"/>
      <c r="H752" s="14"/>
      <c r="I752" s="14"/>
      <c r="J752" s="14"/>
      <c r="K752" s="14"/>
      <c r="L752" s="18"/>
      <c r="M752" s="13"/>
      <c r="N752" s="13"/>
      <c r="O752" s="14"/>
      <c r="P752" s="15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4" customHeight="1">
      <c r="A753" s="19"/>
      <c r="B753" s="11"/>
      <c r="C753" s="23"/>
      <c r="D753" s="11"/>
      <c r="E753" s="11"/>
      <c r="F753" s="11"/>
      <c r="G753" s="13"/>
      <c r="H753" s="14"/>
      <c r="I753" s="14"/>
      <c r="J753" s="14"/>
      <c r="K753" s="14"/>
      <c r="L753" s="18"/>
      <c r="M753" s="13"/>
      <c r="N753" s="13"/>
      <c r="O753" s="14"/>
      <c r="P753" s="15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4" customHeight="1">
      <c r="A754" s="19"/>
      <c r="B754" s="11"/>
      <c r="C754" s="23"/>
      <c r="D754" s="11"/>
      <c r="E754" s="11"/>
      <c r="F754" s="11"/>
      <c r="G754" s="13"/>
      <c r="H754" s="14"/>
      <c r="I754" s="14"/>
      <c r="J754" s="14"/>
      <c r="K754" s="14"/>
      <c r="L754" s="18"/>
      <c r="M754" s="13"/>
      <c r="N754" s="13"/>
      <c r="O754" s="14"/>
      <c r="P754" s="15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4" customHeight="1">
      <c r="A755" s="19"/>
      <c r="B755" s="11"/>
      <c r="C755" s="23"/>
      <c r="D755" s="11"/>
      <c r="E755" s="11"/>
      <c r="F755" s="11"/>
      <c r="G755" s="13"/>
      <c r="H755" s="14"/>
      <c r="I755" s="14"/>
      <c r="J755" s="14"/>
      <c r="K755" s="14"/>
      <c r="L755" s="18"/>
      <c r="M755" s="13"/>
      <c r="N755" s="13"/>
      <c r="O755" s="14"/>
      <c r="P755" s="15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4" customHeight="1">
      <c r="A756" s="19"/>
      <c r="B756" s="11"/>
      <c r="C756" s="23"/>
      <c r="D756" s="11"/>
      <c r="E756" s="11"/>
      <c r="F756" s="11"/>
      <c r="G756" s="13"/>
      <c r="H756" s="14"/>
      <c r="I756" s="14"/>
      <c r="J756" s="14"/>
      <c r="K756" s="14"/>
      <c r="L756" s="18"/>
      <c r="M756" s="13"/>
      <c r="N756" s="13"/>
      <c r="O756" s="14"/>
      <c r="P756" s="15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4" customHeight="1">
      <c r="A757" s="19"/>
      <c r="B757" s="11"/>
      <c r="C757" s="23"/>
      <c r="D757" s="11"/>
      <c r="E757" s="11"/>
      <c r="F757" s="11"/>
      <c r="G757" s="13"/>
      <c r="H757" s="14"/>
      <c r="I757" s="14"/>
      <c r="J757" s="14"/>
      <c r="K757" s="14"/>
      <c r="L757" s="18"/>
      <c r="M757" s="13"/>
      <c r="N757" s="13"/>
      <c r="O757" s="14"/>
      <c r="P757" s="15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4" customHeight="1">
      <c r="A758" s="19"/>
      <c r="B758" s="11"/>
      <c r="C758" s="23"/>
      <c r="D758" s="11"/>
      <c r="E758" s="11"/>
      <c r="F758" s="11"/>
      <c r="G758" s="13"/>
      <c r="H758" s="14"/>
      <c r="I758" s="14"/>
      <c r="J758" s="14"/>
      <c r="K758" s="14"/>
      <c r="L758" s="18"/>
      <c r="M758" s="13"/>
      <c r="N758" s="13"/>
      <c r="O758" s="14"/>
      <c r="P758" s="15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4" customHeight="1">
      <c r="A759" s="19"/>
      <c r="B759" s="11"/>
      <c r="C759" s="23"/>
      <c r="D759" s="11"/>
      <c r="E759" s="11"/>
      <c r="F759" s="11"/>
      <c r="G759" s="13"/>
      <c r="H759" s="14"/>
      <c r="I759" s="14"/>
      <c r="J759" s="14"/>
      <c r="K759" s="14"/>
      <c r="L759" s="18"/>
      <c r="M759" s="13"/>
      <c r="N759" s="13"/>
      <c r="O759" s="14"/>
      <c r="P759" s="15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4" customHeight="1">
      <c r="A760" s="19"/>
      <c r="B760" s="11"/>
      <c r="C760" s="23"/>
      <c r="D760" s="11"/>
      <c r="E760" s="11"/>
      <c r="F760" s="11"/>
      <c r="G760" s="13"/>
      <c r="H760" s="14"/>
      <c r="I760" s="14"/>
      <c r="J760" s="14"/>
      <c r="K760" s="14"/>
      <c r="L760" s="18"/>
      <c r="M760" s="13"/>
      <c r="N760" s="13"/>
      <c r="O760" s="14"/>
      <c r="P760" s="15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4" customHeight="1">
      <c r="A761" s="19"/>
      <c r="B761" s="11"/>
      <c r="C761" s="23"/>
      <c r="D761" s="11"/>
      <c r="E761" s="11"/>
      <c r="F761" s="11"/>
      <c r="G761" s="13"/>
      <c r="H761" s="14"/>
      <c r="I761" s="14"/>
      <c r="J761" s="14"/>
      <c r="K761" s="14"/>
      <c r="L761" s="18"/>
      <c r="M761" s="13"/>
      <c r="N761" s="13"/>
      <c r="O761" s="14"/>
      <c r="P761" s="15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4" customHeight="1">
      <c r="A762" s="19"/>
      <c r="B762" s="11"/>
      <c r="C762" s="23"/>
      <c r="D762" s="11"/>
      <c r="E762" s="11"/>
      <c r="F762" s="11"/>
      <c r="G762" s="13"/>
      <c r="H762" s="14"/>
      <c r="I762" s="14"/>
      <c r="J762" s="14"/>
      <c r="K762" s="14"/>
      <c r="L762" s="18"/>
      <c r="M762" s="13"/>
      <c r="N762" s="13"/>
      <c r="O762" s="14"/>
      <c r="P762" s="15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4" customHeight="1">
      <c r="A763" s="19"/>
      <c r="B763" s="11"/>
      <c r="C763" s="23"/>
      <c r="D763" s="11"/>
      <c r="E763" s="11"/>
      <c r="F763" s="11"/>
      <c r="G763" s="13"/>
      <c r="H763" s="14"/>
      <c r="I763" s="14"/>
      <c r="J763" s="14"/>
      <c r="K763" s="14"/>
      <c r="L763" s="18"/>
      <c r="M763" s="13"/>
      <c r="N763" s="13"/>
      <c r="O763" s="14"/>
      <c r="P763" s="15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4" customHeight="1">
      <c r="A764" s="19"/>
      <c r="B764" s="11"/>
      <c r="C764" s="23"/>
      <c r="D764" s="11"/>
      <c r="E764" s="11"/>
      <c r="F764" s="11"/>
      <c r="G764" s="13"/>
      <c r="H764" s="14"/>
      <c r="I764" s="14"/>
      <c r="J764" s="14"/>
      <c r="K764" s="14"/>
      <c r="L764" s="18"/>
      <c r="M764" s="13"/>
      <c r="N764" s="13"/>
      <c r="O764" s="14"/>
      <c r="P764" s="15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4" customHeight="1">
      <c r="A765" s="19"/>
      <c r="B765" s="11"/>
      <c r="C765" s="23"/>
      <c r="D765" s="11"/>
      <c r="E765" s="11"/>
      <c r="F765" s="11"/>
      <c r="G765" s="13"/>
      <c r="H765" s="14"/>
      <c r="I765" s="14"/>
      <c r="J765" s="14"/>
      <c r="K765" s="14"/>
      <c r="L765" s="18"/>
      <c r="M765" s="13"/>
      <c r="N765" s="13"/>
      <c r="O765" s="14"/>
      <c r="P765" s="15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4" customHeight="1">
      <c r="A766" s="19"/>
      <c r="B766" s="11"/>
      <c r="C766" s="23"/>
      <c r="D766" s="11"/>
      <c r="E766" s="11"/>
      <c r="F766" s="11"/>
      <c r="G766" s="13"/>
      <c r="H766" s="14"/>
      <c r="I766" s="14"/>
      <c r="J766" s="14"/>
      <c r="K766" s="14"/>
      <c r="L766" s="18"/>
      <c r="M766" s="13"/>
      <c r="N766" s="13"/>
      <c r="O766" s="14"/>
      <c r="P766" s="15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4" customHeight="1">
      <c r="A767" s="19"/>
      <c r="B767" s="11"/>
      <c r="C767" s="23"/>
      <c r="D767" s="11"/>
      <c r="E767" s="11"/>
      <c r="F767" s="11"/>
      <c r="G767" s="13"/>
      <c r="H767" s="14"/>
      <c r="I767" s="14"/>
      <c r="J767" s="14"/>
      <c r="K767" s="14"/>
      <c r="L767" s="18"/>
      <c r="M767" s="13"/>
      <c r="N767" s="13"/>
      <c r="O767" s="14"/>
      <c r="P767" s="15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4" customHeight="1">
      <c r="A768" s="19"/>
      <c r="B768" s="11"/>
      <c r="C768" s="23"/>
      <c r="D768" s="11"/>
      <c r="E768" s="11"/>
      <c r="F768" s="11"/>
      <c r="G768" s="13"/>
      <c r="H768" s="14"/>
      <c r="I768" s="14"/>
      <c r="J768" s="14"/>
      <c r="K768" s="14"/>
      <c r="L768" s="18"/>
      <c r="M768" s="13"/>
      <c r="N768" s="13"/>
      <c r="O768" s="14"/>
      <c r="P768" s="15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4" customHeight="1">
      <c r="A769" s="19"/>
      <c r="B769" s="11"/>
      <c r="C769" s="23"/>
      <c r="D769" s="11"/>
      <c r="E769" s="11"/>
      <c r="F769" s="11"/>
      <c r="G769" s="13"/>
      <c r="H769" s="14"/>
      <c r="I769" s="14"/>
      <c r="J769" s="14"/>
      <c r="K769" s="14"/>
      <c r="L769" s="18"/>
      <c r="M769" s="13"/>
      <c r="N769" s="13"/>
      <c r="O769" s="14"/>
      <c r="P769" s="15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4" customHeight="1">
      <c r="A770" s="19"/>
      <c r="B770" s="11"/>
      <c r="C770" s="23"/>
      <c r="D770" s="11"/>
      <c r="E770" s="11"/>
      <c r="F770" s="11"/>
      <c r="G770" s="13"/>
      <c r="H770" s="14"/>
      <c r="I770" s="14"/>
      <c r="J770" s="14"/>
      <c r="K770" s="14"/>
      <c r="L770" s="18"/>
      <c r="M770" s="13"/>
      <c r="N770" s="13"/>
      <c r="O770" s="14"/>
      <c r="P770" s="15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4" customHeight="1">
      <c r="A771" s="19"/>
      <c r="B771" s="11"/>
      <c r="C771" s="23"/>
      <c r="D771" s="11"/>
      <c r="E771" s="11"/>
      <c r="F771" s="11"/>
      <c r="G771" s="13"/>
      <c r="H771" s="14"/>
      <c r="I771" s="14"/>
      <c r="J771" s="14"/>
      <c r="K771" s="14"/>
      <c r="L771" s="18"/>
      <c r="M771" s="13"/>
      <c r="N771" s="13"/>
      <c r="O771" s="14"/>
      <c r="P771" s="15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4" customHeight="1">
      <c r="A772" s="19"/>
      <c r="B772" s="11"/>
      <c r="C772" s="23"/>
      <c r="D772" s="11"/>
      <c r="E772" s="11"/>
      <c r="F772" s="11"/>
      <c r="G772" s="13"/>
      <c r="H772" s="14"/>
      <c r="I772" s="14"/>
      <c r="J772" s="14"/>
      <c r="K772" s="14"/>
      <c r="L772" s="18"/>
      <c r="M772" s="13"/>
      <c r="N772" s="13"/>
      <c r="O772" s="14"/>
      <c r="P772" s="15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4" customHeight="1">
      <c r="A773" s="19"/>
      <c r="B773" s="11"/>
      <c r="C773" s="23"/>
      <c r="D773" s="11"/>
      <c r="E773" s="11"/>
      <c r="F773" s="11"/>
      <c r="G773" s="13"/>
      <c r="H773" s="14"/>
      <c r="I773" s="14"/>
      <c r="J773" s="14"/>
      <c r="K773" s="14"/>
      <c r="L773" s="18"/>
      <c r="M773" s="13"/>
      <c r="N773" s="13"/>
      <c r="O773" s="14"/>
      <c r="P773" s="15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4" customHeight="1">
      <c r="A774" s="19"/>
      <c r="B774" s="11"/>
      <c r="C774" s="23"/>
      <c r="D774" s="11"/>
      <c r="E774" s="11"/>
      <c r="F774" s="11"/>
      <c r="G774" s="13"/>
      <c r="H774" s="14"/>
      <c r="I774" s="14"/>
      <c r="J774" s="14"/>
      <c r="K774" s="14"/>
      <c r="L774" s="18"/>
      <c r="M774" s="13"/>
      <c r="N774" s="13"/>
      <c r="O774" s="14"/>
      <c r="P774" s="15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4" customHeight="1">
      <c r="A775" s="19"/>
      <c r="B775" s="11"/>
      <c r="C775" s="23"/>
      <c r="D775" s="11"/>
      <c r="E775" s="11"/>
      <c r="F775" s="11"/>
      <c r="G775" s="13"/>
      <c r="H775" s="14"/>
      <c r="I775" s="14"/>
      <c r="J775" s="14"/>
      <c r="K775" s="14"/>
      <c r="L775" s="18"/>
      <c r="M775" s="13"/>
      <c r="N775" s="13"/>
      <c r="O775" s="14"/>
      <c r="P775" s="15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4" customHeight="1">
      <c r="A776" s="19"/>
      <c r="B776" s="11"/>
      <c r="C776" s="23"/>
      <c r="D776" s="11"/>
      <c r="E776" s="11"/>
      <c r="F776" s="11"/>
      <c r="G776" s="13"/>
      <c r="H776" s="14"/>
      <c r="I776" s="14"/>
      <c r="J776" s="14"/>
      <c r="K776" s="14"/>
      <c r="L776" s="18"/>
      <c r="M776" s="13"/>
      <c r="N776" s="13"/>
      <c r="O776" s="14"/>
      <c r="P776" s="15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4" customHeight="1">
      <c r="A777" s="19"/>
      <c r="B777" s="11"/>
      <c r="C777" s="23"/>
      <c r="D777" s="11"/>
      <c r="E777" s="11"/>
      <c r="F777" s="11"/>
      <c r="G777" s="13"/>
      <c r="H777" s="14"/>
      <c r="I777" s="14"/>
      <c r="J777" s="14"/>
      <c r="K777" s="14"/>
      <c r="L777" s="18"/>
      <c r="M777" s="13"/>
      <c r="N777" s="13"/>
      <c r="O777" s="14"/>
      <c r="P777" s="15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4" customHeight="1">
      <c r="A778" s="19"/>
      <c r="B778" s="11"/>
      <c r="C778" s="23"/>
      <c r="D778" s="11"/>
      <c r="E778" s="11"/>
      <c r="F778" s="11"/>
      <c r="G778" s="13"/>
      <c r="H778" s="14"/>
      <c r="I778" s="14"/>
      <c r="J778" s="14"/>
      <c r="K778" s="14"/>
      <c r="L778" s="18"/>
      <c r="M778" s="13"/>
      <c r="N778" s="13"/>
      <c r="O778" s="14"/>
      <c r="P778" s="15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4" customHeight="1">
      <c r="A779" s="19"/>
      <c r="B779" s="11"/>
      <c r="C779" s="23"/>
      <c r="D779" s="11"/>
      <c r="E779" s="11"/>
      <c r="F779" s="11"/>
      <c r="G779" s="13"/>
      <c r="H779" s="14"/>
      <c r="I779" s="14"/>
      <c r="J779" s="14"/>
      <c r="K779" s="14"/>
      <c r="L779" s="18"/>
      <c r="M779" s="13"/>
      <c r="N779" s="13"/>
      <c r="O779" s="14"/>
      <c r="P779" s="15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4" customHeight="1">
      <c r="A780" s="19"/>
      <c r="B780" s="11"/>
      <c r="C780" s="23"/>
      <c r="D780" s="11"/>
      <c r="E780" s="11"/>
      <c r="F780" s="11"/>
      <c r="G780" s="13"/>
      <c r="H780" s="14"/>
      <c r="I780" s="14"/>
      <c r="J780" s="14"/>
      <c r="K780" s="14"/>
      <c r="L780" s="18"/>
      <c r="M780" s="13"/>
      <c r="N780" s="13"/>
      <c r="O780" s="14"/>
      <c r="P780" s="15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4" customHeight="1">
      <c r="A781" s="19"/>
      <c r="B781" s="11"/>
      <c r="C781" s="23"/>
      <c r="D781" s="11"/>
      <c r="E781" s="11"/>
      <c r="F781" s="11"/>
      <c r="G781" s="13"/>
      <c r="H781" s="14"/>
      <c r="I781" s="14"/>
      <c r="J781" s="14"/>
      <c r="K781" s="14"/>
      <c r="L781" s="18"/>
      <c r="M781" s="13"/>
      <c r="N781" s="13"/>
      <c r="O781" s="14"/>
      <c r="P781" s="15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4" customHeight="1">
      <c r="A782" s="19"/>
      <c r="B782" s="11"/>
      <c r="C782" s="23"/>
      <c r="D782" s="11"/>
      <c r="E782" s="11"/>
      <c r="F782" s="11"/>
      <c r="G782" s="13"/>
      <c r="H782" s="14"/>
      <c r="I782" s="14"/>
      <c r="J782" s="14"/>
      <c r="K782" s="14"/>
      <c r="L782" s="18"/>
      <c r="M782" s="13"/>
      <c r="N782" s="13"/>
      <c r="O782" s="14"/>
      <c r="P782" s="15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4" customHeight="1">
      <c r="A783" s="19"/>
      <c r="B783" s="11"/>
      <c r="C783" s="23"/>
      <c r="D783" s="11"/>
      <c r="E783" s="11"/>
      <c r="F783" s="11"/>
      <c r="G783" s="13"/>
      <c r="H783" s="14"/>
      <c r="I783" s="14"/>
      <c r="J783" s="14"/>
      <c r="K783" s="14"/>
      <c r="L783" s="18"/>
      <c r="M783" s="13"/>
      <c r="N783" s="13"/>
      <c r="O783" s="14"/>
      <c r="P783" s="15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4" customHeight="1">
      <c r="A784" s="19"/>
      <c r="B784" s="11"/>
      <c r="C784" s="23"/>
      <c r="D784" s="11"/>
      <c r="E784" s="11"/>
      <c r="F784" s="11"/>
      <c r="G784" s="13"/>
      <c r="H784" s="14"/>
      <c r="I784" s="14"/>
      <c r="J784" s="14"/>
      <c r="K784" s="14"/>
      <c r="L784" s="18"/>
      <c r="M784" s="13"/>
      <c r="N784" s="13"/>
      <c r="O784" s="14"/>
      <c r="P784" s="15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4" customHeight="1">
      <c r="A785" s="19"/>
      <c r="B785" s="11"/>
      <c r="C785" s="23"/>
      <c r="D785" s="11"/>
      <c r="E785" s="11"/>
      <c r="F785" s="11"/>
      <c r="G785" s="13"/>
      <c r="H785" s="14"/>
      <c r="I785" s="14"/>
      <c r="J785" s="14"/>
      <c r="K785" s="14"/>
      <c r="L785" s="18"/>
      <c r="M785" s="13"/>
      <c r="N785" s="13"/>
      <c r="O785" s="14"/>
      <c r="P785" s="15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4" customHeight="1">
      <c r="A786" s="19"/>
      <c r="B786" s="11"/>
      <c r="C786" s="23"/>
      <c r="D786" s="11"/>
      <c r="E786" s="11"/>
      <c r="F786" s="11"/>
      <c r="G786" s="13"/>
      <c r="H786" s="14"/>
      <c r="I786" s="14"/>
      <c r="J786" s="14"/>
      <c r="K786" s="14"/>
      <c r="L786" s="18"/>
      <c r="M786" s="13"/>
      <c r="N786" s="13"/>
      <c r="O786" s="14"/>
      <c r="P786" s="15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4" customHeight="1">
      <c r="A787" s="19"/>
      <c r="B787" s="11"/>
      <c r="C787" s="23"/>
      <c r="D787" s="11"/>
      <c r="E787" s="11"/>
      <c r="F787" s="11"/>
      <c r="G787" s="13"/>
      <c r="H787" s="14"/>
      <c r="I787" s="14"/>
      <c r="J787" s="14"/>
      <c r="K787" s="14"/>
      <c r="L787" s="18"/>
      <c r="M787" s="13"/>
      <c r="N787" s="13"/>
      <c r="O787" s="14"/>
      <c r="P787" s="15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4" customHeight="1">
      <c r="A788" s="19"/>
      <c r="B788" s="11"/>
      <c r="C788" s="23"/>
      <c r="D788" s="11"/>
      <c r="E788" s="11"/>
      <c r="F788" s="11"/>
      <c r="G788" s="13"/>
      <c r="H788" s="14"/>
      <c r="I788" s="14"/>
      <c r="J788" s="14"/>
      <c r="K788" s="14"/>
      <c r="L788" s="18"/>
      <c r="M788" s="13"/>
      <c r="N788" s="13"/>
      <c r="O788" s="14"/>
      <c r="P788" s="15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4" customHeight="1">
      <c r="A789" s="19"/>
      <c r="B789" s="11"/>
      <c r="C789" s="23"/>
      <c r="D789" s="11"/>
      <c r="E789" s="11"/>
      <c r="F789" s="11"/>
      <c r="G789" s="13"/>
      <c r="H789" s="14"/>
      <c r="I789" s="14"/>
      <c r="J789" s="14"/>
      <c r="K789" s="14"/>
      <c r="L789" s="18"/>
      <c r="M789" s="13"/>
      <c r="N789" s="13"/>
      <c r="O789" s="14"/>
      <c r="P789" s="15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4" customHeight="1">
      <c r="A790" s="19"/>
      <c r="B790" s="11"/>
      <c r="C790" s="23"/>
      <c r="D790" s="11"/>
      <c r="E790" s="11"/>
      <c r="F790" s="11"/>
      <c r="G790" s="13"/>
      <c r="H790" s="14"/>
      <c r="I790" s="14"/>
      <c r="J790" s="14"/>
      <c r="K790" s="14"/>
      <c r="L790" s="18"/>
      <c r="M790" s="13"/>
      <c r="N790" s="13"/>
      <c r="O790" s="14"/>
      <c r="P790" s="15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4" customHeight="1">
      <c r="A791" s="19"/>
      <c r="B791" s="11"/>
      <c r="C791" s="23"/>
      <c r="D791" s="11"/>
      <c r="E791" s="11"/>
      <c r="F791" s="11"/>
      <c r="G791" s="13"/>
      <c r="H791" s="14"/>
      <c r="I791" s="14"/>
      <c r="J791" s="14"/>
      <c r="K791" s="14"/>
      <c r="L791" s="18"/>
      <c r="M791" s="13"/>
      <c r="N791" s="13"/>
      <c r="O791" s="14"/>
      <c r="P791" s="15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4" customHeight="1">
      <c r="A792" s="19"/>
      <c r="B792" s="11"/>
      <c r="C792" s="23"/>
      <c r="D792" s="11"/>
      <c r="E792" s="11"/>
      <c r="F792" s="11"/>
      <c r="G792" s="13"/>
      <c r="H792" s="14"/>
      <c r="I792" s="14"/>
      <c r="J792" s="14"/>
      <c r="K792" s="14"/>
      <c r="L792" s="18"/>
      <c r="M792" s="13"/>
      <c r="N792" s="13"/>
      <c r="O792" s="14"/>
      <c r="P792" s="15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4" customHeight="1">
      <c r="A793" s="19"/>
      <c r="B793" s="11"/>
      <c r="C793" s="23"/>
      <c r="D793" s="11"/>
      <c r="E793" s="11"/>
      <c r="F793" s="11"/>
      <c r="G793" s="13"/>
      <c r="H793" s="14"/>
      <c r="I793" s="14"/>
      <c r="J793" s="14"/>
      <c r="K793" s="14"/>
      <c r="L793" s="18"/>
      <c r="M793" s="13"/>
      <c r="N793" s="13"/>
      <c r="O793" s="14"/>
      <c r="P793" s="15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4" customHeight="1">
      <c r="A794" s="19"/>
      <c r="B794" s="11"/>
      <c r="C794" s="23"/>
      <c r="D794" s="11"/>
      <c r="E794" s="11"/>
      <c r="F794" s="11"/>
      <c r="G794" s="13"/>
      <c r="H794" s="14"/>
      <c r="I794" s="14"/>
      <c r="J794" s="14"/>
      <c r="K794" s="14"/>
      <c r="L794" s="18"/>
      <c r="M794" s="13"/>
      <c r="N794" s="13"/>
      <c r="O794" s="14"/>
      <c r="P794" s="15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4" customHeight="1">
      <c r="A795" s="19"/>
      <c r="B795" s="11"/>
      <c r="C795" s="23"/>
      <c r="D795" s="11"/>
      <c r="E795" s="11"/>
      <c r="F795" s="11"/>
      <c r="G795" s="13"/>
      <c r="H795" s="14"/>
      <c r="I795" s="14"/>
      <c r="J795" s="14"/>
      <c r="K795" s="14"/>
      <c r="L795" s="18"/>
      <c r="M795" s="13"/>
      <c r="N795" s="13"/>
      <c r="O795" s="14"/>
      <c r="P795" s="15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4" customHeight="1">
      <c r="A796" s="19"/>
      <c r="B796" s="11"/>
      <c r="C796" s="23"/>
      <c r="D796" s="11"/>
      <c r="E796" s="11"/>
      <c r="F796" s="11"/>
      <c r="G796" s="13"/>
      <c r="H796" s="14"/>
      <c r="I796" s="14"/>
      <c r="J796" s="14"/>
      <c r="K796" s="14"/>
      <c r="L796" s="18"/>
      <c r="M796" s="13"/>
      <c r="N796" s="13"/>
      <c r="O796" s="14"/>
      <c r="P796" s="15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4" customHeight="1">
      <c r="A797" s="19"/>
      <c r="B797" s="11"/>
      <c r="C797" s="23"/>
      <c r="D797" s="11"/>
      <c r="E797" s="11"/>
      <c r="F797" s="11"/>
      <c r="G797" s="13"/>
      <c r="H797" s="14"/>
      <c r="I797" s="14"/>
      <c r="J797" s="14"/>
      <c r="K797" s="14"/>
      <c r="L797" s="18"/>
      <c r="M797" s="13"/>
      <c r="N797" s="13"/>
      <c r="O797" s="14"/>
      <c r="P797" s="15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4" customHeight="1">
      <c r="A798" s="19"/>
      <c r="B798" s="11"/>
      <c r="C798" s="23"/>
      <c r="D798" s="11"/>
      <c r="E798" s="11"/>
      <c r="F798" s="11"/>
      <c r="G798" s="13"/>
      <c r="H798" s="14"/>
      <c r="I798" s="14"/>
      <c r="J798" s="14"/>
      <c r="K798" s="14"/>
      <c r="L798" s="18"/>
      <c r="M798" s="13"/>
      <c r="N798" s="13"/>
      <c r="O798" s="14"/>
      <c r="P798" s="15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4" customHeight="1">
      <c r="A799" s="19"/>
      <c r="B799" s="11"/>
      <c r="C799" s="23"/>
      <c r="D799" s="11"/>
      <c r="E799" s="11"/>
      <c r="F799" s="11"/>
      <c r="G799" s="13"/>
      <c r="H799" s="14"/>
      <c r="I799" s="14"/>
      <c r="J799" s="14"/>
      <c r="K799" s="14"/>
      <c r="L799" s="18"/>
      <c r="M799" s="13"/>
      <c r="N799" s="13"/>
      <c r="O799" s="14"/>
      <c r="P799" s="15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4" customHeight="1">
      <c r="A800" s="19"/>
      <c r="B800" s="11"/>
      <c r="C800" s="23"/>
      <c r="D800" s="11"/>
      <c r="E800" s="11"/>
      <c r="F800" s="11"/>
      <c r="G800" s="13"/>
      <c r="H800" s="14"/>
      <c r="I800" s="14"/>
      <c r="J800" s="14"/>
      <c r="K800" s="14"/>
      <c r="L800" s="18"/>
      <c r="M800" s="13"/>
      <c r="N800" s="13"/>
      <c r="O800" s="14"/>
      <c r="P800" s="15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4" customHeight="1">
      <c r="A801" s="19"/>
      <c r="B801" s="11"/>
      <c r="C801" s="23"/>
      <c r="D801" s="11"/>
      <c r="E801" s="11"/>
      <c r="F801" s="11"/>
      <c r="G801" s="13"/>
      <c r="H801" s="14"/>
      <c r="I801" s="14"/>
      <c r="J801" s="14"/>
      <c r="K801" s="14"/>
      <c r="L801" s="18"/>
      <c r="M801" s="13"/>
      <c r="N801" s="13"/>
      <c r="O801" s="14"/>
      <c r="P801" s="15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4" customHeight="1">
      <c r="A802" s="19"/>
      <c r="B802" s="11"/>
      <c r="C802" s="23"/>
      <c r="D802" s="11"/>
      <c r="E802" s="11"/>
      <c r="F802" s="11"/>
      <c r="G802" s="13"/>
      <c r="H802" s="14"/>
      <c r="I802" s="14"/>
      <c r="J802" s="14"/>
      <c r="K802" s="14"/>
      <c r="L802" s="18"/>
      <c r="M802" s="13"/>
      <c r="N802" s="13"/>
      <c r="O802" s="14"/>
      <c r="P802" s="15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4" customHeight="1">
      <c r="A803" s="19"/>
      <c r="B803" s="11"/>
      <c r="C803" s="23"/>
      <c r="D803" s="11"/>
      <c r="E803" s="11"/>
      <c r="F803" s="11"/>
      <c r="G803" s="13"/>
      <c r="H803" s="14"/>
      <c r="I803" s="14"/>
      <c r="J803" s="14"/>
      <c r="K803" s="14"/>
      <c r="L803" s="18"/>
      <c r="M803" s="13"/>
      <c r="N803" s="13"/>
      <c r="O803" s="14"/>
      <c r="P803" s="15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4" customHeight="1">
      <c r="A804" s="19"/>
      <c r="B804" s="11"/>
      <c r="C804" s="23"/>
      <c r="D804" s="11"/>
      <c r="E804" s="11"/>
      <c r="F804" s="11"/>
      <c r="G804" s="13"/>
      <c r="H804" s="14"/>
      <c r="I804" s="14"/>
      <c r="J804" s="14"/>
      <c r="K804" s="14"/>
      <c r="L804" s="18"/>
      <c r="M804" s="13"/>
      <c r="N804" s="13"/>
      <c r="O804" s="14"/>
      <c r="P804" s="15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4" customHeight="1">
      <c r="A805" s="19"/>
      <c r="B805" s="11"/>
      <c r="C805" s="23"/>
      <c r="D805" s="11"/>
      <c r="E805" s="11"/>
      <c r="F805" s="11"/>
      <c r="G805" s="13"/>
      <c r="H805" s="14"/>
      <c r="I805" s="14"/>
      <c r="J805" s="14"/>
      <c r="K805" s="14"/>
      <c r="L805" s="18"/>
      <c r="M805" s="13"/>
      <c r="N805" s="13"/>
      <c r="O805" s="14"/>
      <c r="P805" s="15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4" customHeight="1">
      <c r="A806" s="19"/>
      <c r="B806" s="11"/>
      <c r="C806" s="23"/>
      <c r="D806" s="11"/>
      <c r="E806" s="11"/>
      <c r="F806" s="11"/>
      <c r="G806" s="13"/>
      <c r="H806" s="14"/>
      <c r="I806" s="14"/>
      <c r="J806" s="14"/>
      <c r="K806" s="14"/>
      <c r="L806" s="18"/>
      <c r="M806" s="13"/>
      <c r="N806" s="13"/>
      <c r="O806" s="14"/>
      <c r="P806" s="15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4" customHeight="1">
      <c r="A807" s="19"/>
      <c r="B807" s="11"/>
      <c r="C807" s="23"/>
      <c r="D807" s="11"/>
      <c r="E807" s="11"/>
      <c r="F807" s="11"/>
      <c r="G807" s="13"/>
      <c r="H807" s="14"/>
      <c r="I807" s="14"/>
      <c r="J807" s="14"/>
      <c r="K807" s="14"/>
      <c r="L807" s="18"/>
      <c r="M807" s="13"/>
      <c r="N807" s="13"/>
      <c r="O807" s="14"/>
      <c r="P807" s="15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4" customHeight="1">
      <c r="A808" s="19"/>
      <c r="B808" s="11"/>
      <c r="C808" s="23"/>
      <c r="D808" s="11"/>
      <c r="E808" s="11"/>
      <c r="F808" s="11"/>
      <c r="G808" s="13"/>
      <c r="H808" s="14"/>
      <c r="I808" s="14"/>
      <c r="J808" s="14"/>
      <c r="K808" s="14"/>
      <c r="L808" s="18"/>
      <c r="M808" s="13"/>
      <c r="N808" s="13"/>
      <c r="O808" s="14"/>
      <c r="P808" s="15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4" customHeight="1">
      <c r="A809" s="19"/>
      <c r="B809" s="11"/>
      <c r="C809" s="23"/>
      <c r="D809" s="11"/>
      <c r="E809" s="11"/>
      <c r="F809" s="11"/>
      <c r="G809" s="13"/>
      <c r="H809" s="14"/>
      <c r="I809" s="14"/>
      <c r="J809" s="14"/>
      <c r="K809" s="14"/>
      <c r="L809" s="18"/>
      <c r="M809" s="13"/>
      <c r="N809" s="13"/>
      <c r="O809" s="14"/>
      <c r="P809" s="15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4" customHeight="1">
      <c r="A810" s="19"/>
      <c r="B810" s="11"/>
      <c r="C810" s="23"/>
      <c r="D810" s="11"/>
      <c r="E810" s="11"/>
      <c r="F810" s="11"/>
      <c r="G810" s="13"/>
      <c r="H810" s="14"/>
      <c r="I810" s="14"/>
      <c r="J810" s="14"/>
      <c r="K810" s="14"/>
      <c r="L810" s="18"/>
      <c r="M810" s="13"/>
      <c r="N810" s="13"/>
      <c r="O810" s="14"/>
      <c r="P810" s="15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4" customHeight="1">
      <c r="A811" s="19"/>
      <c r="B811" s="11"/>
      <c r="C811" s="23"/>
      <c r="D811" s="11"/>
      <c r="E811" s="11"/>
      <c r="F811" s="11"/>
      <c r="G811" s="13"/>
      <c r="H811" s="14"/>
      <c r="I811" s="14"/>
      <c r="J811" s="14"/>
      <c r="K811" s="14"/>
      <c r="L811" s="18"/>
      <c r="M811" s="13"/>
      <c r="N811" s="13"/>
      <c r="O811" s="14"/>
      <c r="P811" s="15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4" customHeight="1">
      <c r="A812" s="19"/>
      <c r="B812" s="11"/>
      <c r="C812" s="23"/>
      <c r="D812" s="11"/>
      <c r="E812" s="11"/>
      <c r="F812" s="11"/>
      <c r="G812" s="13"/>
      <c r="H812" s="14"/>
      <c r="I812" s="14"/>
      <c r="J812" s="14"/>
      <c r="K812" s="14"/>
      <c r="L812" s="18"/>
      <c r="M812" s="13"/>
      <c r="N812" s="13"/>
      <c r="O812" s="14"/>
      <c r="P812" s="15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4" customHeight="1">
      <c r="A813" s="19"/>
      <c r="B813" s="11"/>
      <c r="C813" s="23"/>
      <c r="D813" s="11"/>
      <c r="E813" s="11"/>
      <c r="F813" s="11"/>
      <c r="G813" s="13"/>
      <c r="H813" s="14"/>
      <c r="I813" s="14"/>
      <c r="J813" s="14"/>
      <c r="K813" s="14"/>
      <c r="L813" s="18"/>
      <c r="M813" s="13"/>
      <c r="N813" s="13"/>
      <c r="O813" s="14"/>
      <c r="P813" s="15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4" customHeight="1">
      <c r="A814" s="19"/>
      <c r="B814" s="11"/>
      <c r="C814" s="23"/>
      <c r="D814" s="11"/>
      <c r="E814" s="11"/>
      <c r="F814" s="11"/>
      <c r="G814" s="13"/>
      <c r="H814" s="14"/>
      <c r="I814" s="14"/>
      <c r="J814" s="14"/>
      <c r="K814" s="14"/>
      <c r="L814" s="18"/>
      <c r="M814" s="13"/>
      <c r="N814" s="13"/>
      <c r="O814" s="14"/>
      <c r="P814" s="15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4" customHeight="1">
      <c r="A815" s="19"/>
      <c r="B815" s="11"/>
      <c r="C815" s="23"/>
      <c r="D815" s="11"/>
      <c r="E815" s="11"/>
      <c r="F815" s="11"/>
      <c r="G815" s="13"/>
      <c r="H815" s="14"/>
      <c r="I815" s="14"/>
      <c r="J815" s="14"/>
      <c r="K815" s="14"/>
      <c r="L815" s="18"/>
      <c r="M815" s="13"/>
      <c r="N815" s="13"/>
      <c r="O815" s="14"/>
      <c r="P815" s="15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4" customHeight="1">
      <c r="A816" s="19"/>
      <c r="B816" s="11"/>
      <c r="C816" s="23"/>
      <c r="D816" s="11"/>
      <c r="E816" s="11"/>
      <c r="F816" s="11"/>
      <c r="G816" s="13"/>
      <c r="H816" s="14"/>
      <c r="I816" s="14"/>
      <c r="J816" s="14"/>
      <c r="K816" s="14"/>
      <c r="L816" s="18"/>
      <c r="M816" s="13"/>
      <c r="N816" s="13"/>
      <c r="O816" s="14"/>
      <c r="P816" s="15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4" customHeight="1">
      <c r="A817" s="19"/>
      <c r="B817" s="11"/>
      <c r="C817" s="23"/>
      <c r="D817" s="11"/>
      <c r="E817" s="11"/>
      <c r="F817" s="11"/>
      <c r="G817" s="13"/>
      <c r="H817" s="14"/>
      <c r="I817" s="14"/>
      <c r="J817" s="14"/>
      <c r="K817" s="14"/>
      <c r="L817" s="18"/>
      <c r="M817" s="13"/>
      <c r="N817" s="13"/>
      <c r="O817" s="14"/>
      <c r="P817" s="15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4" customHeight="1">
      <c r="A818" s="19"/>
      <c r="B818" s="11"/>
      <c r="C818" s="23"/>
      <c r="D818" s="11"/>
      <c r="E818" s="11"/>
      <c r="F818" s="11"/>
      <c r="G818" s="13"/>
      <c r="H818" s="14"/>
      <c r="I818" s="14"/>
      <c r="J818" s="14"/>
      <c r="K818" s="14"/>
      <c r="L818" s="18"/>
      <c r="M818" s="13"/>
      <c r="N818" s="13"/>
      <c r="O818" s="14"/>
      <c r="P818" s="15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4" customHeight="1">
      <c r="A819" s="19"/>
      <c r="B819" s="11"/>
      <c r="C819" s="23"/>
      <c r="D819" s="11"/>
      <c r="E819" s="11"/>
      <c r="F819" s="11"/>
      <c r="G819" s="13"/>
      <c r="H819" s="14"/>
      <c r="I819" s="14"/>
      <c r="J819" s="14"/>
      <c r="K819" s="14"/>
      <c r="L819" s="18"/>
      <c r="M819" s="13"/>
      <c r="N819" s="13"/>
      <c r="O819" s="14"/>
      <c r="P819" s="15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4" customHeight="1">
      <c r="A820" s="19"/>
      <c r="B820" s="11"/>
      <c r="C820" s="23"/>
      <c r="D820" s="11"/>
      <c r="E820" s="11"/>
      <c r="F820" s="11"/>
      <c r="G820" s="13"/>
      <c r="H820" s="14"/>
      <c r="I820" s="14"/>
      <c r="J820" s="14"/>
      <c r="K820" s="14"/>
      <c r="L820" s="18"/>
      <c r="M820" s="13"/>
      <c r="N820" s="13"/>
      <c r="O820" s="14"/>
      <c r="P820" s="15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4" customHeight="1">
      <c r="A821" s="19"/>
      <c r="B821" s="11"/>
      <c r="C821" s="23"/>
      <c r="D821" s="11"/>
      <c r="E821" s="11"/>
      <c r="F821" s="11"/>
      <c r="G821" s="13"/>
      <c r="H821" s="14"/>
      <c r="I821" s="14"/>
      <c r="J821" s="14"/>
      <c r="K821" s="14"/>
      <c r="L821" s="18"/>
      <c r="M821" s="13"/>
      <c r="N821" s="13"/>
      <c r="O821" s="14"/>
      <c r="P821" s="15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4" customHeight="1">
      <c r="A822" s="19"/>
      <c r="B822" s="11"/>
      <c r="C822" s="23"/>
      <c r="D822" s="11"/>
      <c r="E822" s="11"/>
      <c r="F822" s="11"/>
      <c r="G822" s="13"/>
      <c r="H822" s="14"/>
      <c r="I822" s="14"/>
      <c r="J822" s="14"/>
      <c r="K822" s="14"/>
      <c r="L822" s="18"/>
      <c r="M822" s="13"/>
      <c r="N822" s="13"/>
      <c r="O822" s="14"/>
      <c r="P822" s="15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4" customHeight="1">
      <c r="A823" s="19"/>
      <c r="B823" s="11"/>
      <c r="C823" s="23"/>
      <c r="D823" s="11"/>
      <c r="E823" s="11"/>
      <c r="F823" s="11"/>
      <c r="G823" s="13"/>
      <c r="H823" s="14"/>
      <c r="I823" s="14"/>
      <c r="J823" s="14"/>
      <c r="K823" s="14"/>
      <c r="L823" s="18"/>
      <c r="M823" s="13"/>
      <c r="N823" s="13"/>
      <c r="O823" s="14"/>
      <c r="P823" s="15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4" customHeight="1">
      <c r="A824" s="19"/>
      <c r="B824" s="11"/>
      <c r="C824" s="23"/>
      <c r="D824" s="11"/>
      <c r="E824" s="11"/>
      <c r="F824" s="11"/>
      <c r="G824" s="13"/>
      <c r="H824" s="14"/>
      <c r="I824" s="14"/>
      <c r="J824" s="14"/>
      <c r="K824" s="14"/>
      <c r="L824" s="18"/>
      <c r="M824" s="13"/>
      <c r="N824" s="13"/>
      <c r="O824" s="14"/>
      <c r="P824" s="15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4" customHeight="1">
      <c r="A825" s="19"/>
      <c r="B825" s="11"/>
      <c r="C825" s="23"/>
      <c r="D825" s="11"/>
      <c r="E825" s="11"/>
      <c r="F825" s="11"/>
      <c r="G825" s="13"/>
      <c r="H825" s="14"/>
      <c r="I825" s="14"/>
      <c r="J825" s="14"/>
      <c r="K825" s="14"/>
      <c r="L825" s="18"/>
      <c r="M825" s="13"/>
      <c r="N825" s="13"/>
      <c r="O825" s="14"/>
      <c r="P825" s="15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4" customHeight="1">
      <c r="A826" s="19"/>
      <c r="B826" s="11"/>
      <c r="C826" s="23"/>
      <c r="D826" s="11"/>
      <c r="E826" s="11"/>
      <c r="F826" s="11"/>
      <c r="G826" s="13"/>
      <c r="H826" s="14"/>
      <c r="I826" s="14"/>
      <c r="J826" s="14"/>
      <c r="K826" s="14"/>
      <c r="L826" s="18"/>
      <c r="M826" s="13"/>
      <c r="N826" s="13"/>
      <c r="O826" s="14"/>
      <c r="P826" s="15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4" customHeight="1">
      <c r="A827" s="19"/>
      <c r="B827" s="11"/>
      <c r="C827" s="23"/>
      <c r="D827" s="11"/>
      <c r="E827" s="11"/>
      <c r="F827" s="11"/>
      <c r="G827" s="13"/>
      <c r="H827" s="14"/>
      <c r="I827" s="14"/>
      <c r="J827" s="14"/>
      <c r="K827" s="14"/>
      <c r="L827" s="18"/>
      <c r="M827" s="13"/>
      <c r="N827" s="13"/>
      <c r="O827" s="14"/>
      <c r="P827" s="15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4" customHeight="1">
      <c r="A828" s="19"/>
      <c r="B828" s="11"/>
      <c r="C828" s="23"/>
      <c r="D828" s="11"/>
      <c r="E828" s="11"/>
      <c r="F828" s="11"/>
      <c r="G828" s="13"/>
      <c r="H828" s="14"/>
      <c r="I828" s="14"/>
      <c r="J828" s="14"/>
      <c r="K828" s="14"/>
      <c r="L828" s="18"/>
      <c r="M828" s="13"/>
      <c r="N828" s="13"/>
      <c r="O828" s="14"/>
      <c r="P828" s="15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4" customHeight="1">
      <c r="A829" s="19"/>
      <c r="B829" s="11"/>
      <c r="C829" s="23"/>
      <c r="D829" s="11"/>
      <c r="E829" s="11"/>
      <c r="F829" s="11"/>
      <c r="G829" s="13"/>
      <c r="H829" s="14"/>
      <c r="I829" s="14"/>
      <c r="J829" s="14"/>
      <c r="K829" s="14"/>
      <c r="L829" s="18"/>
      <c r="M829" s="13"/>
      <c r="N829" s="13"/>
      <c r="O829" s="14"/>
      <c r="P829" s="15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4" customHeight="1">
      <c r="A830" s="19"/>
      <c r="B830" s="11"/>
      <c r="C830" s="23"/>
      <c r="D830" s="11"/>
      <c r="E830" s="11"/>
      <c r="F830" s="11"/>
      <c r="G830" s="13"/>
      <c r="H830" s="14"/>
      <c r="I830" s="14"/>
      <c r="J830" s="14"/>
      <c r="K830" s="14"/>
      <c r="L830" s="18"/>
      <c r="M830" s="13"/>
      <c r="N830" s="13"/>
      <c r="O830" s="14"/>
      <c r="P830" s="15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4" customHeight="1">
      <c r="A831" s="19"/>
      <c r="B831" s="11"/>
      <c r="C831" s="23"/>
      <c r="D831" s="11"/>
      <c r="E831" s="11"/>
      <c r="F831" s="11"/>
      <c r="G831" s="13"/>
      <c r="H831" s="14"/>
      <c r="I831" s="14"/>
      <c r="J831" s="14"/>
      <c r="K831" s="14"/>
      <c r="L831" s="18"/>
      <c r="M831" s="13"/>
      <c r="N831" s="13"/>
      <c r="O831" s="14"/>
      <c r="P831" s="15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4" customHeight="1">
      <c r="A832" s="19"/>
      <c r="B832" s="11"/>
      <c r="C832" s="23"/>
      <c r="D832" s="11"/>
      <c r="E832" s="11"/>
      <c r="F832" s="11"/>
      <c r="G832" s="13"/>
      <c r="H832" s="14"/>
      <c r="I832" s="14"/>
      <c r="J832" s="14"/>
      <c r="K832" s="14"/>
      <c r="L832" s="18"/>
      <c r="M832" s="13"/>
      <c r="N832" s="13"/>
      <c r="O832" s="14"/>
      <c r="P832" s="15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4" customHeight="1">
      <c r="A833" s="19"/>
      <c r="B833" s="11"/>
      <c r="C833" s="23"/>
      <c r="D833" s="11"/>
      <c r="E833" s="11"/>
      <c r="F833" s="11"/>
      <c r="G833" s="13"/>
      <c r="H833" s="14"/>
      <c r="I833" s="14"/>
      <c r="J833" s="14"/>
      <c r="K833" s="14"/>
      <c r="L833" s="18"/>
      <c r="M833" s="13"/>
      <c r="N833" s="13"/>
      <c r="O833" s="14"/>
      <c r="P833" s="15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4" customHeight="1">
      <c r="A834" s="19"/>
      <c r="B834" s="11"/>
      <c r="C834" s="23"/>
      <c r="D834" s="11"/>
      <c r="E834" s="11"/>
      <c r="F834" s="11"/>
      <c r="G834" s="13"/>
      <c r="H834" s="14"/>
      <c r="I834" s="14"/>
      <c r="J834" s="14"/>
      <c r="K834" s="14"/>
      <c r="L834" s="18"/>
      <c r="M834" s="13"/>
      <c r="N834" s="13"/>
      <c r="O834" s="14"/>
      <c r="P834" s="15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4" customHeight="1">
      <c r="A835" s="19"/>
      <c r="B835" s="11"/>
      <c r="C835" s="23"/>
      <c r="D835" s="11"/>
      <c r="E835" s="11"/>
      <c r="F835" s="11"/>
      <c r="G835" s="13"/>
      <c r="H835" s="14"/>
      <c r="I835" s="14"/>
      <c r="J835" s="14"/>
      <c r="K835" s="14"/>
      <c r="L835" s="18"/>
      <c r="M835" s="13"/>
      <c r="N835" s="13"/>
      <c r="O835" s="14"/>
      <c r="P835" s="15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4" customHeight="1">
      <c r="A836" s="19"/>
      <c r="B836" s="11"/>
      <c r="C836" s="23"/>
      <c r="D836" s="11"/>
      <c r="E836" s="11"/>
      <c r="F836" s="11"/>
      <c r="G836" s="13"/>
      <c r="H836" s="14"/>
      <c r="I836" s="14"/>
      <c r="J836" s="14"/>
      <c r="K836" s="14"/>
      <c r="L836" s="18"/>
      <c r="M836" s="13"/>
      <c r="N836" s="13"/>
      <c r="O836" s="14"/>
      <c r="P836" s="15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4" customHeight="1">
      <c r="A837" s="19"/>
      <c r="B837" s="11"/>
      <c r="C837" s="23"/>
      <c r="D837" s="11"/>
      <c r="E837" s="11"/>
      <c r="F837" s="11"/>
      <c r="G837" s="13"/>
      <c r="H837" s="14"/>
      <c r="I837" s="14"/>
      <c r="J837" s="14"/>
      <c r="K837" s="14"/>
      <c r="L837" s="18"/>
      <c r="M837" s="13"/>
      <c r="N837" s="13"/>
      <c r="O837" s="14"/>
      <c r="P837" s="15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4" customHeight="1">
      <c r="A838" s="19"/>
      <c r="B838" s="11"/>
      <c r="C838" s="23"/>
      <c r="D838" s="11"/>
      <c r="E838" s="11"/>
      <c r="F838" s="11"/>
      <c r="G838" s="13"/>
      <c r="H838" s="14"/>
      <c r="I838" s="14"/>
      <c r="J838" s="14"/>
      <c r="K838" s="14"/>
      <c r="L838" s="18"/>
      <c r="M838" s="13"/>
      <c r="N838" s="13"/>
      <c r="O838" s="14"/>
      <c r="P838" s="15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4" customHeight="1">
      <c r="A839" s="19"/>
      <c r="B839" s="11"/>
      <c r="C839" s="23"/>
      <c r="D839" s="11"/>
      <c r="E839" s="11"/>
      <c r="F839" s="11"/>
      <c r="G839" s="13"/>
      <c r="H839" s="14"/>
      <c r="I839" s="14"/>
      <c r="J839" s="14"/>
      <c r="K839" s="14"/>
      <c r="L839" s="18"/>
      <c r="M839" s="13"/>
      <c r="N839" s="13"/>
      <c r="O839" s="14"/>
      <c r="P839" s="15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4" customHeight="1">
      <c r="A840" s="19"/>
      <c r="B840" s="11"/>
      <c r="C840" s="23"/>
      <c r="D840" s="11"/>
      <c r="E840" s="11"/>
      <c r="F840" s="11"/>
      <c r="G840" s="13"/>
      <c r="H840" s="14"/>
      <c r="I840" s="14"/>
      <c r="J840" s="14"/>
      <c r="K840" s="14"/>
      <c r="L840" s="18"/>
      <c r="M840" s="13"/>
      <c r="N840" s="13"/>
      <c r="O840" s="14"/>
      <c r="P840" s="15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4" customHeight="1">
      <c r="A841" s="19"/>
      <c r="B841" s="11"/>
      <c r="C841" s="23"/>
      <c r="D841" s="11"/>
      <c r="E841" s="11"/>
      <c r="F841" s="11"/>
      <c r="G841" s="13"/>
      <c r="H841" s="14"/>
      <c r="I841" s="14"/>
      <c r="J841" s="14"/>
      <c r="K841" s="14"/>
      <c r="L841" s="18"/>
      <c r="M841" s="13"/>
      <c r="N841" s="13"/>
      <c r="O841" s="14"/>
      <c r="P841" s="15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4" customHeight="1">
      <c r="A842" s="19"/>
      <c r="B842" s="11"/>
      <c r="C842" s="23"/>
      <c r="D842" s="11"/>
      <c r="E842" s="11"/>
      <c r="F842" s="11"/>
      <c r="G842" s="13"/>
      <c r="H842" s="14"/>
      <c r="I842" s="14"/>
      <c r="J842" s="14"/>
      <c r="K842" s="14"/>
      <c r="L842" s="18"/>
      <c r="M842" s="13"/>
      <c r="N842" s="13"/>
      <c r="O842" s="14"/>
      <c r="P842" s="15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4" customHeight="1">
      <c r="A843" s="19"/>
      <c r="B843" s="11"/>
      <c r="C843" s="23"/>
      <c r="D843" s="11"/>
      <c r="E843" s="11"/>
      <c r="F843" s="11"/>
      <c r="G843" s="13"/>
      <c r="H843" s="14"/>
      <c r="I843" s="14"/>
      <c r="J843" s="14"/>
      <c r="K843" s="14"/>
      <c r="L843" s="18"/>
      <c r="M843" s="13"/>
      <c r="N843" s="13"/>
      <c r="O843" s="14"/>
      <c r="P843" s="15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4" customHeight="1">
      <c r="A844" s="19"/>
      <c r="B844" s="11"/>
      <c r="C844" s="23"/>
      <c r="D844" s="11"/>
      <c r="E844" s="11"/>
      <c r="F844" s="11"/>
      <c r="G844" s="13"/>
      <c r="H844" s="14"/>
      <c r="I844" s="14"/>
      <c r="J844" s="14"/>
      <c r="K844" s="14"/>
      <c r="L844" s="18"/>
      <c r="M844" s="13"/>
      <c r="N844" s="13"/>
      <c r="O844" s="14"/>
      <c r="P844" s="15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4" customHeight="1">
      <c r="A845" s="19"/>
      <c r="B845" s="11"/>
      <c r="C845" s="23"/>
      <c r="D845" s="11"/>
      <c r="E845" s="11"/>
      <c r="F845" s="11"/>
      <c r="G845" s="13"/>
      <c r="H845" s="14"/>
      <c r="I845" s="14"/>
      <c r="J845" s="14"/>
      <c r="K845" s="14"/>
      <c r="L845" s="18"/>
      <c r="M845" s="13"/>
      <c r="N845" s="13"/>
      <c r="O845" s="14"/>
      <c r="P845" s="15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4" customHeight="1">
      <c r="A846" s="19"/>
      <c r="B846" s="11"/>
      <c r="C846" s="23"/>
      <c r="D846" s="11"/>
      <c r="E846" s="11"/>
      <c r="F846" s="11"/>
      <c r="G846" s="13"/>
      <c r="H846" s="14"/>
      <c r="I846" s="14"/>
      <c r="J846" s="14"/>
      <c r="K846" s="14"/>
      <c r="L846" s="18"/>
      <c r="M846" s="13"/>
      <c r="N846" s="13"/>
      <c r="O846" s="14"/>
      <c r="P846" s="15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4" customHeight="1">
      <c r="A847" s="19"/>
      <c r="B847" s="11"/>
      <c r="C847" s="23"/>
      <c r="D847" s="11"/>
      <c r="E847" s="11"/>
      <c r="F847" s="11"/>
      <c r="G847" s="13"/>
      <c r="H847" s="14"/>
      <c r="I847" s="14"/>
      <c r="J847" s="14"/>
      <c r="K847" s="14"/>
      <c r="L847" s="18"/>
      <c r="M847" s="13"/>
      <c r="N847" s="13"/>
      <c r="O847" s="14"/>
      <c r="P847" s="15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4" customHeight="1">
      <c r="A848" s="19"/>
      <c r="B848" s="11"/>
      <c r="C848" s="23"/>
      <c r="D848" s="11"/>
      <c r="E848" s="11"/>
      <c r="F848" s="11"/>
      <c r="G848" s="13"/>
      <c r="H848" s="14"/>
      <c r="I848" s="14"/>
      <c r="J848" s="14"/>
      <c r="K848" s="14"/>
      <c r="L848" s="18"/>
      <c r="M848" s="13"/>
      <c r="N848" s="13"/>
      <c r="O848" s="14"/>
      <c r="P848" s="15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4" customHeight="1">
      <c r="A849" s="19"/>
      <c r="B849" s="11"/>
      <c r="C849" s="23"/>
      <c r="D849" s="11"/>
      <c r="E849" s="11"/>
      <c r="F849" s="11"/>
      <c r="G849" s="13"/>
      <c r="H849" s="14"/>
      <c r="I849" s="14"/>
      <c r="J849" s="14"/>
      <c r="K849" s="14"/>
      <c r="L849" s="18"/>
      <c r="M849" s="13"/>
      <c r="N849" s="13"/>
      <c r="O849" s="14"/>
      <c r="P849" s="15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4" customHeight="1">
      <c r="A850" s="19"/>
      <c r="B850" s="11"/>
      <c r="C850" s="23"/>
      <c r="D850" s="11"/>
      <c r="E850" s="11"/>
      <c r="F850" s="11"/>
      <c r="G850" s="13"/>
      <c r="H850" s="14"/>
      <c r="I850" s="14"/>
      <c r="J850" s="14"/>
      <c r="K850" s="14"/>
      <c r="L850" s="18"/>
      <c r="M850" s="13"/>
      <c r="N850" s="13"/>
      <c r="O850" s="14"/>
      <c r="P850" s="15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4" customHeight="1">
      <c r="A851" s="19"/>
      <c r="B851" s="11"/>
      <c r="C851" s="23"/>
      <c r="D851" s="11"/>
      <c r="E851" s="11"/>
      <c r="F851" s="11"/>
      <c r="G851" s="13"/>
      <c r="H851" s="14"/>
      <c r="I851" s="14"/>
      <c r="J851" s="14"/>
      <c r="K851" s="14"/>
      <c r="L851" s="18"/>
      <c r="M851" s="13"/>
      <c r="N851" s="13"/>
      <c r="O851" s="14"/>
      <c r="P851" s="15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4" customHeight="1">
      <c r="A852" s="19"/>
      <c r="B852" s="11"/>
      <c r="C852" s="23"/>
      <c r="D852" s="11"/>
      <c r="E852" s="11"/>
      <c r="F852" s="11"/>
      <c r="G852" s="13"/>
      <c r="H852" s="14"/>
      <c r="I852" s="14"/>
      <c r="J852" s="14"/>
      <c r="K852" s="14"/>
      <c r="L852" s="18"/>
      <c r="M852" s="13"/>
      <c r="N852" s="13"/>
      <c r="O852" s="14"/>
      <c r="P852" s="15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4" customHeight="1">
      <c r="A853" s="19"/>
      <c r="B853" s="11"/>
      <c r="C853" s="23"/>
      <c r="D853" s="11"/>
      <c r="E853" s="11"/>
      <c r="F853" s="11"/>
      <c r="G853" s="13"/>
      <c r="H853" s="14"/>
      <c r="I853" s="14"/>
      <c r="J853" s="14"/>
      <c r="K853" s="14"/>
      <c r="L853" s="18"/>
      <c r="M853" s="13"/>
      <c r="N853" s="13"/>
      <c r="O853" s="14"/>
      <c r="P853" s="15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4" customHeight="1">
      <c r="A854" s="19"/>
      <c r="B854" s="11"/>
      <c r="C854" s="23"/>
      <c r="D854" s="11"/>
      <c r="E854" s="11"/>
      <c r="F854" s="11"/>
      <c r="G854" s="13"/>
      <c r="H854" s="14"/>
      <c r="I854" s="14"/>
      <c r="J854" s="14"/>
      <c r="K854" s="14"/>
      <c r="L854" s="18"/>
      <c r="M854" s="13"/>
      <c r="N854" s="13"/>
      <c r="O854" s="14"/>
      <c r="P854" s="15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4" customHeight="1">
      <c r="A855" s="19"/>
      <c r="B855" s="11"/>
      <c r="C855" s="23"/>
      <c r="D855" s="11"/>
      <c r="E855" s="11"/>
      <c r="F855" s="11"/>
      <c r="G855" s="13"/>
      <c r="H855" s="14"/>
      <c r="I855" s="14"/>
      <c r="J855" s="14"/>
      <c r="K855" s="14"/>
      <c r="L855" s="18"/>
      <c r="M855" s="13"/>
      <c r="N855" s="13"/>
      <c r="O855" s="14"/>
      <c r="P855" s="15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4" customHeight="1">
      <c r="A856" s="19"/>
      <c r="B856" s="11"/>
      <c r="C856" s="23"/>
      <c r="D856" s="11"/>
      <c r="E856" s="11"/>
      <c r="F856" s="11"/>
      <c r="G856" s="13"/>
      <c r="H856" s="14"/>
      <c r="I856" s="14"/>
      <c r="J856" s="14"/>
      <c r="K856" s="14"/>
      <c r="L856" s="18"/>
      <c r="M856" s="13"/>
      <c r="N856" s="13"/>
      <c r="O856" s="14"/>
      <c r="P856" s="15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4" customHeight="1">
      <c r="A857" s="19"/>
      <c r="B857" s="11"/>
      <c r="C857" s="23"/>
      <c r="D857" s="11"/>
      <c r="E857" s="11"/>
      <c r="F857" s="11"/>
      <c r="G857" s="13"/>
      <c r="H857" s="14"/>
      <c r="I857" s="14"/>
      <c r="J857" s="14"/>
      <c r="K857" s="14"/>
      <c r="L857" s="18"/>
      <c r="M857" s="13"/>
      <c r="N857" s="13"/>
      <c r="O857" s="14"/>
      <c r="P857" s="15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4" customHeight="1">
      <c r="A858" s="19"/>
      <c r="B858" s="11"/>
      <c r="C858" s="23"/>
      <c r="D858" s="11"/>
      <c r="E858" s="11"/>
      <c r="F858" s="11"/>
      <c r="G858" s="13"/>
      <c r="H858" s="14"/>
      <c r="I858" s="14"/>
      <c r="J858" s="14"/>
      <c r="K858" s="14"/>
      <c r="L858" s="18"/>
      <c r="M858" s="13"/>
      <c r="N858" s="13"/>
      <c r="O858" s="14"/>
      <c r="P858" s="15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4" customHeight="1">
      <c r="A859" s="19"/>
      <c r="B859" s="11"/>
      <c r="C859" s="23"/>
      <c r="D859" s="11"/>
      <c r="E859" s="11"/>
      <c r="F859" s="11"/>
      <c r="G859" s="13"/>
      <c r="H859" s="14"/>
      <c r="I859" s="14"/>
      <c r="J859" s="14"/>
      <c r="K859" s="14"/>
      <c r="L859" s="18"/>
      <c r="M859" s="13"/>
      <c r="N859" s="13"/>
      <c r="O859" s="14"/>
      <c r="P859" s="15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4" customHeight="1">
      <c r="A860" s="19"/>
      <c r="B860" s="11"/>
      <c r="C860" s="23"/>
      <c r="D860" s="11"/>
      <c r="E860" s="11"/>
      <c r="F860" s="11"/>
      <c r="G860" s="13"/>
      <c r="H860" s="14"/>
      <c r="I860" s="14"/>
      <c r="J860" s="14"/>
      <c r="K860" s="14"/>
      <c r="L860" s="18"/>
      <c r="M860" s="13"/>
      <c r="N860" s="13"/>
      <c r="O860" s="14"/>
      <c r="P860" s="15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4" customHeight="1">
      <c r="A861" s="19"/>
      <c r="B861" s="11"/>
      <c r="C861" s="23"/>
      <c r="D861" s="11"/>
      <c r="E861" s="11"/>
      <c r="F861" s="11"/>
      <c r="G861" s="13"/>
      <c r="H861" s="14"/>
      <c r="I861" s="14"/>
      <c r="J861" s="14"/>
      <c r="K861" s="14"/>
      <c r="L861" s="18"/>
      <c r="M861" s="13"/>
      <c r="N861" s="13"/>
      <c r="O861" s="14"/>
      <c r="P861" s="15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4" customHeight="1">
      <c r="A862" s="19"/>
      <c r="B862" s="11"/>
      <c r="C862" s="23"/>
      <c r="D862" s="11"/>
      <c r="E862" s="11"/>
      <c r="F862" s="11"/>
      <c r="G862" s="13"/>
      <c r="H862" s="14"/>
      <c r="I862" s="14"/>
      <c r="J862" s="14"/>
      <c r="K862" s="14"/>
      <c r="L862" s="18"/>
      <c r="M862" s="13"/>
      <c r="N862" s="13"/>
      <c r="O862" s="14"/>
      <c r="P862" s="15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4" customHeight="1">
      <c r="A863" s="19"/>
      <c r="B863" s="11"/>
      <c r="C863" s="23"/>
      <c r="D863" s="11"/>
      <c r="E863" s="11"/>
      <c r="F863" s="11"/>
      <c r="G863" s="13"/>
      <c r="H863" s="14"/>
      <c r="I863" s="14"/>
      <c r="J863" s="14"/>
      <c r="K863" s="14"/>
      <c r="L863" s="18"/>
      <c r="M863" s="13"/>
      <c r="N863" s="13"/>
      <c r="O863" s="14"/>
      <c r="P863" s="15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4" customHeight="1">
      <c r="A864" s="19"/>
      <c r="B864" s="11"/>
      <c r="C864" s="23"/>
      <c r="D864" s="11"/>
      <c r="E864" s="11"/>
      <c r="F864" s="11"/>
      <c r="G864" s="13"/>
      <c r="H864" s="14"/>
      <c r="I864" s="14"/>
      <c r="J864" s="14"/>
      <c r="K864" s="14"/>
      <c r="L864" s="18"/>
      <c r="M864" s="13"/>
      <c r="N864" s="13"/>
      <c r="O864" s="14"/>
      <c r="P864" s="15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4" customHeight="1">
      <c r="A865" s="19"/>
      <c r="B865" s="11"/>
      <c r="C865" s="23"/>
      <c r="D865" s="11"/>
      <c r="E865" s="11"/>
      <c r="F865" s="11"/>
      <c r="G865" s="13"/>
      <c r="H865" s="14"/>
      <c r="I865" s="14"/>
      <c r="J865" s="14"/>
      <c r="K865" s="14"/>
      <c r="L865" s="18"/>
      <c r="M865" s="13"/>
      <c r="N865" s="13"/>
      <c r="O865" s="14"/>
      <c r="P865" s="15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4" customHeight="1">
      <c r="A866" s="19"/>
      <c r="B866" s="11"/>
      <c r="C866" s="23"/>
      <c r="D866" s="11"/>
      <c r="E866" s="11"/>
      <c r="F866" s="11"/>
      <c r="G866" s="13"/>
      <c r="H866" s="14"/>
      <c r="I866" s="14"/>
      <c r="J866" s="14"/>
      <c r="K866" s="14"/>
      <c r="L866" s="18"/>
      <c r="M866" s="13"/>
      <c r="N866" s="13"/>
      <c r="O866" s="14"/>
      <c r="P866" s="15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4" customHeight="1">
      <c r="A867" s="19"/>
      <c r="B867" s="11"/>
      <c r="C867" s="23"/>
      <c r="D867" s="11"/>
      <c r="E867" s="11"/>
      <c r="F867" s="11"/>
      <c r="G867" s="13"/>
      <c r="H867" s="14"/>
      <c r="I867" s="14"/>
      <c r="J867" s="14"/>
      <c r="K867" s="14"/>
      <c r="L867" s="18"/>
      <c r="M867" s="13"/>
      <c r="N867" s="13"/>
      <c r="O867" s="14"/>
      <c r="P867" s="15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4" customHeight="1">
      <c r="A868" s="19"/>
      <c r="B868" s="11"/>
      <c r="C868" s="23"/>
      <c r="D868" s="11"/>
      <c r="E868" s="11"/>
      <c r="F868" s="11"/>
      <c r="G868" s="13"/>
      <c r="H868" s="14"/>
      <c r="I868" s="14"/>
      <c r="J868" s="14"/>
      <c r="K868" s="14"/>
      <c r="L868" s="18"/>
      <c r="M868" s="13"/>
      <c r="N868" s="13"/>
      <c r="O868" s="14"/>
      <c r="P868" s="15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4" customHeight="1">
      <c r="A869" s="19"/>
      <c r="B869" s="11"/>
      <c r="C869" s="23"/>
      <c r="D869" s="11"/>
      <c r="E869" s="11"/>
      <c r="F869" s="11"/>
      <c r="G869" s="13"/>
      <c r="H869" s="14"/>
      <c r="I869" s="14"/>
      <c r="J869" s="14"/>
      <c r="K869" s="14"/>
      <c r="L869" s="18"/>
      <c r="M869" s="13"/>
      <c r="N869" s="13"/>
      <c r="O869" s="14"/>
      <c r="P869" s="15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4" customHeight="1">
      <c r="A870" s="19"/>
      <c r="B870" s="11"/>
      <c r="C870" s="23"/>
      <c r="D870" s="11"/>
      <c r="E870" s="11"/>
      <c r="F870" s="11"/>
      <c r="G870" s="13"/>
      <c r="H870" s="14"/>
      <c r="I870" s="14"/>
      <c r="J870" s="14"/>
      <c r="K870" s="14"/>
      <c r="L870" s="18"/>
      <c r="M870" s="13"/>
      <c r="N870" s="13"/>
      <c r="O870" s="14"/>
      <c r="P870" s="15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4" customHeight="1">
      <c r="A871" s="19"/>
      <c r="B871" s="11"/>
      <c r="C871" s="23"/>
      <c r="D871" s="11"/>
      <c r="E871" s="11"/>
      <c r="F871" s="11"/>
      <c r="G871" s="13"/>
      <c r="H871" s="14"/>
      <c r="I871" s="14"/>
      <c r="J871" s="14"/>
      <c r="K871" s="14"/>
      <c r="L871" s="18"/>
      <c r="M871" s="13"/>
      <c r="N871" s="13"/>
      <c r="O871" s="14"/>
      <c r="P871" s="15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4" customHeight="1">
      <c r="A872" s="19"/>
      <c r="B872" s="11"/>
      <c r="C872" s="23"/>
      <c r="D872" s="11"/>
      <c r="E872" s="11"/>
      <c r="F872" s="11"/>
      <c r="G872" s="13"/>
      <c r="H872" s="14"/>
      <c r="I872" s="14"/>
      <c r="J872" s="14"/>
      <c r="K872" s="14"/>
      <c r="L872" s="18"/>
      <c r="M872" s="13"/>
      <c r="N872" s="13"/>
      <c r="O872" s="14"/>
      <c r="P872" s="15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4" customHeight="1">
      <c r="A873" s="19"/>
      <c r="B873" s="11"/>
      <c r="C873" s="23"/>
      <c r="D873" s="11"/>
      <c r="E873" s="11"/>
      <c r="F873" s="11"/>
      <c r="G873" s="13"/>
      <c r="H873" s="14"/>
      <c r="I873" s="14"/>
      <c r="J873" s="14"/>
      <c r="K873" s="14"/>
      <c r="L873" s="18"/>
      <c r="M873" s="13"/>
      <c r="N873" s="13"/>
      <c r="O873" s="14"/>
      <c r="P873" s="15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4" customHeight="1">
      <c r="A874" s="19"/>
      <c r="B874" s="11"/>
      <c r="C874" s="23"/>
      <c r="D874" s="11"/>
      <c r="E874" s="11"/>
      <c r="F874" s="11"/>
      <c r="G874" s="13"/>
      <c r="H874" s="14"/>
      <c r="I874" s="14"/>
      <c r="J874" s="14"/>
      <c r="K874" s="14"/>
      <c r="L874" s="18"/>
      <c r="M874" s="13"/>
      <c r="N874" s="13"/>
      <c r="O874" s="14"/>
      <c r="P874" s="15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4" customHeight="1">
      <c r="A875" s="19"/>
      <c r="B875" s="11"/>
      <c r="C875" s="23"/>
      <c r="D875" s="11"/>
      <c r="E875" s="11"/>
      <c r="F875" s="11"/>
      <c r="G875" s="13"/>
      <c r="H875" s="14"/>
      <c r="I875" s="14"/>
      <c r="J875" s="14"/>
      <c r="K875" s="14"/>
      <c r="L875" s="18"/>
      <c r="M875" s="13"/>
      <c r="N875" s="13"/>
      <c r="O875" s="14"/>
      <c r="P875" s="15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4" customHeight="1">
      <c r="A876" s="19"/>
      <c r="B876" s="11"/>
      <c r="C876" s="23"/>
      <c r="D876" s="11"/>
      <c r="E876" s="11"/>
      <c r="F876" s="11"/>
      <c r="G876" s="13"/>
      <c r="H876" s="14"/>
      <c r="I876" s="14"/>
      <c r="J876" s="14"/>
      <c r="K876" s="14"/>
      <c r="L876" s="18"/>
      <c r="M876" s="13"/>
      <c r="N876" s="13"/>
      <c r="O876" s="14"/>
      <c r="P876" s="15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4" customHeight="1">
      <c r="A877" s="19"/>
      <c r="B877" s="11"/>
      <c r="C877" s="23"/>
      <c r="D877" s="11"/>
      <c r="E877" s="11"/>
      <c r="F877" s="11"/>
      <c r="G877" s="13"/>
      <c r="H877" s="14"/>
      <c r="I877" s="14"/>
      <c r="J877" s="14"/>
      <c r="K877" s="14"/>
      <c r="L877" s="18"/>
      <c r="M877" s="13"/>
      <c r="N877" s="13"/>
      <c r="O877" s="14"/>
      <c r="P877" s="15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4" customHeight="1">
      <c r="A878" s="19"/>
      <c r="B878" s="11"/>
      <c r="C878" s="23"/>
      <c r="D878" s="11"/>
      <c r="E878" s="11"/>
      <c r="F878" s="11"/>
      <c r="G878" s="13"/>
      <c r="H878" s="14"/>
      <c r="I878" s="14"/>
      <c r="J878" s="14"/>
      <c r="K878" s="14"/>
      <c r="L878" s="18"/>
      <c r="M878" s="13"/>
      <c r="N878" s="13"/>
      <c r="O878" s="14"/>
      <c r="P878" s="15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4" customHeight="1">
      <c r="A879" s="19"/>
      <c r="B879" s="11"/>
      <c r="C879" s="23"/>
      <c r="D879" s="11"/>
      <c r="E879" s="11"/>
      <c r="F879" s="11"/>
      <c r="G879" s="13"/>
      <c r="H879" s="14"/>
      <c r="I879" s="14"/>
      <c r="J879" s="14"/>
      <c r="K879" s="14"/>
      <c r="L879" s="18"/>
      <c r="M879" s="13"/>
      <c r="N879" s="13"/>
      <c r="O879" s="14"/>
      <c r="P879" s="15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4" customHeight="1">
      <c r="A880" s="19"/>
      <c r="B880" s="11"/>
      <c r="C880" s="23"/>
      <c r="D880" s="11"/>
      <c r="E880" s="11"/>
      <c r="F880" s="11"/>
      <c r="G880" s="13"/>
      <c r="H880" s="14"/>
      <c r="I880" s="14"/>
      <c r="J880" s="14"/>
      <c r="K880" s="14"/>
      <c r="L880" s="18"/>
      <c r="M880" s="13"/>
      <c r="N880" s="13"/>
      <c r="O880" s="14"/>
      <c r="P880" s="15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4" customHeight="1">
      <c r="A881" s="19"/>
      <c r="B881" s="11"/>
      <c r="C881" s="23"/>
      <c r="D881" s="11"/>
      <c r="E881" s="11"/>
      <c r="F881" s="11"/>
      <c r="G881" s="13"/>
      <c r="H881" s="14"/>
      <c r="I881" s="14"/>
      <c r="J881" s="14"/>
      <c r="K881" s="14"/>
      <c r="L881" s="18"/>
      <c r="M881" s="13"/>
      <c r="N881" s="13"/>
      <c r="O881" s="14"/>
      <c r="P881" s="15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4" customHeight="1">
      <c r="A882" s="19"/>
      <c r="B882" s="11"/>
      <c r="C882" s="23"/>
      <c r="D882" s="11"/>
      <c r="E882" s="11"/>
      <c r="F882" s="11"/>
      <c r="G882" s="13"/>
      <c r="H882" s="14"/>
      <c r="I882" s="14"/>
      <c r="J882" s="14"/>
      <c r="K882" s="14"/>
      <c r="L882" s="18"/>
      <c r="M882" s="13"/>
      <c r="N882" s="13"/>
      <c r="O882" s="14"/>
      <c r="P882" s="15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4" customHeight="1">
      <c r="A883" s="19"/>
      <c r="B883" s="11"/>
      <c r="C883" s="23"/>
      <c r="D883" s="11"/>
      <c r="E883" s="11"/>
      <c r="F883" s="11"/>
      <c r="G883" s="13"/>
      <c r="H883" s="14"/>
      <c r="I883" s="14"/>
      <c r="J883" s="14"/>
      <c r="K883" s="14"/>
      <c r="L883" s="18"/>
      <c r="M883" s="13"/>
      <c r="N883" s="13"/>
      <c r="O883" s="14"/>
      <c r="P883" s="15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4" customHeight="1">
      <c r="A884" s="19"/>
      <c r="B884" s="11"/>
      <c r="C884" s="23"/>
      <c r="D884" s="11"/>
      <c r="E884" s="11"/>
      <c r="F884" s="11"/>
      <c r="G884" s="13"/>
      <c r="H884" s="14"/>
      <c r="I884" s="14"/>
      <c r="J884" s="14"/>
      <c r="K884" s="14"/>
      <c r="L884" s="18"/>
      <c r="M884" s="13"/>
      <c r="N884" s="13"/>
      <c r="O884" s="14"/>
      <c r="P884" s="15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4" customHeight="1">
      <c r="A885" s="19"/>
      <c r="B885" s="11"/>
      <c r="C885" s="23"/>
      <c r="D885" s="11"/>
      <c r="E885" s="11"/>
      <c r="F885" s="11"/>
      <c r="G885" s="13"/>
      <c r="H885" s="14"/>
      <c r="I885" s="14"/>
      <c r="J885" s="14"/>
      <c r="K885" s="14"/>
      <c r="L885" s="18"/>
      <c r="M885" s="13"/>
      <c r="N885" s="13"/>
      <c r="O885" s="14"/>
      <c r="P885" s="15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4" customHeight="1">
      <c r="A886" s="19"/>
      <c r="B886" s="11"/>
      <c r="C886" s="23"/>
      <c r="D886" s="11"/>
      <c r="E886" s="11"/>
      <c r="F886" s="11"/>
      <c r="G886" s="13"/>
      <c r="H886" s="14"/>
      <c r="I886" s="14"/>
      <c r="J886" s="14"/>
      <c r="K886" s="14"/>
      <c r="L886" s="18"/>
      <c r="M886" s="13"/>
      <c r="N886" s="13"/>
      <c r="O886" s="14"/>
      <c r="P886" s="15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4" customHeight="1">
      <c r="A887" s="19"/>
      <c r="B887" s="11"/>
      <c r="C887" s="23"/>
      <c r="D887" s="11"/>
      <c r="E887" s="11"/>
      <c r="F887" s="11"/>
      <c r="G887" s="13"/>
      <c r="H887" s="14"/>
      <c r="I887" s="14"/>
      <c r="J887" s="14"/>
      <c r="K887" s="14"/>
      <c r="L887" s="18"/>
      <c r="M887" s="13"/>
      <c r="N887" s="13"/>
      <c r="O887" s="14"/>
      <c r="P887" s="15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4" customHeight="1">
      <c r="A888" s="19"/>
      <c r="B888" s="11"/>
      <c r="C888" s="23"/>
      <c r="D888" s="11"/>
      <c r="E888" s="11"/>
      <c r="F888" s="11"/>
      <c r="G888" s="13"/>
      <c r="H888" s="14"/>
      <c r="I888" s="14"/>
      <c r="J888" s="14"/>
      <c r="K888" s="14"/>
      <c r="L888" s="18"/>
      <c r="M888" s="13"/>
      <c r="N888" s="13"/>
      <c r="O888" s="14"/>
      <c r="P888" s="15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4" customHeight="1">
      <c r="A889" s="19"/>
      <c r="B889" s="11"/>
      <c r="C889" s="23"/>
      <c r="D889" s="11"/>
      <c r="E889" s="11"/>
      <c r="F889" s="11"/>
      <c r="G889" s="13"/>
      <c r="H889" s="14"/>
      <c r="I889" s="14"/>
      <c r="J889" s="14"/>
      <c r="K889" s="14"/>
      <c r="L889" s="18"/>
      <c r="M889" s="13"/>
      <c r="N889" s="13"/>
      <c r="O889" s="14"/>
      <c r="P889" s="15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4" customHeight="1">
      <c r="A890" s="19"/>
      <c r="B890" s="11"/>
      <c r="C890" s="23"/>
      <c r="D890" s="11"/>
      <c r="E890" s="11"/>
      <c r="F890" s="11"/>
      <c r="G890" s="13"/>
      <c r="H890" s="14"/>
      <c r="I890" s="14"/>
      <c r="J890" s="14"/>
      <c r="K890" s="14"/>
      <c r="L890" s="18"/>
      <c r="M890" s="13"/>
      <c r="N890" s="13"/>
      <c r="O890" s="14"/>
      <c r="P890" s="15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4" customHeight="1">
      <c r="A891" s="19"/>
      <c r="B891" s="11"/>
      <c r="C891" s="23"/>
      <c r="D891" s="11"/>
      <c r="E891" s="11"/>
      <c r="F891" s="11"/>
      <c r="G891" s="13"/>
      <c r="H891" s="14"/>
      <c r="I891" s="14"/>
      <c r="J891" s="14"/>
      <c r="K891" s="14"/>
      <c r="L891" s="18"/>
      <c r="M891" s="13"/>
      <c r="N891" s="13"/>
      <c r="O891" s="14"/>
      <c r="P891" s="15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4" customHeight="1">
      <c r="A892" s="19"/>
      <c r="B892" s="11"/>
      <c r="C892" s="23"/>
      <c r="D892" s="11"/>
      <c r="E892" s="11"/>
      <c r="F892" s="11"/>
      <c r="G892" s="13"/>
      <c r="H892" s="14"/>
      <c r="I892" s="14"/>
      <c r="J892" s="14"/>
      <c r="K892" s="14"/>
      <c r="L892" s="18"/>
      <c r="M892" s="13"/>
      <c r="N892" s="13"/>
      <c r="O892" s="14"/>
      <c r="P892" s="15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4" customHeight="1">
      <c r="A893" s="19"/>
      <c r="B893" s="11"/>
      <c r="C893" s="23"/>
      <c r="D893" s="11"/>
      <c r="E893" s="11"/>
      <c r="F893" s="11"/>
      <c r="G893" s="13"/>
      <c r="H893" s="14"/>
      <c r="I893" s="14"/>
      <c r="J893" s="14"/>
      <c r="K893" s="14"/>
      <c r="L893" s="18"/>
      <c r="M893" s="13"/>
      <c r="N893" s="13"/>
      <c r="O893" s="14"/>
      <c r="P893" s="15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4" customHeight="1">
      <c r="A894" s="19"/>
      <c r="B894" s="11"/>
      <c r="C894" s="23"/>
      <c r="D894" s="11"/>
      <c r="E894" s="11"/>
      <c r="F894" s="11"/>
      <c r="G894" s="13"/>
      <c r="H894" s="14"/>
      <c r="I894" s="14"/>
      <c r="J894" s="14"/>
      <c r="K894" s="14"/>
      <c r="L894" s="18"/>
      <c r="M894" s="13"/>
      <c r="N894" s="13"/>
      <c r="O894" s="14"/>
      <c r="P894" s="15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4" customHeight="1">
      <c r="A895" s="19"/>
      <c r="B895" s="11"/>
      <c r="C895" s="23"/>
      <c r="D895" s="11"/>
      <c r="E895" s="11"/>
      <c r="F895" s="11"/>
      <c r="G895" s="13"/>
      <c r="H895" s="14"/>
      <c r="I895" s="14"/>
      <c r="J895" s="14"/>
      <c r="K895" s="14"/>
      <c r="L895" s="18"/>
      <c r="M895" s="13"/>
      <c r="N895" s="13"/>
      <c r="O895" s="14"/>
      <c r="P895" s="15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4" customHeight="1">
      <c r="A896" s="19"/>
      <c r="B896" s="11"/>
      <c r="C896" s="23"/>
      <c r="D896" s="11"/>
      <c r="E896" s="11"/>
      <c r="F896" s="11"/>
      <c r="G896" s="13"/>
      <c r="H896" s="14"/>
      <c r="I896" s="14"/>
      <c r="J896" s="14"/>
      <c r="K896" s="14"/>
      <c r="L896" s="18"/>
      <c r="M896" s="13"/>
      <c r="N896" s="13"/>
      <c r="O896" s="14"/>
      <c r="P896" s="15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4" customHeight="1">
      <c r="A897" s="19"/>
      <c r="B897" s="11"/>
      <c r="C897" s="23"/>
      <c r="D897" s="11"/>
      <c r="E897" s="11"/>
      <c r="F897" s="11"/>
      <c r="G897" s="13"/>
      <c r="H897" s="14"/>
      <c r="I897" s="14"/>
      <c r="J897" s="14"/>
      <c r="K897" s="14"/>
      <c r="L897" s="18"/>
      <c r="M897" s="13"/>
      <c r="N897" s="13"/>
      <c r="O897" s="14"/>
      <c r="P897" s="15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4" customHeight="1">
      <c r="A898" s="19"/>
      <c r="B898" s="11"/>
      <c r="C898" s="23"/>
      <c r="D898" s="11"/>
      <c r="E898" s="11"/>
      <c r="F898" s="11"/>
      <c r="G898" s="13"/>
      <c r="H898" s="14"/>
      <c r="I898" s="14"/>
      <c r="J898" s="14"/>
      <c r="K898" s="14"/>
      <c r="L898" s="18"/>
      <c r="M898" s="13"/>
      <c r="N898" s="13"/>
      <c r="O898" s="14"/>
      <c r="P898" s="15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4" customHeight="1">
      <c r="A899" s="19"/>
      <c r="B899" s="11"/>
      <c r="C899" s="23"/>
      <c r="D899" s="11"/>
      <c r="E899" s="11"/>
      <c r="F899" s="11"/>
      <c r="G899" s="13"/>
      <c r="H899" s="14"/>
      <c r="I899" s="14"/>
      <c r="J899" s="14"/>
      <c r="K899" s="14"/>
      <c r="L899" s="18"/>
      <c r="M899" s="13"/>
      <c r="N899" s="13"/>
      <c r="O899" s="14"/>
      <c r="P899" s="15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4" customHeight="1">
      <c r="A900" s="19"/>
      <c r="B900" s="11"/>
      <c r="C900" s="23"/>
      <c r="D900" s="11"/>
      <c r="E900" s="11"/>
      <c r="F900" s="11"/>
      <c r="G900" s="13"/>
      <c r="H900" s="14"/>
      <c r="I900" s="14"/>
      <c r="J900" s="14"/>
      <c r="K900" s="14"/>
      <c r="L900" s="18"/>
      <c r="M900" s="13"/>
      <c r="N900" s="13"/>
      <c r="O900" s="14"/>
      <c r="P900" s="15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4" customHeight="1">
      <c r="A901" s="19"/>
      <c r="B901" s="11"/>
      <c r="C901" s="23"/>
      <c r="D901" s="11"/>
      <c r="E901" s="11"/>
      <c r="F901" s="11"/>
      <c r="G901" s="13"/>
      <c r="H901" s="14"/>
      <c r="I901" s="14"/>
      <c r="J901" s="14"/>
      <c r="K901" s="14"/>
      <c r="L901" s="18"/>
      <c r="M901" s="13"/>
      <c r="N901" s="13"/>
      <c r="O901" s="14"/>
      <c r="P901" s="15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4" customHeight="1">
      <c r="A902" s="19"/>
      <c r="B902" s="11"/>
      <c r="C902" s="23"/>
      <c r="D902" s="11"/>
      <c r="E902" s="11"/>
      <c r="F902" s="11"/>
      <c r="G902" s="13"/>
      <c r="H902" s="14"/>
      <c r="I902" s="14"/>
      <c r="J902" s="14"/>
      <c r="K902" s="14"/>
      <c r="L902" s="18"/>
      <c r="M902" s="13"/>
      <c r="N902" s="13"/>
      <c r="O902" s="14"/>
      <c r="P902" s="15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4" customHeight="1">
      <c r="A903" s="19"/>
      <c r="B903" s="11"/>
      <c r="C903" s="23"/>
      <c r="D903" s="11"/>
      <c r="E903" s="11"/>
      <c r="F903" s="11"/>
      <c r="G903" s="13"/>
      <c r="H903" s="14"/>
      <c r="I903" s="14"/>
      <c r="J903" s="14"/>
      <c r="K903" s="14"/>
      <c r="L903" s="18"/>
      <c r="M903" s="13"/>
      <c r="N903" s="13"/>
      <c r="O903" s="14"/>
      <c r="P903" s="15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4" customHeight="1">
      <c r="A904" s="19"/>
      <c r="B904" s="11"/>
      <c r="C904" s="23"/>
      <c r="D904" s="11"/>
      <c r="E904" s="11"/>
      <c r="F904" s="11"/>
      <c r="G904" s="13"/>
      <c r="H904" s="14"/>
      <c r="I904" s="14"/>
      <c r="J904" s="14"/>
      <c r="K904" s="14"/>
      <c r="L904" s="18"/>
      <c r="M904" s="13"/>
      <c r="N904" s="13"/>
      <c r="O904" s="14"/>
      <c r="P904" s="15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4" customHeight="1">
      <c r="A905" s="19"/>
      <c r="B905" s="11"/>
      <c r="C905" s="23"/>
      <c r="D905" s="11"/>
      <c r="E905" s="11"/>
      <c r="F905" s="11"/>
      <c r="G905" s="13"/>
      <c r="H905" s="14"/>
      <c r="I905" s="14"/>
      <c r="J905" s="14"/>
      <c r="K905" s="14"/>
      <c r="L905" s="18"/>
      <c r="M905" s="13"/>
      <c r="N905" s="13"/>
      <c r="O905" s="14"/>
      <c r="P905" s="15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4" customHeight="1">
      <c r="A906" s="19"/>
      <c r="B906" s="11"/>
      <c r="C906" s="23"/>
      <c r="D906" s="11"/>
      <c r="E906" s="11"/>
      <c r="F906" s="11"/>
      <c r="G906" s="13"/>
      <c r="H906" s="14"/>
      <c r="I906" s="14"/>
      <c r="J906" s="14"/>
      <c r="K906" s="14"/>
      <c r="L906" s="18"/>
      <c r="M906" s="13"/>
      <c r="N906" s="13"/>
      <c r="O906" s="14"/>
      <c r="P906" s="15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4" customHeight="1">
      <c r="A907" s="19"/>
      <c r="B907" s="11"/>
      <c r="C907" s="23"/>
      <c r="D907" s="11"/>
      <c r="E907" s="11"/>
      <c r="F907" s="11"/>
      <c r="G907" s="13"/>
      <c r="H907" s="14"/>
      <c r="I907" s="14"/>
      <c r="J907" s="14"/>
      <c r="K907" s="14"/>
      <c r="L907" s="18"/>
      <c r="M907" s="13"/>
      <c r="N907" s="13"/>
      <c r="O907" s="14"/>
      <c r="P907" s="15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4" customHeight="1">
      <c r="A908" s="19"/>
      <c r="B908" s="11"/>
      <c r="C908" s="23"/>
      <c r="D908" s="11"/>
      <c r="E908" s="11"/>
      <c r="F908" s="11"/>
      <c r="G908" s="13"/>
      <c r="H908" s="14"/>
      <c r="I908" s="14"/>
      <c r="J908" s="14"/>
      <c r="K908" s="14"/>
      <c r="L908" s="18"/>
      <c r="M908" s="13"/>
      <c r="N908" s="13"/>
      <c r="O908" s="14"/>
      <c r="P908" s="15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4" customHeight="1">
      <c r="A909" s="19"/>
      <c r="B909" s="11"/>
      <c r="C909" s="23"/>
      <c r="D909" s="11"/>
      <c r="E909" s="11"/>
      <c r="F909" s="11"/>
      <c r="G909" s="13"/>
      <c r="H909" s="14"/>
      <c r="I909" s="14"/>
      <c r="J909" s="14"/>
      <c r="K909" s="14"/>
      <c r="L909" s="18"/>
      <c r="M909" s="13"/>
      <c r="N909" s="13"/>
      <c r="O909" s="14"/>
      <c r="P909" s="15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4" customHeight="1">
      <c r="A910" s="19"/>
      <c r="B910" s="11"/>
      <c r="C910" s="23"/>
      <c r="D910" s="11"/>
      <c r="E910" s="11"/>
      <c r="F910" s="11"/>
      <c r="G910" s="13"/>
      <c r="H910" s="14"/>
      <c r="I910" s="14"/>
      <c r="J910" s="14"/>
      <c r="K910" s="14"/>
      <c r="L910" s="18"/>
      <c r="M910" s="13"/>
      <c r="N910" s="13"/>
      <c r="O910" s="14"/>
      <c r="P910" s="15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4" customHeight="1">
      <c r="A911" s="19"/>
      <c r="B911" s="11"/>
      <c r="C911" s="23"/>
      <c r="D911" s="11"/>
      <c r="E911" s="11"/>
      <c r="F911" s="11"/>
      <c r="G911" s="13"/>
      <c r="H911" s="14"/>
      <c r="I911" s="14"/>
      <c r="J911" s="14"/>
      <c r="K911" s="14"/>
      <c r="L911" s="18"/>
      <c r="M911" s="13"/>
      <c r="N911" s="13"/>
      <c r="O911" s="14"/>
      <c r="P911" s="15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4" customHeight="1">
      <c r="A912" s="19"/>
      <c r="B912" s="11"/>
      <c r="C912" s="23"/>
      <c r="D912" s="11"/>
      <c r="E912" s="11"/>
      <c r="F912" s="11"/>
      <c r="G912" s="13"/>
      <c r="H912" s="14"/>
      <c r="I912" s="14"/>
      <c r="J912" s="14"/>
      <c r="K912" s="14"/>
      <c r="L912" s="18"/>
      <c r="M912" s="13"/>
      <c r="N912" s="13"/>
      <c r="O912" s="14"/>
      <c r="P912" s="15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4" customHeight="1">
      <c r="A913" s="19"/>
      <c r="B913" s="11"/>
      <c r="C913" s="23"/>
      <c r="D913" s="11"/>
      <c r="E913" s="11"/>
      <c r="F913" s="11"/>
      <c r="G913" s="13"/>
      <c r="H913" s="14"/>
      <c r="I913" s="14"/>
      <c r="J913" s="14"/>
      <c r="K913" s="14"/>
      <c r="L913" s="18"/>
      <c r="M913" s="13"/>
      <c r="N913" s="13"/>
      <c r="O913" s="14"/>
      <c r="P913" s="15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4" customHeight="1">
      <c r="A914" s="19"/>
      <c r="B914" s="11"/>
      <c r="C914" s="23"/>
      <c r="D914" s="11"/>
      <c r="E914" s="11"/>
      <c r="F914" s="11"/>
      <c r="G914" s="13"/>
      <c r="H914" s="14"/>
      <c r="I914" s="14"/>
      <c r="J914" s="14"/>
      <c r="K914" s="14"/>
      <c r="L914" s="18"/>
      <c r="M914" s="13"/>
      <c r="N914" s="13"/>
      <c r="O914" s="14"/>
      <c r="P914" s="15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4" customHeight="1">
      <c r="A915" s="19"/>
      <c r="B915" s="11"/>
      <c r="C915" s="23"/>
      <c r="D915" s="11"/>
      <c r="E915" s="11"/>
      <c r="F915" s="11"/>
      <c r="G915" s="13"/>
      <c r="H915" s="14"/>
      <c r="I915" s="14"/>
      <c r="J915" s="14"/>
      <c r="K915" s="14"/>
      <c r="L915" s="18"/>
      <c r="M915" s="13"/>
      <c r="N915" s="13"/>
      <c r="O915" s="14"/>
      <c r="P915" s="15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4" customHeight="1">
      <c r="A916" s="19"/>
      <c r="B916" s="11"/>
      <c r="C916" s="23"/>
      <c r="D916" s="11"/>
      <c r="E916" s="11"/>
      <c r="F916" s="11"/>
      <c r="G916" s="13"/>
      <c r="H916" s="14"/>
      <c r="I916" s="14"/>
      <c r="J916" s="14"/>
      <c r="K916" s="14"/>
      <c r="L916" s="18"/>
      <c r="M916" s="13"/>
      <c r="N916" s="13"/>
      <c r="O916" s="14"/>
      <c r="P916" s="15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4" customHeight="1">
      <c r="A917" s="19"/>
      <c r="B917" s="11"/>
      <c r="C917" s="23"/>
      <c r="D917" s="11"/>
      <c r="E917" s="11"/>
      <c r="F917" s="11"/>
      <c r="G917" s="13"/>
      <c r="H917" s="14"/>
      <c r="I917" s="14"/>
      <c r="J917" s="14"/>
      <c r="K917" s="14"/>
      <c r="L917" s="18"/>
      <c r="M917" s="13"/>
      <c r="N917" s="13"/>
      <c r="O917" s="14"/>
      <c r="P917" s="15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4" customHeight="1">
      <c r="A918" s="19"/>
      <c r="B918" s="11"/>
      <c r="C918" s="23"/>
      <c r="D918" s="11"/>
      <c r="E918" s="11"/>
      <c r="F918" s="11"/>
      <c r="G918" s="13"/>
      <c r="H918" s="14"/>
      <c r="I918" s="14"/>
      <c r="J918" s="14"/>
      <c r="K918" s="14"/>
      <c r="L918" s="18"/>
      <c r="M918" s="13"/>
      <c r="N918" s="13"/>
      <c r="O918" s="14"/>
      <c r="P918" s="15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4" customHeight="1">
      <c r="A919" s="19"/>
      <c r="B919" s="11"/>
      <c r="C919" s="23"/>
      <c r="D919" s="11"/>
      <c r="E919" s="11"/>
      <c r="F919" s="11"/>
      <c r="G919" s="13"/>
      <c r="H919" s="14"/>
      <c r="I919" s="14"/>
      <c r="J919" s="14"/>
      <c r="K919" s="14"/>
      <c r="L919" s="18"/>
      <c r="M919" s="13"/>
      <c r="N919" s="13"/>
      <c r="O919" s="14"/>
      <c r="P919" s="15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4" customHeight="1">
      <c r="A920" s="19"/>
      <c r="B920" s="11"/>
      <c r="C920" s="23"/>
      <c r="D920" s="11"/>
      <c r="E920" s="11"/>
      <c r="F920" s="11"/>
      <c r="G920" s="13"/>
      <c r="H920" s="14"/>
      <c r="I920" s="14"/>
      <c r="J920" s="14"/>
      <c r="K920" s="14"/>
      <c r="L920" s="18"/>
      <c r="M920" s="13"/>
      <c r="N920" s="13"/>
      <c r="O920" s="14"/>
      <c r="P920" s="15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4" customHeight="1">
      <c r="A921" s="19"/>
      <c r="B921" s="11"/>
      <c r="C921" s="23"/>
      <c r="D921" s="11"/>
      <c r="E921" s="11"/>
      <c r="F921" s="11"/>
      <c r="G921" s="13"/>
      <c r="H921" s="14"/>
      <c r="I921" s="14"/>
      <c r="J921" s="14"/>
      <c r="K921" s="14"/>
      <c r="L921" s="18"/>
      <c r="M921" s="13"/>
      <c r="N921" s="13"/>
      <c r="O921" s="14"/>
      <c r="P921" s="15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4" customHeight="1">
      <c r="A922" s="19"/>
      <c r="B922" s="11"/>
      <c r="C922" s="23"/>
      <c r="D922" s="11"/>
      <c r="E922" s="11"/>
      <c r="F922" s="11"/>
      <c r="G922" s="13"/>
      <c r="H922" s="14"/>
      <c r="I922" s="14"/>
      <c r="J922" s="14"/>
      <c r="K922" s="14"/>
      <c r="L922" s="18"/>
      <c r="M922" s="13"/>
      <c r="N922" s="13"/>
      <c r="O922" s="14"/>
      <c r="P922" s="15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4" customHeight="1">
      <c r="A923" s="19"/>
      <c r="B923" s="11"/>
      <c r="C923" s="23"/>
      <c r="D923" s="11"/>
      <c r="E923" s="11"/>
      <c r="F923" s="11"/>
      <c r="G923" s="13"/>
      <c r="H923" s="14"/>
      <c r="I923" s="14"/>
      <c r="J923" s="14"/>
      <c r="K923" s="14"/>
      <c r="L923" s="18"/>
      <c r="M923" s="13"/>
      <c r="N923" s="13"/>
      <c r="O923" s="14"/>
      <c r="P923" s="15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4" customHeight="1">
      <c r="A924" s="19"/>
      <c r="B924" s="11"/>
      <c r="C924" s="23"/>
      <c r="D924" s="11"/>
      <c r="E924" s="11"/>
      <c r="F924" s="11"/>
      <c r="G924" s="13"/>
      <c r="H924" s="14"/>
      <c r="I924" s="14"/>
      <c r="J924" s="14"/>
      <c r="K924" s="14"/>
      <c r="L924" s="18"/>
      <c r="M924" s="13"/>
      <c r="N924" s="13"/>
      <c r="O924" s="14"/>
      <c r="P924" s="15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4" customHeight="1">
      <c r="A925" s="19"/>
      <c r="B925" s="11"/>
      <c r="C925" s="23"/>
      <c r="D925" s="11"/>
      <c r="E925" s="11"/>
      <c r="F925" s="11"/>
      <c r="G925" s="13"/>
      <c r="H925" s="14"/>
      <c r="I925" s="14"/>
      <c r="J925" s="14"/>
      <c r="K925" s="14"/>
      <c r="L925" s="18"/>
      <c r="M925" s="13"/>
      <c r="N925" s="13"/>
      <c r="O925" s="14"/>
      <c r="P925" s="15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4" customHeight="1">
      <c r="A926" s="19"/>
      <c r="B926" s="11"/>
      <c r="C926" s="23"/>
      <c r="D926" s="11"/>
      <c r="E926" s="11"/>
      <c r="F926" s="11"/>
      <c r="G926" s="13"/>
      <c r="H926" s="14"/>
      <c r="I926" s="14"/>
      <c r="J926" s="14"/>
      <c r="K926" s="14"/>
      <c r="L926" s="18"/>
      <c r="M926" s="13"/>
      <c r="N926" s="13"/>
      <c r="O926" s="14"/>
      <c r="P926" s="15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4" customHeight="1">
      <c r="A927" s="19"/>
      <c r="B927" s="11"/>
      <c r="C927" s="23"/>
      <c r="D927" s="11"/>
      <c r="E927" s="11"/>
      <c r="F927" s="11"/>
      <c r="G927" s="13"/>
      <c r="H927" s="14"/>
      <c r="I927" s="14"/>
      <c r="J927" s="14"/>
      <c r="K927" s="14"/>
      <c r="L927" s="18"/>
      <c r="M927" s="13"/>
      <c r="N927" s="13"/>
      <c r="O927" s="14"/>
      <c r="P927" s="15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4" customHeight="1">
      <c r="A928" s="19"/>
      <c r="B928" s="11"/>
      <c r="C928" s="23"/>
      <c r="D928" s="11"/>
      <c r="E928" s="11"/>
      <c r="F928" s="11"/>
      <c r="G928" s="13"/>
      <c r="H928" s="14"/>
      <c r="I928" s="14"/>
      <c r="J928" s="14"/>
      <c r="K928" s="14"/>
      <c r="L928" s="18"/>
      <c r="M928" s="13"/>
      <c r="N928" s="13"/>
      <c r="O928" s="14"/>
      <c r="P928" s="15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4" customHeight="1">
      <c r="A929" s="19"/>
      <c r="B929" s="11"/>
      <c r="C929" s="23"/>
      <c r="D929" s="11"/>
      <c r="E929" s="11"/>
      <c r="F929" s="11"/>
      <c r="G929" s="13"/>
      <c r="H929" s="14"/>
      <c r="I929" s="14"/>
      <c r="J929" s="14"/>
      <c r="K929" s="14"/>
      <c r="L929" s="18"/>
      <c r="M929" s="13"/>
      <c r="N929" s="13"/>
      <c r="O929" s="14"/>
      <c r="P929" s="15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4" customHeight="1">
      <c r="A930" s="19"/>
      <c r="B930" s="11"/>
      <c r="C930" s="23"/>
      <c r="D930" s="11"/>
      <c r="E930" s="11"/>
      <c r="F930" s="11"/>
      <c r="G930" s="13"/>
      <c r="H930" s="14"/>
      <c r="I930" s="14"/>
      <c r="J930" s="14"/>
      <c r="K930" s="14"/>
      <c r="L930" s="18"/>
      <c r="M930" s="13"/>
      <c r="N930" s="13"/>
      <c r="O930" s="14"/>
      <c r="P930" s="15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4" customHeight="1">
      <c r="A931" s="19"/>
      <c r="B931" s="11"/>
      <c r="C931" s="23"/>
      <c r="D931" s="11"/>
      <c r="E931" s="11"/>
      <c r="F931" s="11"/>
      <c r="G931" s="13"/>
      <c r="H931" s="14"/>
      <c r="I931" s="14"/>
      <c r="J931" s="14"/>
      <c r="K931" s="14"/>
      <c r="L931" s="18"/>
      <c r="M931" s="13"/>
      <c r="N931" s="13"/>
      <c r="O931" s="14"/>
      <c r="P931" s="15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4" customHeight="1">
      <c r="A932" s="19"/>
      <c r="B932" s="11"/>
      <c r="C932" s="23"/>
      <c r="D932" s="11"/>
      <c r="E932" s="11"/>
      <c r="F932" s="11"/>
      <c r="G932" s="13"/>
      <c r="H932" s="14"/>
      <c r="I932" s="14"/>
      <c r="J932" s="14"/>
      <c r="K932" s="14"/>
      <c r="L932" s="18"/>
      <c r="M932" s="13"/>
      <c r="N932" s="13"/>
      <c r="O932" s="14"/>
      <c r="P932" s="15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4" customHeight="1">
      <c r="A933" s="19"/>
      <c r="B933" s="11"/>
      <c r="C933" s="23"/>
      <c r="D933" s="11"/>
      <c r="E933" s="11"/>
      <c r="F933" s="11"/>
      <c r="G933" s="13"/>
      <c r="H933" s="14"/>
      <c r="I933" s="14"/>
      <c r="J933" s="14"/>
      <c r="K933" s="14"/>
      <c r="L933" s="18"/>
      <c r="M933" s="13"/>
      <c r="N933" s="13"/>
      <c r="O933" s="14"/>
      <c r="P933" s="15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4" customHeight="1">
      <c r="A934" s="19"/>
      <c r="B934" s="11"/>
      <c r="C934" s="23"/>
      <c r="D934" s="11"/>
      <c r="E934" s="11"/>
      <c r="F934" s="11"/>
      <c r="G934" s="13"/>
      <c r="H934" s="14"/>
      <c r="I934" s="14"/>
      <c r="J934" s="14"/>
      <c r="K934" s="14"/>
      <c r="L934" s="18"/>
      <c r="M934" s="13"/>
      <c r="N934" s="13"/>
      <c r="O934" s="14"/>
      <c r="P934" s="15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4" customHeight="1">
      <c r="A935" s="19"/>
      <c r="B935" s="11"/>
      <c r="C935" s="23"/>
      <c r="D935" s="11"/>
      <c r="E935" s="11"/>
      <c r="F935" s="11"/>
      <c r="G935" s="13"/>
      <c r="H935" s="14"/>
      <c r="I935" s="14"/>
      <c r="J935" s="14"/>
      <c r="K935" s="14"/>
      <c r="L935" s="18"/>
      <c r="M935" s="13"/>
      <c r="N935" s="13"/>
      <c r="O935" s="14"/>
      <c r="P935" s="15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4" customHeight="1">
      <c r="A936" s="19"/>
      <c r="B936" s="11"/>
      <c r="C936" s="23"/>
      <c r="D936" s="11"/>
      <c r="E936" s="11"/>
      <c r="F936" s="11"/>
      <c r="G936" s="13"/>
      <c r="H936" s="14"/>
      <c r="I936" s="14"/>
      <c r="J936" s="14"/>
      <c r="K936" s="14"/>
      <c r="L936" s="18"/>
      <c r="M936" s="13"/>
      <c r="N936" s="13"/>
      <c r="O936" s="14"/>
      <c r="P936" s="15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4" customHeight="1">
      <c r="A937" s="19"/>
      <c r="B937" s="11"/>
      <c r="C937" s="23"/>
      <c r="D937" s="11"/>
      <c r="E937" s="11"/>
      <c r="F937" s="11"/>
      <c r="G937" s="13"/>
      <c r="H937" s="14"/>
      <c r="I937" s="14"/>
      <c r="J937" s="14"/>
      <c r="K937" s="14"/>
      <c r="L937" s="18"/>
      <c r="M937" s="13"/>
      <c r="N937" s="13"/>
      <c r="O937" s="14"/>
      <c r="P937" s="15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4" customHeight="1">
      <c r="A938" s="19"/>
      <c r="B938" s="11"/>
      <c r="C938" s="23"/>
      <c r="D938" s="11"/>
      <c r="E938" s="11"/>
      <c r="F938" s="11"/>
      <c r="G938" s="13"/>
      <c r="H938" s="14"/>
      <c r="I938" s="14"/>
      <c r="J938" s="14"/>
      <c r="K938" s="14"/>
      <c r="L938" s="18"/>
      <c r="M938" s="13"/>
      <c r="N938" s="13"/>
      <c r="O938" s="14"/>
      <c r="P938" s="15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4" customHeight="1">
      <c r="A939" s="19"/>
      <c r="B939" s="11"/>
      <c r="C939" s="23"/>
      <c r="D939" s="11"/>
      <c r="E939" s="11"/>
      <c r="F939" s="11"/>
      <c r="G939" s="13"/>
      <c r="H939" s="14"/>
      <c r="I939" s="14"/>
      <c r="J939" s="14"/>
      <c r="K939" s="14"/>
      <c r="L939" s="18"/>
      <c r="M939" s="13"/>
      <c r="N939" s="13"/>
      <c r="O939" s="14"/>
      <c r="P939" s="15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4" customHeight="1">
      <c r="A940" s="19"/>
      <c r="B940" s="11"/>
      <c r="C940" s="23"/>
      <c r="D940" s="11"/>
      <c r="E940" s="11"/>
      <c r="F940" s="11"/>
      <c r="G940" s="13"/>
      <c r="H940" s="14"/>
      <c r="I940" s="14"/>
      <c r="J940" s="14"/>
      <c r="K940" s="14"/>
      <c r="L940" s="18"/>
      <c r="M940" s="13"/>
      <c r="N940" s="13"/>
      <c r="O940" s="14"/>
      <c r="P940" s="15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4" customHeight="1">
      <c r="A941" s="19"/>
      <c r="B941" s="11"/>
      <c r="C941" s="23"/>
      <c r="D941" s="11"/>
      <c r="E941" s="11"/>
      <c r="F941" s="11"/>
      <c r="G941" s="13"/>
      <c r="H941" s="14"/>
      <c r="I941" s="14"/>
      <c r="J941" s="14"/>
      <c r="K941" s="14"/>
      <c r="L941" s="18"/>
      <c r="M941" s="13"/>
      <c r="N941" s="13"/>
      <c r="O941" s="14"/>
      <c r="P941" s="15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4" customHeight="1">
      <c r="A942" s="19"/>
      <c r="B942" s="11"/>
      <c r="C942" s="23"/>
      <c r="D942" s="11"/>
      <c r="E942" s="11"/>
      <c r="F942" s="11"/>
      <c r="G942" s="13"/>
      <c r="H942" s="14"/>
      <c r="I942" s="14"/>
      <c r="J942" s="14"/>
      <c r="K942" s="14"/>
      <c r="L942" s="18"/>
      <c r="M942" s="13"/>
      <c r="N942" s="13"/>
      <c r="O942" s="14"/>
      <c r="P942" s="15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4" customHeight="1">
      <c r="A943" s="19"/>
      <c r="B943" s="11"/>
      <c r="C943" s="23"/>
      <c r="D943" s="11"/>
      <c r="E943" s="11"/>
      <c r="F943" s="11"/>
      <c r="G943" s="13"/>
      <c r="H943" s="14"/>
      <c r="I943" s="14"/>
      <c r="J943" s="14"/>
      <c r="K943" s="14"/>
      <c r="L943" s="18"/>
      <c r="M943" s="13"/>
      <c r="N943" s="13"/>
      <c r="O943" s="14"/>
      <c r="P943" s="15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4" customHeight="1">
      <c r="A944" s="19"/>
      <c r="B944" s="11"/>
      <c r="C944" s="23"/>
      <c r="D944" s="11"/>
      <c r="E944" s="11"/>
      <c r="F944" s="11"/>
      <c r="G944" s="13"/>
      <c r="H944" s="14"/>
      <c r="I944" s="14"/>
      <c r="J944" s="14"/>
      <c r="K944" s="14"/>
      <c r="L944" s="18"/>
      <c r="M944" s="13"/>
      <c r="N944" s="13"/>
      <c r="O944" s="14"/>
      <c r="P944" s="15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4" customHeight="1">
      <c r="A945" s="19"/>
      <c r="B945" s="11"/>
      <c r="C945" s="23"/>
      <c r="D945" s="11"/>
      <c r="E945" s="11"/>
      <c r="F945" s="11"/>
      <c r="G945" s="13"/>
      <c r="H945" s="14"/>
      <c r="I945" s="14"/>
      <c r="J945" s="14"/>
      <c r="K945" s="14"/>
      <c r="L945" s="18"/>
      <c r="M945" s="13"/>
      <c r="N945" s="13"/>
      <c r="O945" s="14"/>
      <c r="P945" s="15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4" customHeight="1">
      <c r="A946" s="19"/>
      <c r="B946" s="11"/>
      <c r="C946" s="23"/>
      <c r="D946" s="11"/>
      <c r="E946" s="11"/>
      <c r="F946" s="11"/>
      <c r="G946" s="13"/>
      <c r="H946" s="14"/>
      <c r="I946" s="14"/>
      <c r="J946" s="14"/>
      <c r="K946" s="14"/>
      <c r="L946" s="18"/>
      <c r="M946" s="13"/>
      <c r="N946" s="13"/>
      <c r="O946" s="14"/>
      <c r="P946" s="15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4" customHeight="1">
      <c r="A947" s="19"/>
      <c r="B947" s="11"/>
      <c r="C947" s="23"/>
      <c r="D947" s="11"/>
      <c r="E947" s="11"/>
      <c r="F947" s="11"/>
      <c r="G947" s="13"/>
      <c r="H947" s="14"/>
      <c r="I947" s="14"/>
      <c r="J947" s="14"/>
      <c r="K947" s="14"/>
      <c r="L947" s="18"/>
      <c r="M947" s="13"/>
      <c r="N947" s="13"/>
      <c r="O947" s="14"/>
      <c r="P947" s="15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4" customHeight="1">
      <c r="A948" s="19"/>
      <c r="B948" s="11"/>
      <c r="C948" s="23"/>
      <c r="D948" s="11"/>
      <c r="E948" s="11"/>
      <c r="F948" s="11"/>
      <c r="G948" s="13"/>
      <c r="H948" s="14"/>
      <c r="I948" s="14"/>
      <c r="J948" s="14"/>
      <c r="K948" s="14"/>
      <c r="L948" s="18"/>
      <c r="M948" s="13"/>
      <c r="N948" s="13"/>
      <c r="O948" s="14"/>
      <c r="P948" s="15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4" customHeight="1">
      <c r="A949" s="19"/>
      <c r="B949" s="11"/>
      <c r="C949" s="23"/>
      <c r="D949" s="11"/>
      <c r="E949" s="11"/>
      <c r="F949" s="11"/>
      <c r="G949" s="13"/>
      <c r="H949" s="14"/>
      <c r="I949" s="14"/>
      <c r="J949" s="14"/>
      <c r="K949" s="14"/>
      <c r="L949" s="18"/>
      <c r="M949" s="13"/>
      <c r="N949" s="13"/>
      <c r="O949" s="14"/>
      <c r="P949" s="15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4" customHeight="1">
      <c r="A950" s="19"/>
      <c r="B950" s="11"/>
      <c r="C950" s="23"/>
      <c r="D950" s="11"/>
      <c r="E950" s="11"/>
      <c r="F950" s="11"/>
      <c r="G950" s="13"/>
      <c r="H950" s="14"/>
      <c r="I950" s="14"/>
      <c r="J950" s="14"/>
      <c r="K950" s="14"/>
      <c r="L950" s="18"/>
      <c r="M950" s="13"/>
      <c r="N950" s="13"/>
      <c r="O950" s="14"/>
      <c r="P950" s="15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4" customHeight="1">
      <c r="A951" s="19"/>
      <c r="B951" s="11"/>
      <c r="C951" s="23"/>
      <c r="D951" s="11"/>
      <c r="E951" s="11"/>
      <c r="F951" s="11"/>
      <c r="G951" s="13"/>
      <c r="H951" s="14"/>
      <c r="I951" s="14"/>
      <c r="J951" s="14"/>
      <c r="K951" s="14"/>
      <c r="L951" s="18"/>
      <c r="M951" s="13"/>
      <c r="N951" s="13"/>
      <c r="O951" s="14"/>
      <c r="P951" s="15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4" customHeight="1">
      <c r="A952" s="19"/>
      <c r="B952" s="11"/>
      <c r="C952" s="23"/>
      <c r="D952" s="11"/>
      <c r="E952" s="11"/>
      <c r="F952" s="11"/>
      <c r="G952" s="13"/>
      <c r="H952" s="14"/>
      <c r="I952" s="14"/>
      <c r="J952" s="14"/>
      <c r="K952" s="14"/>
      <c r="L952" s="18"/>
      <c r="M952" s="13"/>
      <c r="N952" s="13"/>
      <c r="O952" s="14"/>
      <c r="P952" s="15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4" customHeight="1">
      <c r="A953" s="19"/>
      <c r="B953" s="11"/>
      <c r="C953" s="23"/>
      <c r="D953" s="11"/>
      <c r="E953" s="11"/>
      <c r="F953" s="11"/>
      <c r="G953" s="13"/>
      <c r="H953" s="14"/>
      <c r="I953" s="14"/>
      <c r="J953" s="14"/>
      <c r="K953" s="14"/>
      <c r="L953" s="18"/>
      <c r="M953" s="13"/>
      <c r="N953" s="13"/>
      <c r="O953" s="14"/>
      <c r="P953" s="15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4" customHeight="1">
      <c r="A954" s="19"/>
      <c r="B954" s="11"/>
      <c r="C954" s="23"/>
      <c r="D954" s="11"/>
      <c r="E954" s="11"/>
      <c r="F954" s="11"/>
      <c r="G954" s="13"/>
      <c r="H954" s="14"/>
      <c r="I954" s="14"/>
      <c r="J954" s="14"/>
      <c r="K954" s="14"/>
      <c r="L954" s="18"/>
      <c r="M954" s="13"/>
      <c r="N954" s="13"/>
      <c r="O954" s="14"/>
      <c r="P954" s="15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4" customHeight="1">
      <c r="A955" s="19"/>
      <c r="B955" s="11"/>
      <c r="C955" s="23"/>
      <c r="D955" s="11"/>
      <c r="E955" s="11"/>
      <c r="F955" s="11"/>
      <c r="G955" s="13"/>
      <c r="H955" s="14"/>
      <c r="I955" s="14"/>
      <c r="J955" s="14"/>
      <c r="K955" s="14"/>
      <c r="L955" s="18"/>
      <c r="M955" s="13"/>
      <c r="N955" s="13"/>
      <c r="O955" s="14"/>
      <c r="P955" s="15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4" customHeight="1">
      <c r="A956" s="19"/>
      <c r="B956" s="11"/>
      <c r="C956" s="23"/>
      <c r="D956" s="11"/>
      <c r="E956" s="11"/>
      <c r="F956" s="11"/>
      <c r="G956" s="13"/>
      <c r="H956" s="14"/>
      <c r="I956" s="14"/>
      <c r="J956" s="14"/>
      <c r="K956" s="14"/>
      <c r="L956" s="18"/>
      <c r="M956" s="13"/>
      <c r="N956" s="13"/>
      <c r="O956" s="14"/>
      <c r="P956" s="15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4" customHeight="1">
      <c r="A957" s="19"/>
      <c r="B957" s="11"/>
      <c r="C957" s="23"/>
      <c r="D957" s="11"/>
      <c r="E957" s="11"/>
      <c r="F957" s="11"/>
      <c r="G957" s="13"/>
      <c r="H957" s="14"/>
      <c r="I957" s="14"/>
      <c r="J957" s="14"/>
      <c r="K957" s="14"/>
      <c r="L957" s="18"/>
      <c r="M957" s="13"/>
      <c r="N957" s="13"/>
      <c r="O957" s="14"/>
      <c r="P957" s="15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4" customHeight="1">
      <c r="A958" s="19"/>
      <c r="B958" s="11"/>
      <c r="C958" s="23"/>
      <c r="D958" s="11"/>
      <c r="E958" s="11"/>
      <c r="F958" s="11"/>
      <c r="G958" s="13"/>
      <c r="H958" s="14"/>
      <c r="I958" s="14"/>
      <c r="J958" s="14"/>
      <c r="K958" s="14"/>
      <c r="L958" s="18"/>
      <c r="M958" s="13"/>
      <c r="N958" s="13"/>
      <c r="O958" s="14"/>
      <c r="P958" s="15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4" customHeight="1">
      <c r="A959" s="19"/>
      <c r="B959" s="11"/>
      <c r="C959" s="23"/>
      <c r="D959" s="11"/>
      <c r="E959" s="11"/>
      <c r="F959" s="11"/>
      <c r="G959" s="13"/>
      <c r="H959" s="14"/>
      <c r="I959" s="14"/>
      <c r="J959" s="14"/>
      <c r="K959" s="14"/>
      <c r="L959" s="18"/>
      <c r="M959" s="13"/>
      <c r="N959" s="13"/>
      <c r="O959" s="14"/>
      <c r="P959" s="15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4" customHeight="1">
      <c r="A960" s="19"/>
      <c r="B960" s="11"/>
      <c r="C960" s="23"/>
      <c r="D960" s="11"/>
      <c r="E960" s="11"/>
      <c r="F960" s="11"/>
      <c r="G960" s="13"/>
      <c r="H960" s="14"/>
      <c r="I960" s="14"/>
      <c r="J960" s="14"/>
      <c r="K960" s="14"/>
      <c r="L960" s="18"/>
      <c r="M960" s="13"/>
      <c r="N960" s="13"/>
      <c r="O960" s="14"/>
      <c r="P960" s="15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4" customHeight="1">
      <c r="A961" s="19"/>
      <c r="B961" s="11"/>
      <c r="C961" s="23"/>
      <c r="D961" s="11"/>
      <c r="E961" s="11"/>
      <c r="F961" s="11"/>
      <c r="G961" s="13"/>
      <c r="H961" s="14"/>
      <c r="I961" s="14"/>
      <c r="J961" s="14"/>
      <c r="K961" s="14"/>
      <c r="L961" s="18"/>
      <c r="M961" s="13"/>
      <c r="N961" s="13"/>
      <c r="O961" s="14"/>
      <c r="P961" s="15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4" customHeight="1">
      <c r="A962" s="19"/>
      <c r="B962" s="11"/>
      <c r="C962" s="23"/>
      <c r="D962" s="11"/>
      <c r="E962" s="11"/>
      <c r="F962" s="11"/>
      <c r="G962" s="13"/>
      <c r="H962" s="14"/>
      <c r="I962" s="14"/>
      <c r="J962" s="14"/>
      <c r="K962" s="14"/>
      <c r="L962" s="18"/>
      <c r="M962" s="13"/>
      <c r="N962" s="13"/>
      <c r="O962" s="14"/>
      <c r="P962" s="15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4" customHeight="1">
      <c r="A963" s="19"/>
      <c r="B963" s="11"/>
      <c r="C963" s="23"/>
      <c r="D963" s="11"/>
      <c r="E963" s="11"/>
      <c r="F963" s="11"/>
      <c r="G963" s="13"/>
      <c r="H963" s="14"/>
      <c r="I963" s="14"/>
      <c r="J963" s="14"/>
      <c r="K963" s="14"/>
      <c r="L963" s="18"/>
      <c r="M963" s="13"/>
      <c r="N963" s="13"/>
      <c r="O963" s="14"/>
      <c r="P963" s="15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4" customHeight="1">
      <c r="A964" s="19"/>
      <c r="B964" s="11"/>
      <c r="C964" s="23"/>
      <c r="D964" s="11"/>
      <c r="E964" s="11"/>
      <c r="F964" s="11"/>
      <c r="G964" s="13"/>
      <c r="H964" s="14"/>
      <c r="I964" s="14"/>
      <c r="J964" s="14"/>
      <c r="K964" s="14"/>
      <c r="L964" s="18"/>
      <c r="M964" s="13"/>
      <c r="N964" s="13"/>
      <c r="O964" s="14"/>
      <c r="P964" s="15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4" customHeight="1">
      <c r="A965" s="19"/>
      <c r="B965" s="11"/>
      <c r="C965" s="23"/>
      <c r="D965" s="11"/>
      <c r="E965" s="11"/>
      <c r="F965" s="11"/>
      <c r="G965" s="13"/>
      <c r="H965" s="14"/>
      <c r="I965" s="14"/>
      <c r="J965" s="14"/>
      <c r="K965" s="14"/>
      <c r="L965" s="18"/>
      <c r="M965" s="13"/>
      <c r="N965" s="13"/>
      <c r="O965" s="14"/>
      <c r="P965" s="15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4" customHeight="1">
      <c r="A966" s="19"/>
      <c r="B966" s="11"/>
      <c r="C966" s="23"/>
      <c r="D966" s="11"/>
      <c r="E966" s="11"/>
      <c r="F966" s="11"/>
      <c r="G966" s="13"/>
      <c r="H966" s="14"/>
      <c r="I966" s="14"/>
      <c r="J966" s="14"/>
      <c r="K966" s="14"/>
      <c r="L966" s="18"/>
      <c r="M966" s="13"/>
      <c r="N966" s="13"/>
      <c r="O966" s="14"/>
      <c r="P966" s="15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4" customHeight="1">
      <c r="A967" s="19"/>
      <c r="B967" s="11"/>
      <c r="C967" s="23"/>
      <c r="D967" s="11"/>
      <c r="E967" s="11"/>
      <c r="F967" s="11"/>
      <c r="G967" s="13"/>
      <c r="H967" s="14"/>
      <c r="I967" s="14"/>
      <c r="J967" s="14"/>
      <c r="K967" s="14"/>
      <c r="L967" s="18"/>
      <c r="M967" s="13"/>
      <c r="N967" s="13"/>
      <c r="O967" s="14"/>
      <c r="P967" s="15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4" customHeight="1">
      <c r="A968" s="19"/>
      <c r="B968" s="11"/>
      <c r="C968" s="23"/>
      <c r="D968" s="11"/>
      <c r="E968" s="11"/>
      <c r="F968" s="11"/>
      <c r="G968" s="13"/>
      <c r="H968" s="14"/>
      <c r="I968" s="14"/>
      <c r="J968" s="14"/>
      <c r="K968" s="14"/>
      <c r="L968" s="18"/>
      <c r="M968" s="13"/>
      <c r="N968" s="13"/>
      <c r="O968" s="14"/>
      <c r="P968" s="15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4" customHeight="1">
      <c r="A969" s="19"/>
      <c r="B969" s="11"/>
      <c r="C969" s="23"/>
      <c r="D969" s="11"/>
      <c r="E969" s="11"/>
      <c r="F969" s="11"/>
      <c r="G969" s="13"/>
      <c r="H969" s="14"/>
      <c r="I969" s="14"/>
      <c r="J969" s="14"/>
      <c r="K969" s="14"/>
      <c r="L969" s="18"/>
      <c r="M969" s="13"/>
      <c r="N969" s="13"/>
      <c r="O969" s="14"/>
      <c r="P969" s="15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4" customHeight="1">
      <c r="A970" s="19"/>
      <c r="B970" s="11"/>
      <c r="C970" s="23"/>
      <c r="D970" s="11"/>
      <c r="E970" s="11"/>
      <c r="F970" s="11"/>
      <c r="G970" s="13"/>
      <c r="H970" s="14"/>
      <c r="I970" s="14"/>
      <c r="J970" s="14"/>
      <c r="K970" s="14"/>
      <c r="L970" s="18"/>
      <c r="M970" s="13"/>
      <c r="N970" s="13"/>
      <c r="O970" s="14"/>
      <c r="P970" s="15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4" customHeight="1">
      <c r="A971" s="19"/>
      <c r="B971" s="11"/>
      <c r="C971" s="23"/>
      <c r="D971" s="11"/>
      <c r="E971" s="11"/>
      <c r="F971" s="11"/>
      <c r="G971" s="13"/>
      <c r="H971" s="14"/>
      <c r="I971" s="14"/>
      <c r="J971" s="14"/>
      <c r="K971" s="14"/>
      <c r="L971" s="18"/>
      <c r="M971" s="13"/>
      <c r="N971" s="13"/>
      <c r="O971" s="14"/>
      <c r="P971" s="15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4" customHeight="1">
      <c r="A972" s="19"/>
      <c r="B972" s="11"/>
      <c r="C972" s="23"/>
      <c r="D972" s="11"/>
      <c r="E972" s="11"/>
      <c r="F972" s="11"/>
      <c r="G972" s="13"/>
      <c r="H972" s="14"/>
      <c r="I972" s="14"/>
      <c r="J972" s="14"/>
      <c r="K972" s="14"/>
      <c r="L972" s="18"/>
      <c r="M972" s="13"/>
      <c r="N972" s="13"/>
      <c r="O972" s="14"/>
      <c r="P972" s="15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4" customHeight="1">
      <c r="A973" s="19"/>
      <c r="B973" s="11"/>
      <c r="C973" s="23"/>
      <c r="D973" s="11"/>
      <c r="E973" s="11"/>
      <c r="F973" s="11"/>
      <c r="G973" s="13"/>
      <c r="H973" s="14"/>
      <c r="I973" s="14"/>
      <c r="J973" s="14"/>
      <c r="K973" s="14"/>
      <c r="L973" s="18"/>
      <c r="M973" s="13"/>
      <c r="N973" s="13"/>
      <c r="O973" s="14"/>
      <c r="P973" s="15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4" customHeight="1">
      <c r="A974" s="19"/>
      <c r="B974" s="11"/>
      <c r="C974" s="23"/>
      <c r="D974" s="11"/>
      <c r="E974" s="11"/>
      <c r="F974" s="11"/>
      <c r="G974" s="13"/>
      <c r="H974" s="14"/>
      <c r="I974" s="14"/>
      <c r="J974" s="14"/>
      <c r="K974" s="14"/>
      <c r="L974" s="18"/>
      <c r="M974" s="13"/>
      <c r="N974" s="13"/>
      <c r="O974" s="14"/>
      <c r="P974" s="15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4" customHeight="1">
      <c r="A975" s="19"/>
      <c r="B975" s="11"/>
      <c r="C975" s="23"/>
      <c r="D975" s="11"/>
      <c r="E975" s="11"/>
      <c r="F975" s="11"/>
      <c r="G975" s="13"/>
      <c r="H975" s="14"/>
      <c r="I975" s="14"/>
      <c r="J975" s="14"/>
      <c r="K975" s="14"/>
      <c r="L975" s="18"/>
      <c r="M975" s="13"/>
      <c r="N975" s="13"/>
      <c r="O975" s="14"/>
      <c r="P975" s="15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4" customHeight="1">
      <c r="A976" s="19"/>
      <c r="B976" s="11"/>
      <c r="C976" s="23"/>
      <c r="D976" s="11"/>
      <c r="E976" s="11"/>
      <c r="F976" s="11"/>
      <c r="G976" s="13"/>
      <c r="H976" s="14"/>
      <c r="I976" s="14"/>
      <c r="J976" s="14"/>
      <c r="K976" s="14"/>
      <c r="L976" s="18"/>
      <c r="M976" s="13"/>
      <c r="N976" s="13"/>
      <c r="O976" s="14"/>
      <c r="P976" s="15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4" customHeight="1">
      <c r="A977" s="19"/>
      <c r="B977" s="11"/>
      <c r="C977" s="23"/>
      <c r="D977" s="11"/>
      <c r="E977" s="11"/>
      <c r="F977" s="11"/>
      <c r="G977" s="13"/>
      <c r="H977" s="14"/>
      <c r="I977" s="14"/>
      <c r="J977" s="14"/>
      <c r="K977" s="14"/>
      <c r="L977" s="18"/>
      <c r="M977" s="13"/>
      <c r="N977" s="13"/>
      <c r="O977" s="14"/>
      <c r="P977" s="15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4" customHeight="1">
      <c r="A978" s="19"/>
      <c r="B978" s="11"/>
      <c r="C978" s="23"/>
      <c r="D978" s="11"/>
      <c r="E978" s="11"/>
      <c r="F978" s="11"/>
      <c r="G978" s="13"/>
      <c r="H978" s="14"/>
      <c r="I978" s="14"/>
      <c r="J978" s="14"/>
      <c r="K978" s="14"/>
      <c r="L978" s="18"/>
      <c r="M978" s="13"/>
      <c r="N978" s="13"/>
      <c r="O978" s="14"/>
      <c r="P978" s="15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4" customHeight="1">
      <c r="A979" s="19"/>
      <c r="B979" s="11"/>
      <c r="C979" s="23"/>
      <c r="D979" s="11"/>
      <c r="E979" s="11"/>
      <c r="F979" s="11"/>
      <c r="G979" s="13"/>
      <c r="H979" s="14"/>
      <c r="I979" s="14"/>
      <c r="J979" s="14"/>
      <c r="K979" s="14"/>
      <c r="L979" s="18"/>
      <c r="M979" s="13"/>
      <c r="N979" s="13"/>
      <c r="O979" s="14"/>
      <c r="P979" s="15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4" customHeight="1">
      <c r="A980" s="19"/>
      <c r="B980" s="11"/>
      <c r="C980" s="23"/>
      <c r="D980" s="11"/>
      <c r="E980" s="11"/>
      <c r="F980" s="11"/>
      <c r="G980" s="13"/>
      <c r="H980" s="14"/>
      <c r="I980" s="14"/>
      <c r="J980" s="14"/>
      <c r="K980" s="14"/>
      <c r="L980" s="18"/>
      <c r="M980" s="13"/>
      <c r="N980" s="13"/>
      <c r="O980" s="14"/>
      <c r="P980" s="15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4" customHeight="1">
      <c r="A981" s="19"/>
      <c r="B981" s="11"/>
      <c r="C981" s="23"/>
      <c r="D981" s="11"/>
      <c r="E981" s="11"/>
      <c r="F981" s="11"/>
      <c r="G981" s="13"/>
      <c r="H981" s="14"/>
      <c r="I981" s="14"/>
      <c r="J981" s="14"/>
      <c r="K981" s="14"/>
      <c r="L981" s="18"/>
      <c r="M981" s="13"/>
      <c r="N981" s="13"/>
      <c r="O981" s="14"/>
      <c r="P981" s="15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4" customHeight="1">
      <c r="A982" s="19"/>
      <c r="B982" s="11"/>
      <c r="C982" s="23"/>
      <c r="D982" s="11"/>
      <c r="E982" s="11"/>
      <c r="F982" s="11"/>
      <c r="G982" s="13"/>
      <c r="H982" s="14"/>
      <c r="I982" s="14"/>
      <c r="J982" s="14"/>
      <c r="K982" s="14"/>
      <c r="L982" s="18"/>
      <c r="M982" s="13"/>
      <c r="N982" s="13"/>
      <c r="O982" s="14"/>
      <c r="P982" s="15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4" customHeight="1">
      <c r="A983" s="19"/>
      <c r="B983" s="11"/>
      <c r="C983" s="23"/>
      <c r="D983" s="11"/>
      <c r="E983" s="11"/>
      <c r="F983" s="11"/>
      <c r="G983" s="13"/>
      <c r="H983" s="14"/>
      <c r="I983" s="14"/>
      <c r="J983" s="14"/>
      <c r="K983" s="14"/>
      <c r="L983" s="18"/>
      <c r="M983" s="13"/>
      <c r="N983" s="13"/>
      <c r="O983" s="14"/>
      <c r="P983" s="15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4" customHeight="1">
      <c r="A984" s="19"/>
      <c r="B984" s="11"/>
      <c r="C984" s="23"/>
      <c r="D984" s="11"/>
      <c r="E984" s="11"/>
      <c r="F984" s="11"/>
      <c r="G984" s="13"/>
      <c r="H984" s="14"/>
      <c r="I984" s="14"/>
      <c r="J984" s="14"/>
      <c r="K984" s="14"/>
      <c r="L984" s="18"/>
      <c r="M984" s="13"/>
      <c r="N984" s="13"/>
      <c r="O984" s="14"/>
      <c r="P984" s="15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4" customHeight="1">
      <c r="A985" s="19"/>
      <c r="B985" s="11"/>
      <c r="C985" s="23"/>
      <c r="D985" s="11"/>
      <c r="E985" s="11"/>
      <c r="F985" s="11"/>
      <c r="G985" s="13"/>
      <c r="H985" s="14"/>
      <c r="I985" s="14"/>
      <c r="J985" s="14"/>
      <c r="K985" s="14"/>
      <c r="L985" s="18"/>
      <c r="M985" s="13"/>
      <c r="N985" s="13"/>
      <c r="O985" s="14"/>
      <c r="P985" s="15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4" customHeight="1">
      <c r="A986" s="19"/>
      <c r="B986" s="11"/>
      <c r="C986" s="23"/>
      <c r="D986" s="11"/>
      <c r="E986" s="11"/>
      <c r="F986" s="11"/>
      <c r="G986" s="13"/>
      <c r="H986" s="14"/>
      <c r="I986" s="14"/>
      <c r="J986" s="14"/>
      <c r="K986" s="14"/>
      <c r="L986" s="18"/>
      <c r="M986" s="13"/>
      <c r="N986" s="13"/>
      <c r="O986" s="14"/>
      <c r="P986" s="15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4" customHeight="1">
      <c r="A987" s="19"/>
      <c r="B987" s="11"/>
      <c r="C987" s="23"/>
      <c r="D987" s="11"/>
      <c r="E987" s="11"/>
      <c r="F987" s="11"/>
      <c r="G987" s="13"/>
      <c r="H987" s="14"/>
      <c r="I987" s="14"/>
      <c r="J987" s="14"/>
      <c r="K987" s="14"/>
      <c r="L987" s="18"/>
      <c r="M987" s="13"/>
      <c r="N987" s="13"/>
      <c r="O987" s="14"/>
      <c r="P987" s="15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4" customHeight="1">
      <c r="A988" s="19"/>
      <c r="B988" s="11"/>
      <c r="C988" s="23"/>
      <c r="D988" s="11"/>
      <c r="E988" s="11"/>
      <c r="F988" s="11"/>
      <c r="G988" s="13"/>
      <c r="H988" s="14"/>
      <c r="I988" s="14"/>
      <c r="J988" s="14"/>
      <c r="K988" s="14"/>
      <c r="L988" s="18"/>
      <c r="M988" s="13"/>
      <c r="N988" s="13"/>
      <c r="O988" s="14"/>
      <c r="P988" s="15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4" customHeight="1">
      <c r="A989" s="19"/>
      <c r="B989" s="11"/>
      <c r="C989" s="23"/>
      <c r="D989" s="11"/>
      <c r="E989" s="11"/>
      <c r="F989" s="11"/>
      <c r="G989" s="13"/>
      <c r="H989" s="14"/>
      <c r="I989" s="14"/>
      <c r="J989" s="14"/>
      <c r="K989" s="14"/>
      <c r="L989" s="18"/>
      <c r="M989" s="13"/>
      <c r="N989" s="13"/>
      <c r="O989" s="14"/>
      <c r="P989" s="15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4" customHeight="1">
      <c r="A990" s="19"/>
      <c r="B990" s="11"/>
      <c r="C990" s="23"/>
      <c r="D990" s="11"/>
      <c r="E990" s="11"/>
      <c r="F990" s="11"/>
      <c r="G990" s="13"/>
      <c r="H990" s="14"/>
      <c r="I990" s="14"/>
      <c r="J990" s="14"/>
      <c r="K990" s="14"/>
      <c r="L990" s="18"/>
      <c r="M990" s="13"/>
      <c r="N990" s="13"/>
      <c r="O990" s="14"/>
      <c r="P990" s="15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4" customHeight="1">
      <c r="A991" s="19"/>
      <c r="B991" s="11"/>
      <c r="C991" s="23"/>
      <c r="D991" s="11"/>
      <c r="E991" s="11"/>
      <c r="F991" s="11"/>
      <c r="G991" s="13"/>
      <c r="H991" s="14"/>
      <c r="I991" s="14"/>
      <c r="J991" s="14"/>
      <c r="K991" s="14"/>
      <c r="L991" s="18"/>
      <c r="M991" s="13"/>
      <c r="N991" s="13"/>
      <c r="O991" s="14"/>
      <c r="P991" s="15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4" customHeight="1">
      <c r="A992" s="19"/>
      <c r="B992" s="11"/>
      <c r="C992" s="23"/>
      <c r="D992" s="11"/>
      <c r="E992" s="11"/>
      <c r="F992" s="11"/>
      <c r="G992" s="13"/>
      <c r="H992" s="14"/>
      <c r="I992" s="14"/>
      <c r="J992" s="14"/>
      <c r="K992" s="14"/>
      <c r="L992" s="18"/>
      <c r="M992" s="13"/>
      <c r="N992" s="13"/>
      <c r="O992" s="14"/>
      <c r="P992" s="15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4" customHeight="1">
      <c r="A993" s="19"/>
      <c r="B993" s="11"/>
      <c r="C993" s="23"/>
      <c r="D993" s="11"/>
      <c r="E993" s="11"/>
      <c r="F993" s="11"/>
      <c r="G993" s="13"/>
      <c r="H993" s="14"/>
      <c r="I993" s="14"/>
      <c r="J993" s="14"/>
      <c r="K993" s="14"/>
      <c r="L993" s="18"/>
      <c r="M993" s="13"/>
      <c r="N993" s="13"/>
      <c r="O993" s="14"/>
      <c r="P993" s="15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4" customHeight="1">
      <c r="A994" s="19"/>
      <c r="B994" s="11"/>
      <c r="C994" s="23"/>
      <c r="D994" s="11"/>
      <c r="E994" s="11"/>
      <c r="F994" s="11"/>
      <c r="G994" s="13"/>
      <c r="H994" s="14"/>
      <c r="I994" s="14"/>
      <c r="J994" s="14"/>
      <c r="K994" s="14"/>
      <c r="L994" s="18"/>
      <c r="M994" s="13"/>
      <c r="N994" s="13"/>
      <c r="O994" s="14"/>
      <c r="P994" s="15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4" customHeight="1">
      <c r="A995" s="19"/>
      <c r="B995" s="11"/>
      <c r="C995" s="23"/>
      <c r="D995" s="11"/>
      <c r="E995" s="11"/>
      <c r="F995" s="11"/>
      <c r="G995" s="13"/>
      <c r="H995" s="14"/>
      <c r="I995" s="14"/>
      <c r="J995" s="14"/>
      <c r="K995" s="14"/>
      <c r="L995" s="18"/>
      <c r="M995" s="13"/>
      <c r="N995" s="13"/>
      <c r="O995" s="14"/>
      <c r="P995" s="15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4" customHeight="1">
      <c r="A996" s="19"/>
      <c r="B996" s="11"/>
      <c r="C996" s="23"/>
      <c r="D996" s="11"/>
      <c r="E996" s="11"/>
      <c r="F996" s="11"/>
      <c r="G996" s="13"/>
      <c r="H996" s="14"/>
      <c r="I996" s="14"/>
      <c r="J996" s="14"/>
      <c r="K996" s="14"/>
      <c r="L996" s="18"/>
      <c r="M996" s="13"/>
      <c r="N996" s="13"/>
      <c r="O996" s="14"/>
      <c r="P996" s="15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4" customHeight="1">
      <c r="A997" s="19"/>
      <c r="B997" s="11"/>
      <c r="C997" s="23"/>
      <c r="D997" s="11"/>
      <c r="E997" s="11"/>
      <c r="F997" s="11"/>
      <c r="G997" s="13"/>
      <c r="H997" s="14"/>
      <c r="I997" s="14"/>
      <c r="J997" s="14"/>
      <c r="K997" s="14"/>
      <c r="L997" s="18"/>
      <c r="M997" s="13"/>
      <c r="N997" s="13"/>
      <c r="O997" s="14"/>
      <c r="P997" s="15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4" customHeight="1">
      <c r="A998" s="19"/>
      <c r="B998" s="11"/>
      <c r="C998" s="23"/>
      <c r="D998" s="11"/>
      <c r="E998" s="11"/>
      <c r="F998" s="11"/>
      <c r="G998" s="13"/>
      <c r="H998" s="14"/>
      <c r="I998" s="14"/>
      <c r="J998" s="14"/>
      <c r="K998" s="14"/>
      <c r="L998" s="18"/>
      <c r="M998" s="13"/>
      <c r="N998" s="13"/>
      <c r="O998" s="14"/>
      <c r="P998" s="15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4" customHeight="1">
      <c r="A999" s="19"/>
      <c r="B999" s="11"/>
      <c r="C999" s="23"/>
      <c r="D999" s="11"/>
      <c r="E999" s="11"/>
      <c r="F999" s="11"/>
      <c r="G999" s="13"/>
      <c r="H999" s="14"/>
      <c r="I999" s="14"/>
      <c r="J999" s="14"/>
      <c r="K999" s="14"/>
      <c r="L999" s="18"/>
      <c r="M999" s="13"/>
      <c r="N999" s="13"/>
      <c r="O999" s="14"/>
      <c r="P999" s="15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4" customHeight="1">
      <c r="A1000" s="19"/>
      <c r="B1000" s="11"/>
      <c r="C1000" s="23"/>
      <c r="D1000" s="11"/>
      <c r="E1000" s="11"/>
      <c r="F1000" s="11"/>
      <c r="G1000" s="13"/>
      <c r="H1000" s="14"/>
      <c r="I1000" s="14"/>
      <c r="J1000" s="14"/>
      <c r="K1000" s="14"/>
      <c r="L1000" s="18"/>
      <c r="M1000" s="13"/>
      <c r="N1000" s="13"/>
      <c r="O1000" s="14"/>
      <c r="P1000" s="15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24" customHeight="1">
      <c r="A1001" s="19"/>
      <c r="B1001" s="11"/>
      <c r="C1001" s="23"/>
      <c r="D1001" s="11"/>
      <c r="E1001" s="11"/>
      <c r="F1001" s="11"/>
      <c r="G1001" s="13"/>
      <c r="H1001" s="14"/>
      <c r="I1001" s="14"/>
      <c r="J1001" s="14"/>
      <c r="K1001" s="14"/>
      <c r="L1001" s="18"/>
      <c r="M1001" s="13"/>
      <c r="N1001" s="13"/>
      <c r="O1001" s="14"/>
      <c r="P1001" s="15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spans="1:26" ht="24" customHeight="1">
      <c r="A1002" s="19"/>
      <c r="B1002" s="11"/>
      <c r="C1002" s="23"/>
      <c r="D1002" s="11"/>
      <c r="E1002" s="11"/>
      <c r="F1002" s="11"/>
      <c r="G1002" s="13"/>
      <c r="H1002" s="14"/>
      <c r="I1002" s="14"/>
      <c r="J1002" s="14"/>
      <c r="K1002" s="14"/>
      <c r="L1002" s="18"/>
      <c r="M1002" s="13"/>
      <c r="N1002" s="13"/>
      <c r="O1002" s="14"/>
      <c r="P1002" s="15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spans="1:26" ht="24" customHeight="1">
      <c r="A1003" s="19"/>
      <c r="B1003" s="11"/>
      <c r="C1003" s="23"/>
      <c r="D1003" s="11"/>
      <c r="E1003" s="11"/>
      <c r="F1003" s="11"/>
      <c r="G1003" s="13"/>
      <c r="H1003" s="14"/>
      <c r="I1003" s="14"/>
      <c r="J1003" s="14"/>
      <c r="K1003" s="14"/>
      <c r="L1003" s="18"/>
      <c r="M1003" s="13"/>
      <c r="N1003" s="13"/>
      <c r="O1003" s="14"/>
      <c r="P1003" s="15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 spans="1:26" ht="24" customHeight="1">
      <c r="A1004" s="19"/>
      <c r="B1004" s="11"/>
      <c r="C1004" s="23"/>
      <c r="D1004" s="11"/>
      <c r="E1004" s="11"/>
      <c r="F1004" s="11"/>
      <c r="G1004" s="13"/>
      <c r="H1004" s="14"/>
      <c r="I1004" s="14"/>
      <c r="J1004" s="14"/>
      <c r="K1004" s="14"/>
      <c r="L1004" s="18"/>
      <c r="M1004" s="13"/>
      <c r="N1004" s="13"/>
      <c r="O1004" s="14"/>
      <c r="P1004" s="15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 spans="1:26" ht="24" customHeight="1">
      <c r="A1005" s="19"/>
      <c r="B1005" s="11"/>
      <c r="C1005" s="23"/>
      <c r="D1005" s="11"/>
      <c r="E1005" s="11"/>
      <c r="F1005" s="11"/>
      <c r="G1005" s="13"/>
      <c r="H1005" s="14"/>
      <c r="I1005" s="14"/>
      <c r="J1005" s="14"/>
      <c r="K1005" s="14"/>
      <c r="L1005" s="18"/>
      <c r="M1005" s="13"/>
      <c r="N1005" s="13"/>
      <c r="O1005" s="14"/>
      <c r="P1005" s="15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</sheetData>
  <autoFilter ref="A2:Z343" xr:uid="{00000000-0009-0000-0000-000000000000}">
    <sortState xmlns:xlrd2="http://schemas.microsoft.com/office/spreadsheetml/2017/richdata2" ref="A2:Z343">
      <sortCondition ref="A2:A343"/>
    </sortState>
  </autoFilter>
  <mergeCells count="1">
    <mergeCell ref="A1:P1"/>
  </mergeCells>
  <conditionalFormatting sqref="O2:O1005">
    <cfRule type="cellIs" dxfId="2" priority="1" operator="equal">
      <formula>"COMPRAR"</formula>
    </cfRule>
  </conditionalFormatting>
  <pageMargins left="0.511811024" right="0.511811024" top="0.78740157499999996" bottom="0.78740157499999996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11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23.28515625" customWidth="1"/>
    <col min="2" max="2" width="22.7109375" customWidth="1"/>
    <col min="3" max="3" width="35.5703125" customWidth="1"/>
    <col min="4" max="4" width="22.28515625" customWidth="1"/>
    <col min="5" max="5" width="25.28515625" customWidth="1"/>
    <col min="6" max="6" width="22.7109375" customWidth="1"/>
    <col min="7" max="26" width="9.140625" customWidth="1"/>
  </cols>
  <sheetData>
    <row r="1" spans="1:26" ht="42" customHeight="1">
      <c r="A1" s="109" t="s">
        <v>553</v>
      </c>
      <c r="B1" s="107"/>
      <c r="C1" s="107"/>
      <c r="D1" s="107"/>
      <c r="E1" s="107"/>
      <c r="F1" s="108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27" customHeight="1">
      <c r="A2" s="25" t="s">
        <v>554</v>
      </c>
      <c r="B2" s="26" t="s">
        <v>555</v>
      </c>
      <c r="C2" s="27" t="s">
        <v>3</v>
      </c>
      <c r="D2" s="27" t="s">
        <v>4</v>
      </c>
      <c r="E2" s="27" t="s">
        <v>5</v>
      </c>
      <c r="F2" s="25" t="s">
        <v>556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3.25" customHeight="1">
      <c r="A3" s="29">
        <v>46076</v>
      </c>
      <c r="B3" s="30">
        <v>237</v>
      </c>
      <c r="C3" s="31" t="str">
        <f>IFERROR(VLOOKUP(B:B,'SALDO ATUAL'!$A$3:$E$505,3,0),"")</f>
        <v>EXO OX HAIR SKYMEDIC</v>
      </c>
      <c r="D3" s="32" t="str">
        <f>IFERROR(VLOOKUP(B:B,'SALDO ATUAL'!$A$3:$E$505,4,0),"")</f>
        <v>ATIVOS</v>
      </c>
      <c r="E3" s="33"/>
      <c r="F3" s="33">
        <v>1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23.25" customHeight="1">
      <c r="A4" s="29">
        <v>46076</v>
      </c>
      <c r="B4" s="30">
        <v>123</v>
      </c>
      <c r="C4" s="31" t="str">
        <f>IFERROR(VLOOKUP(B:B,'SALDO ATUAL'!$A$3:$E$505,3,0),"")</f>
        <v>EXO OX REGENERATIVE/POWER SKYMEDIC</v>
      </c>
      <c r="D4" s="32" t="str">
        <f>IFERROR(VLOOKUP(B:B,'SALDO ATUAL'!$A$3:$E$505,4,0),"")</f>
        <v>ATIVOS</v>
      </c>
      <c r="E4" s="33"/>
      <c r="F4" s="33">
        <v>1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23.25" customHeight="1">
      <c r="A5" s="29">
        <v>46076</v>
      </c>
      <c r="B5" s="30">
        <v>236</v>
      </c>
      <c r="C5" s="31" t="str">
        <f>IFERROR(VLOOKUP(B:B,'SALDO ATUAL'!$A$3:$E$505,3,0),"")</f>
        <v>MESO OX ENZYMES COLAGENASE SKYMEDIC</v>
      </c>
      <c r="D5" s="32" t="str">
        <f>IFERROR(VLOOKUP(B:B,'SALDO ATUAL'!$A$3:$E$505,4,0),"")</f>
        <v>ATIVOS</v>
      </c>
      <c r="E5" s="33"/>
      <c r="F5" s="33">
        <v>1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23.25" customHeight="1">
      <c r="A6" s="29">
        <v>46076</v>
      </c>
      <c r="B6" s="30">
        <v>238</v>
      </c>
      <c r="C6" s="31" t="str">
        <f>IFERROR(VLOOKUP(B:B,'SALDO ATUAL'!$A$3:$E$505,3,0),"")</f>
        <v>MESO OX HYBRID SKYMEDIC</v>
      </c>
      <c r="D6" s="32" t="str">
        <f>IFERROR(VLOOKUP(B:B,'SALDO ATUAL'!$A$3:$E$505,4,0),"")</f>
        <v>ATIVOS</v>
      </c>
      <c r="E6" s="33"/>
      <c r="F6" s="33">
        <v>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23.25" customHeight="1">
      <c r="A7" s="29">
        <v>46076</v>
      </c>
      <c r="B7" s="30">
        <v>241</v>
      </c>
      <c r="C7" s="31" t="str">
        <f>IFERROR(VLOOKUP(B:B,'SALDO ATUAL'!$A$3:$E$505,3,0),"")</f>
        <v>MESO OX PPC SKYMEDIC</v>
      </c>
      <c r="D7" s="32" t="str">
        <f>IFERROR(VLOOKUP(B:B,'SALDO ATUAL'!$A$3:$E$505,4,0),"")</f>
        <v>ATIVOS</v>
      </c>
      <c r="E7" s="33"/>
      <c r="F7" s="33">
        <v>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3.25" customHeight="1">
      <c r="A8" s="29">
        <v>46083</v>
      </c>
      <c r="B8" s="30">
        <v>359</v>
      </c>
      <c r="C8" s="31" t="str">
        <f>IFERROR(VLOOKUP(B:B,'SALDO ATUAL'!$A$3:$E$505,3,0),"")</f>
        <v>NADH (PÓ LIOFILIZADO) OPTIMUS</v>
      </c>
      <c r="D8" s="32" t="str">
        <f>IFERROR(VLOOKUP(B:B,'SALDO ATUAL'!$A$3:$E$505,4,0),"")</f>
        <v>ATIVOS</v>
      </c>
      <c r="E8" s="33" t="str">
        <f>IFERROR(VLOOKUP(B:B,'SALDO ATUAL'!$A$3:$E$505,5,0),"")</f>
        <v>001- Ampola</v>
      </c>
      <c r="F8" s="35">
        <v>3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23.25" customHeight="1">
      <c r="A9" s="29">
        <v>46083</v>
      </c>
      <c r="B9" s="36">
        <v>379</v>
      </c>
      <c r="C9" s="31" t="str">
        <f>IFERROR(VLOOKUP(B:B,'SALDO ATUAL'!$A$3:$E$505,3,0),"")</f>
        <v xml:space="preserve">COENZIMA Q10  OPTIMUS </v>
      </c>
      <c r="D9" s="32" t="str">
        <f>IFERROR(VLOOKUP(B:B,'SALDO ATUAL'!$A$3:$E$505,4,0),"")</f>
        <v>MANIPULADOS</v>
      </c>
      <c r="E9" s="33" t="str">
        <f>IFERROR(VLOOKUP(B:B,'SALDO ATUAL'!$A$3:$E$505,5,0),"")</f>
        <v>036- Unidade</v>
      </c>
      <c r="F9" s="35">
        <v>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23.25" customHeight="1">
      <c r="A10" s="29">
        <v>46083</v>
      </c>
      <c r="B10" s="36">
        <v>80</v>
      </c>
      <c r="C10" s="31" t="str">
        <f>IFERROR(VLOOKUP(B:B,'SALDO ATUAL'!$A$3:$E$505,3,0),"")</f>
        <v>CLORETO DE MAGNESIO OPTMUS</v>
      </c>
      <c r="D10" s="32" t="str">
        <f>IFERROR(VLOOKUP(B:B,'SALDO ATUAL'!$A$3:$E$505,4,0),"")</f>
        <v>ATIVOS</v>
      </c>
      <c r="E10" s="33" t="str">
        <f>IFERROR(VLOOKUP(B:B,'SALDO ATUAL'!$A$3:$E$505,5,0),"")</f>
        <v>001- Ampola</v>
      </c>
      <c r="F10" s="35">
        <v>6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23.25" customHeight="1">
      <c r="A11" s="29">
        <v>46083</v>
      </c>
      <c r="B11" s="30">
        <v>1</v>
      </c>
      <c r="C11" s="31" t="str">
        <f>IFERROR(VLOOKUP(B:B,'SALDO ATUAL'!$A$3:$E$505,3,0),"")</f>
        <v>AC. ALFA LIPOICO OPTMUS</v>
      </c>
      <c r="D11" s="32" t="str">
        <f>IFERROR(VLOOKUP(B:B,'SALDO ATUAL'!$A$3:$E$505,4,0),"")</f>
        <v>ATIVOS</v>
      </c>
      <c r="E11" s="33" t="str">
        <f>IFERROR(VLOOKUP(B:B,'SALDO ATUAL'!$A$3:$E$505,5,0),"")</f>
        <v>001 - Ampola</v>
      </c>
      <c r="F11" s="35">
        <v>6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23.25" customHeight="1">
      <c r="A12" s="29">
        <v>46083</v>
      </c>
      <c r="B12" s="30">
        <v>336</v>
      </c>
      <c r="C12" s="31" t="str">
        <f>IFERROR(VLOOKUP(B:B,'SALDO ATUAL'!$A$3:$E$505,3,0),"")</f>
        <v>VITAMINA C OPTIMUS</v>
      </c>
      <c r="D12" s="32" t="str">
        <f>IFERROR(VLOOKUP(B:B,'SALDO ATUAL'!$A$3:$E$505,4,0),"")</f>
        <v>ATIVOS</v>
      </c>
      <c r="E12" s="33" t="str">
        <f>IFERROR(VLOOKUP(B:B,'SALDO ATUAL'!$A$3:$E$505,5,0),"")</f>
        <v xml:space="preserve">001- Ampola </v>
      </c>
      <c r="F12" s="35">
        <v>6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23.25" customHeight="1">
      <c r="A13" s="29">
        <v>46083</v>
      </c>
      <c r="B13" s="30">
        <v>284</v>
      </c>
      <c r="C13" s="31" t="str">
        <f>IFERROR(VLOOKUP(B:B,'SALDO ATUAL'!$A$3:$E$505,3,0),"")</f>
        <v>RESVERASROL OPTIMUS</v>
      </c>
      <c r="D13" s="32" t="str">
        <f>IFERROR(VLOOKUP(B:B,'SALDO ATUAL'!$A$3:$E$505,4,0),"")</f>
        <v>ATIVOS</v>
      </c>
      <c r="E13" s="33" t="str">
        <f>IFERROR(VLOOKUP(B:B,'SALDO ATUAL'!$A$3:$E$505,5,0),"")</f>
        <v>001- Ampola</v>
      </c>
      <c r="F13" s="35">
        <v>6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23.25" customHeight="1">
      <c r="A14" s="29">
        <v>46083</v>
      </c>
      <c r="B14" s="30">
        <v>203</v>
      </c>
      <c r="C14" s="31" t="str">
        <f>IFERROR(VLOOKUP(B:B,'SALDO ATUAL'!$A$3:$E$505,3,0),"")</f>
        <v>L GLUTATIONA OPTMUS</v>
      </c>
      <c r="D14" s="32" t="str">
        <f>IFERROR(VLOOKUP(B:B,'SALDO ATUAL'!$A$3:$E$505,4,0),"")</f>
        <v>ATIVOS</v>
      </c>
      <c r="E14" s="33" t="str">
        <f>IFERROR(VLOOKUP(B:B,'SALDO ATUAL'!$A$3:$E$505,5,0),"")</f>
        <v>001- Ampola</v>
      </c>
      <c r="F14" s="35">
        <v>6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23.25" customHeight="1">
      <c r="A15" s="29">
        <v>46091</v>
      </c>
      <c r="B15" s="30">
        <v>285</v>
      </c>
      <c r="C15" s="31" t="str">
        <f>IFERROR(VLOOKUP(B:B,'SALDO ATUAL'!$A$3:$E$505,3,0),"")</f>
        <v xml:space="preserve">ROLO PARA ESTERILIZAÇÃO </v>
      </c>
      <c r="D15" s="32" t="str">
        <f>IFERROR(VLOOKUP(B:B,'SALDO ATUAL'!$A$3:$E$505,4,0),"")</f>
        <v>MATERIAIS DESCARTÁVEIS E APOIO</v>
      </c>
      <c r="E15" s="33" t="str">
        <f>IFERROR(VLOOKUP(B:B,'SALDO ATUAL'!$A$3:$E$505,5,0),"")</f>
        <v>036- Unidade</v>
      </c>
      <c r="F15" s="35">
        <v>2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23.25" customHeight="1">
      <c r="A16" s="37">
        <v>46091</v>
      </c>
      <c r="B16" s="30">
        <v>381</v>
      </c>
      <c r="C16" s="31" t="str">
        <f>IFERROR(VLOOKUP(B:B,'SALDO ATUAL'!$A$3:$E$505,3,0),"")</f>
        <v>TESTE INDICADOR QUÍMICO</v>
      </c>
      <c r="D16" s="32" t="str">
        <f>IFERROR(VLOOKUP(B:B,'SALDO ATUAL'!$A$3:$E$505,4,0),"")</f>
        <v>ESTERELIZAÇÃO</v>
      </c>
      <c r="E16" s="33" t="str">
        <f>IFERROR(VLOOKUP(B:B,'SALDO ATUAL'!$A$3:$E$505,5,0),"")</f>
        <v>036- Unidade</v>
      </c>
      <c r="F16" s="35">
        <v>2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23.25" customHeight="1">
      <c r="A17" s="38">
        <v>46091</v>
      </c>
      <c r="B17" s="39">
        <v>323</v>
      </c>
      <c r="C17" s="31" t="str">
        <f>IFERROR(VLOOKUP(B:B,'SALDO ATUAL'!$A$3:$E$505,3,0),"")</f>
        <v xml:space="preserve">TESTE INDICADOR BIOLÓGICO </v>
      </c>
      <c r="D17" s="32" t="str">
        <f>IFERROR(VLOOKUP(B:B,'SALDO ATUAL'!$A$3:$E$505,4,0),"")</f>
        <v>ESTERELIZAÇÃO</v>
      </c>
      <c r="E17" s="33" t="str">
        <f>IFERROR(VLOOKUP(B:B,'SALDO ATUAL'!$A$3:$E$505,5,0),"")</f>
        <v>036- Unidade</v>
      </c>
      <c r="F17" s="35">
        <v>6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23.25" customHeight="1">
      <c r="A18" s="40">
        <v>46091</v>
      </c>
      <c r="B18" s="14">
        <v>11</v>
      </c>
      <c r="C18" s="31" t="str">
        <f>IFERROR(VLOOKUP(B:B,'SALDO ATUAL'!$A$3:$E$505,3,0),"")</f>
        <v>ÁGUA TERMAL MINERAUX</v>
      </c>
      <c r="D18" s="32" t="str">
        <f>IFERROR(VLOOKUP(B:B,'SALDO ATUAL'!$A$3:$E$505,4,0),"")</f>
        <v>DERMOCOSMÉTICO E COSMÉTICO</v>
      </c>
      <c r="E18" s="33" t="str">
        <f>IFERROR(VLOOKUP(B:B,'SALDO ATUAL'!$A$3:$E$505,5,0),"")</f>
        <v>013 - Frasco</v>
      </c>
      <c r="F18" s="35">
        <v>1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23.25" customHeight="1">
      <c r="A19" s="40">
        <v>46091</v>
      </c>
      <c r="B19" s="14">
        <v>10</v>
      </c>
      <c r="C19" s="31" t="str">
        <f>IFERROR(VLOOKUP(B:B,'SALDO ATUAL'!$A$3:$E$505,3,0),"")</f>
        <v/>
      </c>
      <c r="D19" s="32" t="str">
        <f>IFERROR(VLOOKUP(B:B,'SALDO ATUAL'!$A$3:$E$505,4,0),"")</f>
        <v/>
      </c>
      <c r="E19" s="33" t="str">
        <f>IFERROR(VLOOKUP(B:B,'SALDO ATUAL'!$A$3:$E$505,5,0),"")</f>
        <v/>
      </c>
      <c r="F19" s="35">
        <v>1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23.25" customHeight="1">
      <c r="A20" s="40">
        <v>46091</v>
      </c>
      <c r="B20" s="14">
        <v>382</v>
      </c>
      <c r="C20" s="31" t="str">
        <f>IFERROR(VLOOKUP(B:B,'SALDO ATUAL'!$A$3:$E$505,3,0),"")</f>
        <v>PILLOW</v>
      </c>
      <c r="D20" s="32" t="str">
        <f>IFERROR(VLOOKUP(B:B,'SALDO ATUAL'!$A$3:$E$505,4,0),"")</f>
        <v>ITEM OPERACIONAL</v>
      </c>
      <c r="E20" s="33" t="str">
        <f>IFERROR(VLOOKUP(B:B,'SALDO ATUAL'!$A$3:$E$505,5,0),"")</f>
        <v>036- Unidade</v>
      </c>
      <c r="F20" s="35">
        <v>1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23.25" customHeight="1">
      <c r="A21" s="40">
        <v>46091</v>
      </c>
      <c r="B21" s="39">
        <v>248</v>
      </c>
      <c r="C21" s="31" t="str">
        <f>IFERROR(VLOOKUP(B:B,'SALDO ATUAL'!$A$3:$E$505,3,0),"")</f>
        <v>PALITO ABAIXADOR DE LÍNGUA</v>
      </c>
      <c r="D21" s="32" t="str">
        <f>IFERROR(VLOOKUP(B:B,'SALDO ATUAL'!$A$3:$E$505,4,0),"")</f>
        <v>MATERIAIS DESCARTÁVEIS E APOIO</v>
      </c>
      <c r="E21" s="33" t="str">
        <f>IFERROR(VLOOKUP(B:B,'SALDO ATUAL'!$A$3:$E$505,5,0),"")</f>
        <v>036 -Unidade</v>
      </c>
      <c r="F21" s="35">
        <v>20000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23.25" customHeight="1">
      <c r="A22" s="40">
        <v>46091</v>
      </c>
      <c r="B22" s="39">
        <v>285</v>
      </c>
      <c r="C22" s="31" t="str">
        <f>IFERROR(VLOOKUP(B:B,'SALDO ATUAL'!$A$3:$E$505,3,0),"")</f>
        <v xml:space="preserve">ROLO PARA ESTERILIZAÇÃO </v>
      </c>
      <c r="D22" s="32" t="str">
        <f>IFERROR(VLOOKUP(B:B,'SALDO ATUAL'!$A$3:$E$505,4,0),"")</f>
        <v>MATERIAIS DESCARTÁVEIS E APOIO</v>
      </c>
      <c r="E22" s="33" t="str">
        <f>IFERROR(VLOOKUP(B:B,'SALDO ATUAL'!$A$3:$E$505,5,0),"")</f>
        <v>036- Unidade</v>
      </c>
      <c r="F22" s="35">
        <v>2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23.25" customHeight="1">
      <c r="A23" s="40">
        <v>46091</v>
      </c>
      <c r="B23" s="14">
        <v>383</v>
      </c>
      <c r="C23" s="31" t="str">
        <f>IFERROR(VLOOKUP(B:B,'SALDO ATUAL'!$A$3:$E$505,3,0),"")</f>
        <v>MIXER PHILCO</v>
      </c>
      <c r="D23" s="32" t="str">
        <f>IFERROR(VLOOKUP(B:B,'SALDO ATUAL'!$A$3:$E$505,4,0),"")</f>
        <v>COPA</v>
      </c>
      <c r="E23" s="33" t="str">
        <f>IFERROR(VLOOKUP(B:B,'SALDO ATUAL'!$A$3:$E$505,5,0),"")</f>
        <v>036- Unidade</v>
      </c>
      <c r="F23" s="35">
        <v>1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23.25" customHeight="1">
      <c r="A24" s="41">
        <v>46092</v>
      </c>
      <c r="B24" s="14">
        <v>384</v>
      </c>
      <c r="C24" s="31" t="str">
        <f>IFERROR(VLOOKUP(B:B,'SALDO ATUAL'!$A$3:$E$505,3,0),"")</f>
        <v>FORMA DE GELO</v>
      </c>
      <c r="D24" s="32" t="str">
        <f>IFERROR(VLOOKUP(B:B,'SALDO ATUAL'!$A$3:$E$505,4,0),"")</f>
        <v>COPA</v>
      </c>
      <c r="E24" s="33" t="str">
        <f>IFERROR(VLOOKUP(B:B,'SALDO ATUAL'!$A$3:$E$505,5,0),"")</f>
        <v>036- Unidade</v>
      </c>
      <c r="F24" s="35">
        <v>3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23.25" customHeight="1">
      <c r="A25" s="41">
        <v>46092</v>
      </c>
      <c r="B25" s="30">
        <v>385</v>
      </c>
      <c r="C25" s="31" t="str">
        <f>IFERROR(VLOOKUP(B:B,'SALDO ATUAL'!$A$3:$E$505,3,0),"")</f>
        <v>LENÇOL TECIDO SOLTEIRO</v>
      </c>
      <c r="D25" s="32" t="str">
        <f>IFERROR(VLOOKUP(B:B,'SALDO ATUAL'!$A$3:$E$505,4,0),"")</f>
        <v>ITEM OPERACIONAL</v>
      </c>
      <c r="E25" s="33" t="str">
        <f>IFERROR(VLOOKUP(B:B,'SALDO ATUAL'!$A$3:$E$505,5,0),"")</f>
        <v>036- Unidade</v>
      </c>
      <c r="F25" s="35">
        <v>2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23.25" customHeight="1">
      <c r="A26" s="41">
        <v>46092</v>
      </c>
      <c r="B26" s="19">
        <v>386</v>
      </c>
      <c r="C26" s="31" t="str">
        <f>IFERROR(VLOOKUP(B:B,'SALDO ATUAL'!$A$3:$E$505,3,0),"")</f>
        <v>FRONHA BRANCA</v>
      </c>
      <c r="D26" s="32" t="str">
        <f>IFERROR(VLOOKUP(B:B,'SALDO ATUAL'!$A$3:$E$505,4,0),"")</f>
        <v>ITEM OPERACIONAL</v>
      </c>
      <c r="E26" s="33" t="str">
        <f>IFERROR(VLOOKUP(B:B,'SALDO ATUAL'!$A$3:$E$505,5,0),"")</f>
        <v>036- Unidade</v>
      </c>
      <c r="F26" s="35">
        <v>4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23.25" customHeight="1">
      <c r="A27" s="41">
        <v>46092</v>
      </c>
      <c r="B27" s="30">
        <v>333</v>
      </c>
      <c r="C27" s="31" t="str">
        <f>IFERROR(VLOOKUP(B:B,'SALDO ATUAL'!$A$3:$E$505,3,0),"")</f>
        <v>TUBO DE COLETA DE SANGUE GEL SEPARADOR VERMELHO</v>
      </c>
      <c r="D27" s="32" t="str">
        <f>IFERROR(VLOOKUP(B:B,'SALDO ATUAL'!$A$3:$E$505,4,0),"")</f>
        <v>MATERIAIS DESCARTÁVEIS E APOIO</v>
      </c>
      <c r="E27" s="33" t="str">
        <f>IFERROR(VLOOKUP(B:B,'SALDO ATUAL'!$A$3:$E$505,5,0),"")</f>
        <v>035  Tubo</v>
      </c>
      <c r="F27" s="35">
        <v>50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23.25" customHeight="1">
      <c r="A28" s="41">
        <v>46092</v>
      </c>
      <c r="B28" s="42">
        <v>392</v>
      </c>
      <c r="C28" s="31" t="str">
        <f>IFERROR(VLOOKUP(B:B,'SALDO ATUAL'!$A$3:$E$505,3,0),"")</f>
        <v>COTONETES</v>
      </c>
      <c r="D28" s="32" t="str">
        <f>IFERROR(VLOOKUP(B:B,'SALDO ATUAL'!$A$3:$E$505,4,0),"")</f>
        <v>MATERIAIS DESCARTÁVEIS E APOIO</v>
      </c>
      <c r="E28" s="33" t="str">
        <f>IFERROR(VLOOKUP(B:B,'SALDO ATUAL'!$A$3:$E$505,5,0),"")</f>
        <v>005 - CAIXA</v>
      </c>
      <c r="F28" s="35">
        <v>2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23.25" customHeight="1">
      <c r="A29" s="29">
        <v>46093</v>
      </c>
      <c r="B29" s="42">
        <v>306</v>
      </c>
      <c r="C29" s="31" t="str">
        <f>IFERROR(VLOOKUP(B:B,'SALDO ATUAL'!$A$3:$E$505,3,0),"")</f>
        <v>SERINGA ULTRA FINE 0,3ML 0,8x0,30 BD</v>
      </c>
      <c r="D29" s="32" t="str">
        <f>IFERROR(VLOOKUP(B:B,'SALDO ATUAL'!$A$3:$E$505,4,0),"")</f>
        <v>SERINGA</v>
      </c>
      <c r="E29" s="33" t="str">
        <f>IFERROR(VLOOKUP(B:B,'SALDO ATUAL'!$A$3:$E$505,5,0),"")</f>
        <v>043- Pacotes</v>
      </c>
      <c r="F29" s="35">
        <v>10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23.25" customHeight="1">
      <c r="A30" s="29">
        <v>46093</v>
      </c>
      <c r="B30" s="42">
        <v>316</v>
      </c>
      <c r="C30" s="31" t="str">
        <f>IFERROR(VLOOKUP(B:B,'SALDO ATUAL'!$A$3:$E$505,3,0),"")</f>
        <v>SORO ESTÉRIL 10 ML ISOFARMA</v>
      </c>
      <c r="D30" s="32" t="str">
        <f>IFERROR(VLOOKUP(B:B,'SALDO ATUAL'!$A$3:$E$505,4,0),"")</f>
        <v>SOLUÇÕES</v>
      </c>
      <c r="E30" s="33" t="str">
        <f>IFERROR(VLOOKUP(B:B,'SALDO ATUAL'!$A$3:$E$505,5,0),"")</f>
        <v>012- Floconete</v>
      </c>
      <c r="F30" s="35">
        <v>50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23.25" customHeight="1">
      <c r="A31" s="29">
        <v>46093</v>
      </c>
      <c r="B31" s="42">
        <v>38</v>
      </c>
      <c r="C31" s="31" t="str">
        <f>IFERROR(VLOOKUP(B:B,'SALDO ATUAL'!$A$3:$E$505,3,0),"")</f>
        <v>ALCOOL 70% SEPTPRO 70</v>
      </c>
      <c r="D31" s="32" t="str">
        <f>IFERROR(VLOOKUP(B:B,'SALDO ATUAL'!$A$3:$E$505,4,0),"")</f>
        <v>INSUMOS</v>
      </c>
      <c r="E31" s="33" t="str">
        <f>IFERROR(VLOOKUP(B:B,'SALDO ATUAL'!$A$3:$E$505,5,0),"")</f>
        <v>023 - Mililitro</v>
      </c>
      <c r="F31" s="35">
        <v>15</v>
      </c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23.25" customHeight="1">
      <c r="A32" s="29">
        <v>46093</v>
      </c>
      <c r="B32" s="30">
        <v>301</v>
      </c>
      <c r="C32" s="31" t="str">
        <f>IFERROR(VLOOKUP(B:B,'SALDO ATUAL'!$A$3:$E$505,3,0),"")</f>
        <v>SERINGA DE CRISTAL 1ML</v>
      </c>
      <c r="D32" s="32" t="str">
        <f>IFERROR(VLOOKUP(B:B,'SALDO ATUAL'!$A$3:$E$505,4,0),"")</f>
        <v>SERINGA</v>
      </c>
      <c r="E32" s="33" t="str">
        <f>IFERROR(VLOOKUP(B:B,'SALDO ATUAL'!$A$3:$E$505,5,0),"")</f>
        <v>036- Unidade</v>
      </c>
      <c r="F32" s="35">
        <v>20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23.25" customHeight="1">
      <c r="A33" s="29">
        <v>46093</v>
      </c>
      <c r="B33" s="30">
        <v>40</v>
      </c>
      <c r="C33" s="31" t="str">
        <f>IFERROR(VLOOKUP(B:B,'SALDO ATUAL'!$A$3:$E$505,3,0),"")</f>
        <v>ALGODÃO QUADRADINHO SUSSEX</v>
      </c>
      <c r="D33" s="32" t="str">
        <f>IFERROR(VLOOKUP(B:B,'SALDO ATUAL'!$A$3:$E$505,4,0),"")</f>
        <v>MATERIAIS DESCARTÁVEIS E APOIO</v>
      </c>
      <c r="E33" s="33" t="str">
        <f>IFERROR(VLOOKUP(B:B,'SALDO ATUAL'!$A$3:$E$505,5,0),"")</f>
        <v>043 - Pacote</v>
      </c>
      <c r="F33" s="35">
        <v>5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23.25" customHeight="1">
      <c r="A34" s="29">
        <v>46093</v>
      </c>
      <c r="B34" s="30">
        <v>89</v>
      </c>
      <c r="C34" s="31" t="str">
        <f>IFERROR(VLOOKUP(B:B,'SALDO ATUAL'!$A$3:$E$505,3,0),"")</f>
        <v>COMPRESSA GAZE 13 FIOS C/ 500 UNID MEDI HOUSE</v>
      </c>
      <c r="D34" s="32" t="str">
        <f>IFERROR(VLOOKUP(B:B,'SALDO ATUAL'!$A$3:$E$505,4,0),"")</f>
        <v>MATERIAIS DESCARTÁVEIS E APOIO</v>
      </c>
      <c r="E34" s="33" t="str">
        <f>IFERROR(VLOOKUP(B:B,'SALDO ATUAL'!$A$3:$E$505,5,0),"")</f>
        <v>036 - Unidade</v>
      </c>
      <c r="F34" s="35">
        <v>3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23.25" customHeight="1">
      <c r="A35" s="29">
        <v>46093</v>
      </c>
      <c r="B35" s="30">
        <v>218</v>
      </c>
      <c r="C35" s="31" t="str">
        <f>IFERROR(VLOOKUP(B:B,'SALDO ATUAL'!$A$3:$E$505,3,0),"")</f>
        <v>LUVA P SEM PÓ DESCARPACK</v>
      </c>
      <c r="D35" s="32" t="str">
        <f>IFERROR(VLOOKUP(B:B,'SALDO ATUAL'!$A$3:$E$505,4,0),"")</f>
        <v>MATERIAIS DESCARTÁVEIS E APOIO</v>
      </c>
      <c r="E35" s="33" t="str">
        <f>IFERROR(VLOOKUP(B:B,'SALDO ATUAL'!$A$3:$E$505,5,0),"")</f>
        <v>005- Caixa</v>
      </c>
      <c r="F35" s="35">
        <v>4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23.25" customHeight="1">
      <c r="A36" s="29">
        <v>46093</v>
      </c>
      <c r="B36" s="30">
        <v>294</v>
      </c>
      <c r="C36" s="31" t="str">
        <f>IFERROR(VLOOKUP(B:B,'SALDO ATUAL'!$A$3:$E$505,3,0),"")</f>
        <v>SERINGA 3ML LOCK - ROSCA DESCARPACK</v>
      </c>
      <c r="D36" s="32" t="str">
        <f>IFERROR(VLOOKUP(B:B,'SALDO ATUAL'!$A$3:$E$505,4,0),"")</f>
        <v>SERINGA</v>
      </c>
      <c r="E36" s="33" t="str">
        <f>IFERROR(VLOOKUP(B:B,'SALDO ATUAL'!$A$3:$E$505,5,0),"")</f>
        <v>031- Seringa</v>
      </c>
      <c r="F36" s="35">
        <v>70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23.25" customHeight="1">
      <c r="A37" s="29">
        <v>46093</v>
      </c>
      <c r="B37" s="30">
        <v>289</v>
      </c>
      <c r="C37" s="31" t="str">
        <f>IFERROR(VLOOKUP(B:B,'SALDO ATUAL'!$A$3:$E$505,3,0),"")</f>
        <v>SERINGA 10ML C/ ROSCA DESCARPACK</v>
      </c>
      <c r="D37" s="32" t="str">
        <f>IFERROR(VLOOKUP(B:B,'SALDO ATUAL'!$A$3:$E$505,4,0),"")</f>
        <v>SERINGA</v>
      </c>
      <c r="E37" s="33" t="str">
        <f>IFERROR(VLOOKUP(B:B,'SALDO ATUAL'!$A$3:$E$505,5,0),"")</f>
        <v>031- Seringa</v>
      </c>
      <c r="F37" s="35">
        <v>30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23.25" customHeight="1">
      <c r="A38" s="29">
        <v>46093</v>
      </c>
      <c r="B38" s="30">
        <v>299</v>
      </c>
      <c r="C38" s="31" t="str">
        <f>IFERROR(VLOOKUP(B:B,'SALDO ATUAL'!$A$3:$E$505,3,0),"")</f>
        <v>SERINGA 5ML LOCK - ROSCA DESCARPACK</v>
      </c>
      <c r="D38" s="32" t="str">
        <f>IFERROR(VLOOKUP(B:B,'SALDO ATUAL'!$A$3:$E$505,4,0),"")</f>
        <v>SERINGA</v>
      </c>
      <c r="E38" s="33" t="str">
        <f>IFERROR(VLOOKUP(B:B,'SALDO ATUAL'!$A$3:$E$505,5,0),"")</f>
        <v>036- Unidade</v>
      </c>
      <c r="F38" s="35">
        <v>40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23.25" customHeight="1">
      <c r="A39" s="29">
        <v>46093</v>
      </c>
      <c r="B39" s="30">
        <v>209</v>
      </c>
      <c r="C39" s="31" t="str">
        <f>IFERROR(VLOOKUP(B:B,'SALDO ATUAL'!$A$3:$E$505,3,0),"")</f>
        <v>LENÇOL SEM ELÁSTICO DEXCAR</v>
      </c>
      <c r="D39" s="32" t="str">
        <f>IFERROR(VLOOKUP(B:B,'SALDO ATUAL'!$A$3:$E$505,4,0),"")</f>
        <v>MATERIAIS DESCARTÁVEIS E APOIO</v>
      </c>
      <c r="E39" s="33" t="str">
        <f>IFERROR(VLOOKUP(B:B,'SALDO ATUAL'!$A$3:$E$505,5,0),"")</f>
        <v>036-Unidades</v>
      </c>
      <c r="F39" s="35">
        <v>2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23.25" customHeight="1">
      <c r="A40" s="29">
        <v>46093</v>
      </c>
      <c r="B40" s="30">
        <v>84</v>
      </c>
      <c r="C40" s="31" t="str">
        <f>IFERROR(VLOOKUP(B:B,'SALDO ATUAL'!$A$3:$E$505,3,0),"")</f>
        <v>COLETOR PERFUROCORTANTE 3L DESCARPACK</v>
      </c>
      <c r="D40" s="32" t="str">
        <f>IFERROR(VLOOKUP(B:B,'SALDO ATUAL'!$A$3:$E$505,4,0),"")</f>
        <v>MATERIAIS DESCARTÁVEIS E APOIO</v>
      </c>
      <c r="E40" s="33" t="str">
        <f>IFERROR(VLOOKUP(B:B,'SALDO ATUAL'!$A$3:$E$505,5,0),"")</f>
        <v>036 - Unidade</v>
      </c>
      <c r="F40" s="35">
        <v>10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23.25" customHeight="1">
      <c r="A41" s="29">
        <v>46093</v>
      </c>
      <c r="B41" s="30">
        <v>185</v>
      </c>
      <c r="C41" s="31" t="str">
        <f>IFERROR(VLOOKUP(B:B,'SALDO ATUAL'!$A$3:$E$505,3,0),"")</f>
        <v>GAZE ESTÉRIL MEDI HOUSE</v>
      </c>
      <c r="D41" s="32" t="str">
        <f>IFERROR(VLOOKUP(B:B,'SALDO ATUAL'!$A$3:$E$505,4,0),"")</f>
        <v>MATERIAIS DESCARTÁVEIS E APOIO</v>
      </c>
      <c r="E41" s="33" t="str">
        <f>IFERROR(VLOOKUP(B:B,'SALDO ATUAL'!$A$3:$E$505,5,0),"")</f>
        <v>036 - Unidade</v>
      </c>
      <c r="F41" s="35">
        <v>20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23.25" customHeight="1">
      <c r="A42" s="29">
        <v>46097</v>
      </c>
      <c r="B42" s="30">
        <v>359</v>
      </c>
      <c r="C42" s="31" t="str">
        <f>IFERROR(VLOOKUP(B:B,'SALDO ATUAL'!$A$3:$E$505,3,0),"")</f>
        <v>NADH (PÓ LIOFILIZADO) OPTIMUS</v>
      </c>
      <c r="D42" s="32" t="str">
        <f>IFERROR(VLOOKUP(B:B,'SALDO ATUAL'!$A$3:$E$505,4,0),"")</f>
        <v>ATIVOS</v>
      </c>
      <c r="E42" s="33" t="str">
        <f>IFERROR(VLOOKUP(B:B,'SALDO ATUAL'!$A$3:$E$505,5,0),"")</f>
        <v>001- Ampola</v>
      </c>
      <c r="F42" s="35">
        <v>36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23.25" customHeight="1">
      <c r="A43" s="29">
        <v>46097</v>
      </c>
      <c r="B43" s="30">
        <v>363</v>
      </c>
      <c r="C43" s="31" t="str">
        <f>IFERROR(VLOOKUP(B:B,'SALDO ATUAL'!$A$3:$E$505,3,0),"")</f>
        <v>ALFA LIPÓICO 600mg OPTIMUS</v>
      </c>
      <c r="D43" s="32" t="str">
        <f>IFERROR(VLOOKUP(B:B,'SALDO ATUAL'!$A$3:$E$505,4,0),"")</f>
        <v>MANIPULADOS</v>
      </c>
      <c r="E43" s="33" t="str">
        <f>IFERROR(VLOOKUP(B:B,'SALDO ATUAL'!$A$3:$E$505,5,0),"")</f>
        <v>023- Mililitro</v>
      </c>
      <c r="F43" s="35">
        <v>580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23.25" customHeight="1">
      <c r="A44" s="29">
        <v>46097</v>
      </c>
      <c r="B44" s="30">
        <v>288</v>
      </c>
      <c r="C44" s="31" t="str">
        <f>IFERROR(VLOOKUP(B:B,'SALDO ATUAL'!$A$3:$E$505,3,0),"")</f>
        <v>SELENIO OPTIMUS</v>
      </c>
      <c r="D44" s="32" t="str">
        <f>IFERROR(VLOOKUP(B:B,'SALDO ATUAL'!$A$3:$E$505,4,0),"")</f>
        <v>ATIVOS</v>
      </c>
      <c r="E44" s="33" t="str">
        <f>IFERROR(VLOOKUP(B:B,'SALDO ATUAL'!$A$3:$E$505,5,0),"")</f>
        <v>001- Ampola</v>
      </c>
      <c r="F44" s="35">
        <v>10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23.25" customHeight="1">
      <c r="A45" s="29">
        <v>46097</v>
      </c>
      <c r="B45" s="30">
        <v>335</v>
      </c>
      <c r="C45" s="31" t="str">
        <f>IFERROR(VLOOKUP(B:B,'SALDO ATUAL'!$A$3:$E$505,3,0),"")</f>
        <v>VITAMINA B12 OPTIMUS</v>
      </c>
      <c r="D45" s="32" t="str">
        <f>IFERROR(VLOOKUP(B:B,'SALDO ATUAL'!$A$3:$E$505,4,0),"")</f>
        <v>ATIVOS</v>
      </c>
      <c r="E45" s="33" t="str">
        <f>IFERROR(VLOOKUP(B:B,'SALDO ATUAL'!$A$3:$E$505,5,0),"")</f>
        <v xml:space="preserve">001- Ampola </v>
      </c>
      <c r="F45" s="35">
        <v>10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23.25" customHeight="1">
      <c r="A46" s="29">
        <v>46097</v>
      </c>
      <c r="B46" s="30">
        <v>324</v>
      </c>
      <c r="C46" s="31" t="str">
        <f>IFERROR(VLOOKUP(B:B,'SALDO ATUAL'!$A$3:$E$505,3,0),"")</f>
        <v>TIMOMODULINA OPTIMUS</v>
      </c>
      <c r="D46" s="32" t="str">
        <f>IFERROR(VLOOKUP(B:B,'SALDO ATUAL'!$A$3:$E$505,4,0),"")</f>
        <v>ATIVOS</v>
      </c>
      <c r="E46" s="33" t="str">
        <f>IFERROR(VLOOKUP(B:B,'SALDO ATUAL'!$A$3:$E$505,5,0),"")</f>
        <v>001 - Ampola</v>
      </c>
      <c r="F46" s="35">
        <v>10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23.25" customHeight="1">
      <c r="A47" s="29">
        <v>46097</v>
      </c>
      <c r="B47" s="30">
        <v>322</v>
      </c>
      <c r="C47" s="31" t="str">
        <f>IFERROR(VLOOKUP(B:B,'SALDO ATUAL'!$A$3:$E$505,3,0),"")</f>
        <v>SULF . DE ZINCO OPTIMUS</v>
      </c>
      <c r="D47" s="32" t="str">
        <f>IFERROR(VLOOKUP(B:B,'SALDO ATUAL'!$A$3:$E$505,4,0),"")</f>
        <v>INJETAVEL</v>
      </c>
      <c r="E47" s="33" t="str">
        <f>IFERROR(VLOOKUP(B:B,'SALDO ATUAL'!$A$3:$E$505,5,0),"")</f>
        <v>001 - Ampola</v>
      </c>
      <c r="F47" s="35">
        <v>10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23.25" customHeight="1">
      <c r="A48" s="29">
        <v>46097</v>
      </c>
      <c r="B48" s="30">
        <v>336</v>
      </c>
      <c r="C48" s="31" t="str">
        <f>IFERROR(VLOOKUP(B:B,'SALDO ATUAL'!$A$3:$E$505,3,0),"")</f>
        <v>VITAMINA C OPTIMUS</v>
      </c>
      <c r="D48" s="32" t="str">
        <f>IFERROR(VLOOKUP(B:B,'SALDO ATUAL'!$A$3:$E$505,4,0),"")</f>
        <v>ATIVOS</v>
      </c>
      <c r="E48" s="33" t="str">
        <f>IFERROR(VLOOKUP(B:B,'SALDO ATUAL'!$A$3:$E$505,5,0),"")</f>
        <v xml:space="preserve">001- Ampola </v>
      </c>
      <c r="F48" s="35">
        <v>10</v>
      </c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23.25" customHeight="1">
      <c r="A49" s="29">
        <v>46097</v>
      </c>
      <c r="B49" s="19">
        <v>396</v>
      </c>
      <c r="C49" s="31" t="str">
        <f>IFERROR(VLOOKUP(B:B,'SALDO ATUAL'!$A$3:$E$505,3,0),"")</f>
        <v/>
      </c>
      <c r="D49" s="32" t="str">
        <f>IFERROR(VLOOKUP(B:B,'SALDO ATUAL'!$A$3:$E$505,4,0),"")</f>
        <v/>
      </c>
      <c r="E49" s="33" t="str">
        <f>IFERROR(VLOOKUP(B:B,'SALDO ATUAL'!$A$3:$E$505,5,0),"")</f>
        <v/>
      </c>
      <c r="F49" s="35">
        <v>1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23.25" customHeight="1">
      <c r="A50" s="29">
        <v>46097</v>
      </c>
      <c r="B50" s="19">
        <v>397</v>
      </c>
      <c r="C50" s="31" t="str">
        <f>IFERROR(VLOOKUP(B:B,'SALDO ATUAL'!$A$3:$E$505,3,0),"")</f>
        <v/>
      </c>
      <c r="D50" s="32" t="str">
        <f>IFERROR(VLOOKUP(B:B,'SALDO ATUAL'!$A$3:$E$505,4,0),"")</f>
        <v/>
      </c>
      <c r="E50" s="33" t="str">
        <f>IFERROR(VLOOKUP(B:B,'SALDO ATUAL'!$A$3:$E$505,5,0),"")</f>
        <v/>
      </c>
      <c r="F50" s="35">
        <v>1</v>
      </c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23.25" customHeight="1">
      <c r="A51" s="29">
        <v>46097</v>
      </c>
      <c r="B51" s="19">
        <v>398</v>
      </c>
      <c r="C51" s="31" t="str">
        <f>IFERROR(VLOOKUP(B:B,'SALDO ATUAL'!$A$3:$E$505,3,0),"")</f>
        <v/>
      </c>
      <c r="D51" s="32" t="str">
        <f>IFERROR(VLOOKUP(B:B,'SALDO ATUAL'!$A$3:$E$505,4,0),"")</f>
        <v/>
      </c>
      <c r="E51" s="33" t="str">
        <f>IFERROR(VLOOKUP(B:B,'SALDO ATUAL'!$A$3:$E$505,5,0),"")</f>
        <v/>
      </c>
      <c r="F51" s="43">
        <v>1</v>
      </c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23.25" customHeight="1">
      <c r="A52" s="44">
        <v>46098</v>
      </c>
      <c r="B52" s="45">
        <v>96</v>
      </c>
      <c r="C52" s="31" t="str">
        <f>IFERROR(VLOOKUP(B:B,'SALDO ATUAL'!$A$3:$E$505,3,0),"")</f>
        <v>CREME CALMANTE NIACINAMIDA INC BEAUTY</v>
      </c>
      <c r="D52" s="32" t="str">
        <f>IFERROR(VLOOKUP(B:B,'SALDO ATUAL'!$A$3:$E$505,4,0),"")</f>
        <v>MANIPULADOS</v>
      </c>
      <c r="E52" s="33" t="str">
        <f>IFERROR(VLOOKUP(B:B,'SALDO ATUAL'!$A$3:$E$505,5,0),"")</f>
        <v>018 - Grama</v>
      </c>
      <c r="F52" s="45">
        <v>15</v>
      </c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23.25" customHeight="1">
      <c r="A53" s="44">
        <v>46098</v>
      </c>
      <c r="B53" s="45">
        <v>98</v>
      </c>
      <c r="C53" s="31" t="str">
        <f>IFERROR(VLOOKUP(B:B,'SALDO ATUAL'!$A$3:$E$505,3,0),"")</f>
        <v>CREME COM NUTRI OMEGA + ASSOCIAÇÕES INC BEAUTY</v>
      </c>
      <c r="D53" s="32" t="str">
        <f>IFERROR(VLOOKUP(B:B,'SALDO ATUAL'!$A$3:$E$999,4,0),"")</f>
        <v>MANIPULADOS</v>
      </c>
      <c r="E53" s="33" t="str">
        <f>IFERROR(VLOOKUP(B:B,'SALDO ATUAL'!$A$3:$E$505,5,0),"")</f>
        <v>018 - Grama</v>
      </c>
      <c r="F53" s="45">
        <v>1</v>
      </c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23.25" customHeight="1">
      <c r="A54" s="44">
        <v>46098</v>
      </c>
      <c r="B54" s="45">
        <v>328</v>
      </c>
      <c r="C54" s="31" t="str">
        <f>IFERROR(VLOOKUP(B:B,'SALDO ATUAL'!$A$3:$E$505,3,0),"")</f>
        <v>TOXINA BOTULÍNICA DYSPORT 300U</v>
      </c>
      <c r="D54" s="32" t="str">
        <f>IFERROR(VLOOKUP(B:B,'SALDO ATUAL'!$A$3:$E$999,4,0),"")</f>
        <v>TOXINA</v>
      </c>
      <c r="E54" s="33" t="str">
        <f>IFERROR(VLOOKUP(B:B,'SALDO ATUAL'!$A$3:$E$505,5,0),"")</f>
        <v>037 - Unidade Internacional</v>
      </c>
      <c r="F54" s="45">
        <v>3</v>
      </c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23.25" customHeight="1">
      <c r="A55" s="29">
        <v>46100</v>
      </c>
      <c r="B55" s="19">
        <v>399</v>
      </c>
      <c r="C55" s="31" t="str">
        <f>IFERROR(VLOOKUP(B:B,'SALDO ATUAL'!$A$3:$E$505,3,0),"")</f>
        <v/>
      </c>
      <c r="D55" s="32" t="str">
        <f>IFERROR(VLOOKUP(B:B,'SALDO ATUAL'!$A$3:$E$999,4,0),"")</f>
        <v/>
      </c>
      <c r="E55" s="33" t="str">
        <f>IFERROR(VLOOKUP(B:B,'SALDO ATUAL'!$A$3:$E$505,5,0),"")</f>
        <v/>
      </c>
      <c r="F55" s="43">
        <v>1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23.25" customHeight="1">
      <c r="A56" s="29">
        <v>46100</v>
      </c>
      <c r="B56" s="19">
        <v>400</v>
      </c>
      <c r="C56" s="31" t="str">
        <f>IFERROR(VLOOKUP(B:B,'SALDO ATUAL'!$A$3:$E$505,3,0),"")</f>
        <v/>
      </c>
      <c r="D56" s="32" t="str">
        <f>IFERROR(VLOOKUP(B:B,'SALDO ATUAL'!$A$3:$E$999,4,0),"")</f>
        <v/>
      </c>
      <c r="E56" s="33" t="str">
        <f>IFERROR(VLOOKUP(B:B,'SALDO ATUAL'!$A$3:$E$505,5,0),"")</f>
        <v/>
      </c>
      <c r="F56" s="43">
        <v>1</v>
      </c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23.25" customHeight="1">
      <c r="A57" s="29">
        <v>46100</v>
      </c>
      <c r="B57" s="19">
        <v>401</v>
      </c>
      <c r="C57" s="31" t="str">
        <f>IFERROR(VLOOKUP(B:B,'SALDO ATUAL'!$A$3:$E$505,3,0),"")</f>
        <v/>
      </c>
      <c r="D57" s="32" t="str">
        <f>IFERROR(VLOOKUP(B:B,'SALDO ATUAL'!$A$3:$E$999,4,0),"")</f>
        <v/>
      </c>
      <c r="E57" s="33" t="str">
        <f>IFERROR(VLOOKUP(B:B,'SALDO ATUAL'!$A$3:$E$505,5,0),"")</f>
        <v/>
      </c>
      <c r="F57" s="43">
        <v>1</v>
      </c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23.25" customHeight="1">
      <c r="A58" s="29">
        <v>46100</v>
      </c>
      <c r="B58" s="19">
        <v>402</v>
      </c>
      <c r="C58" s="31" t="str">
        <f>IFERROR(VLOOKUP(B:B,'SALDO ATUAL'!$A$3:$E$505,3,0),"")</f>
        <v/>
      </c>
      <c r="D58" s="32" t="str">
        <f>IFERROR(VLOOKUP(B:B,'SALDO ATUAL'!$A$3:$E$999,4,0),"")</f>
        <v/>
      </c>
      <c r="E58" s="33" t="str">
        <f>IFERROR(VLOOKUP(B:B,'SALDO ATUAL'!$A$3:$E$505,5,0),"")</f>
        <v/>
      </c>
      <c r="F58" s="43">
        <v>1</v>
      </c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23.25" customHeight="1">
      <c r="A59" s="29">
        <v>46100</v>
      </c>
      <c r="B59" s="19">
        <v>404</v>
      </c>
      <c r="C59" s="31" t="str">
        <f>IFERROR(VLOOKUP(B:B,'SALDO ATUAL'!$A$3:$E$505,3,0),"")</f>
        <v/>
      </c>
      <c r="D59" s="32" t="str">
        <f>IFERROR(VLOOKUP(B:B,'SALDO ATUAL'!$A$3:$E$999,4,0),"")</f>
        <v/>
      </c>
      <c r="E59" s="33" t="str">
        <f>IFERROR(VLOOKUP(B:B,'SALDO ATUAL'!$A$3:$E$505,5,0),"")</f>
        <v/>
      </c>
      <c r="F59" s="43">
        <v>1</v>
      </c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23.25" customHeight="1">
      <c r="A60" s="29">
        <v>46100</v>
      </c>
      <c r="B60" s="19">
        <v>405</v>
      </c>
      <c r="C60" s="31" t="str">
        <f>IFERROR(VLOOKUP(B:B,'SALDO ATUAL'!$A$3:$E$505,3,0),"")</f>
        <v/>
      </c>
      <c r="D60" s="32" t="str">
        <f>IFERROR(VLOOKUP(B:B,'SALDO ATUAL'!$A$3:$E$999,4,0),"")</f>
        <v/>
      </c>
      <c r="E60" s="33" t="str">
        <f>IFERROR(VLOOKUP(B:B,'SALDO ATUAL'!$A$3:$E$505,5,0),"")</f>
        <v/>
      </c>
      <c r="F60" s="43">
        <v>1</v>
      </c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23.25" customHeight="1">
      <c r="A61" s="29">
        <v>46100</v>
      </c>
      <c r="B61" s="21" t="s">
        <v>484</v>
      </c>
      <c r="C61" s="31" t="str">
        <f>IFERROR(VLOOKUP(B:B,'SALDO ATUAL'!$A$3:$E$505,3,0),"")</f>
        <v>CANULADE GUEDEL 4 - CARRINHO DE PARADA</v>
      </c>
      <c r="D61" s="32" t="str">
        <f>IFERROR(VLOOKUP(B:B,'SALDO ATUAL'!$A$3:$E$999,4,0),"")</f>
        <v>ITEM OPERACIONAL</v>
      </c>
      <c r="E61" s="33" t="str">
        <f>IFERROR(VLOOKUP(B:B,'SALDO ATUAL'!$A$3:$E$505,5,0),"")</f>
        <v>036- Unidade</v>
      </c>
      <c r="F61" s="43">
        <v>1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23.25" customHeight="1">
      <c r="A62" s="29">
        <v>46100</v>
      </c>
      <c r="B62" s="19">
        <v>407</v>
      </c>
      <c r="C62" s="31" t="str">
        <f>IFERROR(VLOOKUP(B:B,'SALDO ATUAL'!$A$3:$E$505,3,0),"")</f>
        <v>CANULA DE GUEDEL 5 - CARRINHO DE PARADA</v>
      </c>
      <c r="D62" s="32" t="str">
        <f>IFERROR(VLOOKUP(B:B,'SALDO ATUAL'!$A$3:$E$999,4,0),"")</f>
        <v>ITEM OPERACIONAL</v>
      </c>
      <c r="E62" s="33" t="str">
        <f>IFERROR(VLOOKUP(B:B,'SALDO ATUAL'!$A$3:$E$505,5,0),"")</f>
        <v>036- Unidade</v>
      </c>
      <c r="F62" s="43">
        <v>1</v>
      </c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23.25" customHeight="1">
      <c r="A63" s="29">
        <v>46100</v>
      </c>
      <c r="B63" s="19">
        <v>408</v>
      </c>
      <c r="C63" s="31" t="str">
        <f>IFERROR(VLOOKUP(B:B,'SALDO ATUAL'!$A$3:$E$505,3,0),"")</f>
        <v>MASCARA ALTA CONCENTRAÇÃO - CARRINHO DE PARADA</v>
      </c>
      <c r="D63" s="32" t="str">
        <f>IFERROR(VLOOKUP(B:B,'SALDO ATUAL'!$A$3:$E$999,4,0),"")</f>
        <v>ITEM OPERACIONAL</v>
      </c>
      <c r="E63" s="33" t="str">
        <f>IFERROR(VLOOKUP(B:B,'SALDO ATUAL'!$A$3:$E$505,5,0),"")</f>
        <v>036- Unidade</v>
      </c>
      <c r="F63" s="43">
        <v>1</v>
      </c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23.25" customHeight="1">
      <c r="A64" s="29">
        <v>46100</v>
      </c>
      <c r="B64" s="19">
        <v>409</v>
      </c>
      <c r="C64" s="31" t="str">
        <f>IFERROR(VLOOKUP(B:B,'SALDO ATUAL'!$A$3:$E$505,3,0),"")</f>
        <v>MALETA NYLON - CARRINHO DE PARADA</v>
      </c>
      <c r="D64" s="32" t="str">
        <f>IFERROR(VLOOKUP(B:B,'SALDO ATUAL'!$A$3:$E$999,4,0),"")</f>
        <v>ITEM OPERACIONAL</v>
      </c>
      <c r="E64" s="33" t="str">
        <f>IFERROR(VLOOKUP(B:B,'SALDO ATUAL'!$A$3:$E$505,5,0),"")</f>
        <v>036- Unidade</v>
      </c>
      <c r="F64" s="43">
        <v>1</v>
      </c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23.25" customHeight="1">
      <c r="A65" s="29">
        <v>46100</v>
      </c>
      <c r="B65" s="19">
        <v>410</v>
      </c>
      <c r="C65" s="31" t="str">
        <f>IFERROR(VLOOKUP(B:B,'SALDO ATUAL'!$A$3:$E$505,3,0),"")</f>
        <v>ALCOOL 70% NOVA VIDA</v>
      </c>
      <c r="D65" s="32" t="str">
        <f>IFERROR(VLOOKUP(B:B,'SALDO ATUAL'!$A$3:$E$999,4,0),"")</f>
        <v>SOLUÇÕES</v>
      </c>
      <c r="E65" s="33" t="str">
        <f>IFERROR(VLOOKUP(B:B,'SALDO ATUAL'!$A$3:$E$505,5,0),"")</f>
        <v>019 - Litro</v>
      </c>
      <c r="F65" s="43">
        <v>3</v>
      </c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23.25" customHeight="1">
      <c r="A66" s="29">
        <v>46100</v>
      </c>
      <c r="B66" s="19">
        <v>411</v>
      </c>
      <c r="C66" s="31" t="str">
        <f>IFERROR(VLOOKUP(B:B,'SALDO ATUAL'!$A$3:$E$505,3,0),"")</f>
        <v>AROMATIZADOR DE AR</v>
      </c>
      <c r="D66" s="32" t="str">
        <f>IFERROR(VLOOKUP(B:B,'SALDO ATUAL'!$A$3:$E$999,4,0),"")</f>
        <v>ITEM OPERACIONAL</v>
      </c>
      <c r="E66" s="33" t="str">
        <f>IFERROR(VLOOKUP(B:B,'SALDO ATUAL'!$A$3:$E$505,5,0),"")</f>
        <v>023 - Mililitro</v>
      </c>
      <c r="F66" s="43">
        <v>2</v>
      </c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23.25" customHeight="1">
      <c r="A67" s="29">
        <v>46100</v>
      </c>
      <c r="B67" s="19">
        <v>412</v>
      </c>
      <c r="C67" s="31" t="str">
        <f>IFERROR(VLOOKUP(B:B,'SALDO ATUAL'!$A$3:$E$505,3,0),"")</f>
        <v xml:space="preserve">AGUA OXIGENADA 30 VOL ITALLIAN </v>
      </c>
      <c r="D67" s="32" t="str">
        <f>IFERROR(VLOOKUP(B:B,'SALDO ATUAL'!$A$3:$E$999,4,0),"")</f>
        <v>SOLUÇÕES</v>
      </c>
      <c r="E67" s="33" t="str">
        <f>IFERROR(VLOOKUP(B:B,'SALDO ATUAL'!$A$3:$E$505,5,0),"")</f>
        <v>019 - Litro</v>
      </c>
      <c r="F67" s="43">
        <v>1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23.25" customHeight="1">
      <c r="A68" s="29">
        <v>46100</v>
      </c>
      <c r="B68" s="19">
        <v>118</v>
      </c>
      <c r="C68" s="31" t="str">
        <f>IFERROR(VLOOKUP(B:B,'SALDO ATUAL'!$A$3:$E$505,3,0),"")</f>
        <v>ELETRODO DENSITY</v>
      </c>
      <c r="D68" s="32" t="str">
        <f>IFERROR(VLOOKUP(B:B,'SALDO ATUAL'!$A$3:$E$999,4,0),"")</f>
        <v>MATERIAIS DESCARTÁVEIS E APOIO</v>
      </c>
      <c r="E68" s="33" t="str">
        <f>IFERROR(VLOOKUP(B:B,'SALDO ATUAL'!$A$3:$E$505,5,0),"")</f>
        <v>036 - Unidade</v>
      </c>
      <c r="F68" s="43">
        <v>10</v>
      </c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23.25" customHeight="1">
      <c r="A69" s="29">
        <v>46100</v>
      </c>
      <c r="B69" s="19">
        <v>267</v>
      </c>
      <c r="C69" s="31" t="str">
        <f>IFERROR(VLOOKUP(B:B,'SALDO ATUAL'!$A$3:$E$505,3,0),"")</f>
        <v>PONTEIRA E TIP DENSITY</v>
      </c>
      <c r="D69" s="32" t="str">
        <f>IFERROR(VLOOKUP(B:B,'SALDO ATUAL'!$A$3:$E$999,4,0),"")</f>
        <v>PONTEIRA</v>
      </c>
      <c r="E69" s="33" t="str">
        <f>IFERROR(VLOOKUP(B:B,'SALDO ATUAL'!$A$3:$E$505,5,0),"")</f>
        <v>036-Unidade</v>
      </c>
      <c r="F69" s="43">
        <v>6</v>
      </c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23.25" customHeight="1">
      <c r="A70" s="29">
        <v>46100</v>
      </c>
      <c r="B70" s="19">
        <v>184</v>
      </c>
      <c r="C70" s="31" t="str">
        <f>IFERROR(VLOOKUP(B:B,'SALDO ATUAL'!$A$3:$E$505,3,0),"")</f>
        <v>FLUIDO DE ACOPLAMENTO DENSITY</v>
      </c>
      <c r="D70" s="32" t="str">
        <f>IFERROR(VLOOKUP(B:B,'SALDO ATUAL'!$A$3:$E$999,4,0),"")</f>
        <v>MATERIAIS DESCARTÁVEIS E APOIO</v>
      </c>
      <c r="E70" s="33">
        <f>IFERROR(VLOOKUP(B:B,'SALDO ATUAL'!$A$3:$E$505,5,0),"")</f>
        <v>0</v>
      </c>
      <c r="F70" s="43">
        <v>6</v>
      </c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23.25" customHeight="1">
      <c r="A71" s="29">
        <v>46100</v>
      </c>
      <c r="B71" s="19">
        <v>101</v>
      </c>
      <c r="C71" s="31" t="str">
        <f>IFERROR(VLOOKUP(B:B,'SALDO ATUAL'!$A$3:$E$505,3,0),"")</f>
        <v>CRIOGENIO DENSITY</v>
      </c>
      <c r="D71" s="32" t="str">
        <f>IFERROR(VLOOKUP(B:B,'SALDO ATUAL'!$A$3:$E$999,4,0),"")</f>
        <v>MATERIAIS DESCARTÁVEIS E APOIO</v>
      </c>
      <c r="E71" s="33" t="str">
        <f>IFERROR(VLOOKUP(B:B,'SALDO ATUAL'!$A$3:$E$505,5,0),"")</f>
        <v>018 - Grama</v>
      </c>
      <c r="F71" s="43">
        <v>2</v>
      </c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23.25" customHeight="1">
      <c r="A72" s="29">
        <v>46100</v>
      </c>
      <c r="B72" s="19">
        <v>413</v>
      </c>
      <c r="C72" s="31" t="str">
        <f>IFERROR(VLOOKUP(B:B,'SALDO ATUAL'!$A$3:$E$505,3,0),"")</f>
        <v>SERINGA PARA INSULINA 1 ML - MEDIX</v>
      </c>
      <c r="D72" s="32" t="str">
        <f>IFERROR(VLOOKUP(B:B,'SALDO ATUAL'!$A$3:$E$999,4,0),"")</f>
        <v>MATERIAIS DESCARTÁVEIS E APOIO</v>
      </c>
      <c r="E72" s="33" t="str">
        <f>IFERROR(VLOOKUP(B:B,'SALDO ATUAL'!$A$3:$E$505,5,0),"")</f>
        <v>036- Unidade</v>
      </c>
      <c r="F72" s="43">
        <v>100</v>
      </c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23.25" customHeight="1">
      <c r="A73" s="29">
        <v>46100</v>
      </c>
      <c r="B73" s="19">
        <v>414</v>
      </c>
      <c r="C73" s="31" t="str">
        <f>IFERROR(VLOOKUP(B:B,'SALDO ATUAL'!$A$3:$E$505,3,0),"")</f>
        <v>LAMINAS DESCARTÁVEIS PARA BISTURI - UNIQMED</v>
      </c>
      <c r="D73" s="32" t="str">
        <f>IFERROR(VLOOKUP(B:B,'SALDO ATUAL'!$A$3:$E$999,4,0),"")</f>
        <v>MATERIAIS DESCARTÁVEIS E APOIO</v>
      </c>
      <c r="E73" s="33" t="str">
        <f>IFERROR(VLOOKUP(B:B,'SALDO ATUAL'!$A$3:$E$505,5,0),"")</f>
        <v>036- Unidade</v>
      </c>
      <c r="F73" s="43">
        <v>100</v>
      </c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23.25" customHeight="1">
      <c r="A74" s="29">
        <v>46100</v>
      </c>
      <c r="B74" s="19">
        <v>415</v>
      </c>
      <c r="C74" s="31" t="str">
        <f>IFERROR(VLOOKUP(B:B,'SALDO ATUAL'!$A$3:$E$505,3,0),"")</f>
        <v>BANDEJA INOX</v>
      </c>
      <c r="D74" s="32" t="str">
        <f>IFERROR(VLOOKUP(B:B,'SALDO ATUAL'!$A$3:$E$999,4,0),"")</f>
        <v>ITEM OPERACIONAL</v>
      </c>
      <c r="E74" s="33" t="str">
        <f>IFERROR(VLOOKUP(B:B,'SALDO ATUAL'!$A$3:$E$505,5,0),"")</f>
        <v>036- Unidade</v>
      </c>
      <c r="F74" s="43">
        <v>1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23.25" customHeight="1">
      <c r="A75" s="29">
        <v>46100</v>
      </c>
      <c r="B75" s="19">
        <v>416</v>
      </c>
      <c r="C75" s="31" t="str">
        <f>IFERROR(VLOOKUP(B:B,'SALDO ATUAL'!$A$3:$E$505,3,0),"")</f>
        <v>MÁSCARA DE CARVÃO ESTHEMAX</v>
      </c>
      <c r="D75" s="32" t="str">
        <f>IFERROR(VLOOKUP(B:B,'SALDO ATUAL'!$A$3:$E$999,4,0),"")</f>
        <v>DERMOCOSMÉTICO E COSMÉTICO</v>
      </c>
      <c r="E75" s="33" t="str">
        <f>IFERROR(VLOOKUP(B:B,'SALDO ATUAL'!$A$3:$E$505,5,0),"")</f>
        <v>030 - Quilograma</v>
      </c>
      <c r="F75" s="43">
        <v>1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23.25" customHeight="1">
      <c r="A76" s="29">
        <v>46100</v>
      </c>
      <c r="B76" s="21" t="s">
        <v>477</v>
      </c>
      <c r="C76" s="31" t="str">
        <f>IFERROR(VLOOKUP(B:B,'SALDO ATUAL'!$A$3:$E$999,3,0),"")</f>
        <v>CILINDRO DE OXIGÊNIO - CARRINHO DE PARADA</v>
      </c>
      <c r="D76" s="32" t="str">
        <f>IFERROR(VLOOKUP(B:B,'SALDO ATUAL'!$A$3:$E$999,4,0),"")</f>
        <v>ITEM OPERACIONAL</v>
      </c>
      <c r="E76" s="33" t="str">
        <f>IFERROR(VLOOKUP(B:B,'SALDO ATUAL'!$A$3:$E$505,5,0),"")</f>
        <v>019 - Litro</v>
      </c>
      <c r="F76" s="43">
        <v>1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23.25" customHeight="1">
      <c r="A77" s="29">
        <v>46105</v>
      </c>
      <c r="B77" s="10">
        <v>275</v>
      </c>
      <c r="C77" s="31" t="str">
        <f>IFERROR(VLOOKUP(B:B,'SALDO ATUAL'!$A$3:$E$999,3,0),"")</f>
        <v>PROFHILO</v>
      </c>
      <c r="D77" s="32" t="str">
        <f>IFERROR(VLOOKUP(B:B,'SALDO ATUAL'!$A$3:$E$999,4,0),"")</f>
        <v>BIORREMODULADOR</v>
      </c>
      <c r="E77" s="33" t="str">
        <f>IFERROR(VLOOKUP(B:B,'SALDO ATUAL'!$A$3:$E$505,5,0),"")</f>
        <v>031- Seringa</v>
      </c>
      <c r="F77" s="43">
        <v>4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23.25" customHeight="1">
      <c r="A78" s="29">
        <v>46105</v>
      </c>
      <c r="B78" s="10">
        <v>323</v>
      </c>
      <c r="C78" s="31" t="str">
        <f>IFERROR(VLOOKUP(B:B,'SALDO ATUAL'!$A$3:$E$999,3,0),"")</f>
        <v xml:space="preserve">TESTE INDICADOR BIOLÓGICO </v>
      </c>
      <c r="D78" s="32" t="str">
        <f>IFERROR(VLOOKUP(B:B,'SALDO ATUAL'!$A$3:$E$999,4,0),"")</f>
        <v>ESTERELIZAÇÃO</v>
      </c>
      <c r="E78" s="33" t="str">
        <f>IFERROR(VLOOKUP(B:B,'SALDO ATUAL'!$A$3:$E$505,5,0),"")</f>
        <v>036- Unidade</v>
      </c>
      <c r="F78" s="43">
        <v>1</v>
      </c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23.25" customHeight="1">
      <c r="A79" s="29">
        <v>46105</v>
      </c>
      <c r="B79" s="19">
        <v>417</v>
      </c>
      <c r="C79" s="31" t="str">
        <f>IFERROR(VLOOKUP(B:B,'SALDO ATUAL'!$A$3:$E$999,3,0),"")</f>
        <v>MÁSCARA LARÍNGEA 4.0</v>
      </c>
      <c r="D79" s="32" t="str">
        <f>IFERROR(VLOOKUP(B:B,'SALDO ATUAL'!$A$3:$E$999,4,0),"")</f>
        <v>MATERIAIS DESCARTÁVEIS E APOIO</v>
      </c>
      <c r="E79" s="33" t="str">
        <f>IFERROR(VLOOKUP(B:B,'SALDO ATUAL'!$A$3:$E$505,5,0),"")</f>
        <v>036- Unidade</v>
      </c>
      <c r="F79" s="43">
        <v>1</v>
      </c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23.25" customHeight="1">
      <c r="A80" s="29">
        <v>46105</v>
      </c>
      <c r="B80" s="19">
        <v>418</v>
      </c>
      <c r="C80" s="31" t="str">
        <f>IFERROR(VLOOKUP(B:B,'SALDO ATUAL'!$A$3:$E$999,3,0),"")</f>
        <v>MÁSCARA LARÍNGEA 5.0</v>
      </c>
      <c r="D80" s="32" t="str">
        <f>IFERROR(VLOOKUP(B:B,'SALDO ATUAL'!$A$3:$E$999,4,0),"")</f>
        <v>MATERIAIS DESCARTÁVEIS E APOIO</v>
      </c>
      <c r="E80" s="33" t="str">
        <f>IFERROR(VLOOKUP(B:B,'SALDO ATUAL'!$A$3:$E$505,5,0),"")</f>
        <v>036- Unidade</v>
      </c>
      <c r="F80" s="43">
        <v>1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23.25" customHeight="1">
      <c r="A81" s="29">
        <v>46105</v>
      </c>
      <c r="B81" s="19">
        <v>419</v>
      </c>
      <c r="C81" s="31" t="str">
        <f>IFERROR(VLOOKUP(B:B,'SALDO ATUAL'!$A$3:$E$999,3,0),"")</f>
        <v>TUBO ENDOTRAQUEAL 6.5mm</v>
      </c>
      <c r="D81" s="32" t="str">
        <f>IFERROR(VLOOKUP(B:B,'SALDO ATUAL'!$A$3:$E$999,4,0),"")</f>
        <v>MATERIAIS DESCARTÁVEIS E APOIO</v>
      </c>
      <c r="E81" s="33" t="str">
        <f>IFERROR(VLOOKUP(B:B,'SALDO ATUAL'!$A$3:$E$505,5,0),"")</f>
        <v>036- Unidade</v>
      </c>
      <c r="F81" s="43">
        <v>1</v>
      </c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23.25" customHeight="1">
      <c r="A82" s="29">
        <v>46105</v>
      </c>
      <c r="B82" s="19">
        <v>420</v>
      </c>
      <c r="C82" s="31" t="str">
        <f>IFERROR(VLOOKUP(B:B,'SALDO ATUAL'!$A$3:$E$999,3,0),"")</f>
        <v xml:space="preserve">TUBO ENDOTRAQUEAL 8.0mm </v>
      </c>
      <c r="D82" s="32" t="str">
        <f>IFERROR(VLOOKUP(B:B,'SALDO ATUAL'!$A$3:$E$999,4,0),"")</f>
        <v>MATERIAIS DESCARTÁVEIS E APOIO</v>
      </c>
      <c r="E82" s="33" t="str">
        <f>IFERROR(VLOOKUP(B:B,'SALDO ATUAL'!$A$3:$E$505,5,0),"")</f>
        <v>036- Unidade</v>
      </c>
      <c r="F82" s="43">
        <v>1</v>
      </c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23.25" customHeight="1">
      <c r="A83" s="29">
        <v>46105</v>
      </c>
      <c r="B83" s="19">
        <v>421</v>
      </c>
      <c r="C83" s="31" t="str">
        <f>IFERROR(VLOOKUP(B:B,'SALDO ATUAL'!$A$3:$E$999,3,0),"")</f>
        <v xml:space="preserve">TUBO ENDOTRAQUEAL 7.0mm </v>
      </c>
      <c r="D83" s="32" t="str">
        <f>IFERROR(VLOOKUP(B:B,'SALDO ATUAL'!$A$3:$E$999,4,0),"")</f>
        <v>MATERIAIS DESCARTÁVEIS E APOIO</v>
      </c>
      <c r="E83" s="33" t="str">
        <f>IFERROR(VLOOKUP(B:B,'SALDO ATUAL'!$A$3:$E$505,5,0),"")</f>
        <v>036- Unidade</v>
      </c>
      <c r="F83" s="43">
        <v>1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23.25" customHeight="1">
      <c r="A84" s="29">
        <v>46105</v>
      </c>
      <c r="B84" s="19">
        <v>422</v>
      </c>
      <c r="C84" s="31" t="str">
        <f>IFERROR(VLOOKUP(B:B,'SALDO ATUAL'!$A$3:$E$999,3,0),"")</f>
        <v xml:space="preserve">TUBO ENDOTRAQUEAL 7.5mm </v>
      </c>
      <c r="D84" s="32" t="str">
        <f>IFERROR(VLOOKUP(B:B,'SALDO ATUAL'!$A$3:$E$999,4,0),"")</f>
        <v>MATERIAIS DESCARTÁVEIS E APOIO</v>
      </c>
      <c r="E84" s="33" t="str">
        <f>IFERROR(VLOOKUP(B:B,'SALDO ATUAL'!$A$3:$E$505,5,0),"")</f>
        <v>036- Unidade</v>
      </c>
      <c r="F84" s="43">
        <v>1</v>
      </c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23.25" customHeight="1">
      <c r="A85" s="29">
        <v>46105</v>
      </c>
      <c r="B85" s="19">
        <v>423</v>
      </c>
      <c r="C85" s="31" t="str">
        <f>IFERROR(VLOOKUP(B:B,'SALDO ATUAL'!$A$3:$E$999,3,0),"")</f>
        <v>CANULA DE GUEDEL TRANSPARENTE Nº4</v>
      </c>
      <c r="D85" s="32" t="str">
        <f>IFERROR(VLOOKUP(B:B,'SALDO ATUAL'!$A$3:$E$999,4,0),"")</f>
        <v>MATERIAIS DESCARTÁVEIS E APOIO</v>
      </c>
      <c r="E85" s="33" t="str">
        <f>IFERROR(VLOOKUP(B:B,'SALDO ATUAL'!$A$3:$E$505,5,0),"")</f>
        <v>036- Unidade</v>
      </c>
      <c r="F85" s="43">
        <v>1</v>
      </c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23.25" customHeight="1">
      <c r="A86" s="29">
        <v>46105</v>
      </c>
      <c r="B86" s="19">
        <v>424</v>
      </c>
      <c r="C86" s="31" t="str">
        <f>IFERROR(VLOOKUP(B:B,'SALDO ATUAL'!$A$3:$E$999,3,0),"")</f>
        <v>CANULA DE GUEDEL TRANSPARENTE Nº3</v>
      </c>
      <c r="D86" s="32" t="str">
        <f>IFERROR(VLOOKUP(B:B,'SALDO ATUAL'!$A$3:$E$999,4,0),"")</f>
        <v>MATERIAIS DESCARTÁVEIS E APOIO</v>
      </c>
      <c r="E86" s="33" t="str">
        <f>IFERROR(VLOOKUP(B:B,'SALDO ATUAL'!$A$3:$E$505,5,0),"")</f>
        <v>036- Unidade</v>
      </c>
      <c r="F86" s="43">
        <v>1</v>
      </c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23.25" customHeight="1">
      <c r="A87" s="29">
        <v>46105</v>
      </c>
      <c r="B87" s="19">
        <v>433</v>
      </c>
      <c r="C87" s="31" t="str">
        <f>IFERROR(VLOOKUP(B:B,'SALDO ATUAL'!$A$3:$E$999,3,0),"")</f>
        <v xml:space="preserve">APARELHO MEDIDOR DE GLICOSE </v>
      </c>
      <c r="D87" s="32" t="str">
        <f>IFERROR(VLOOKUP(B:B,'SALDO ATUAL'!$A$3:$E$999,4,0),"")</f>
        <v>EQUIPAMENTO</v>
      </c>
      <c r="E87" s="33" t="str">
        <f>IFERROR(VLOOKUP(B:B,'SALDO ATUAL'!$A$3:$E$505,5,0),"")</f>
        <v>036- Unidade</v>
      </c>
      <c r="F87" s="43">
        <v>1</v>
      </c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23.25" customHeight="1">
      <c r="A88" s="29">
        <v>46105</v>
      </c>
      <c r="B88" s="19">
        <v>434</v>
      </c>
      <c r="C88" s="31" t="str">
        <f>IFERROR(VLOOKUP(B:B,'SALDO ATUAL'!$A$3:$E$999,3,0),"")</f>
        <v>FITA MEDIDOR DE GLICOSE</v>
      </c>
      <c r="D88" s="32" t="str">
        <f>IFERROR(VLOOKUP(B:B,'SALDO ATUAL'!$A$3:$E$999,4,0),"")</f>
        <v>MATERIAIS DESCARTÁVEIS E APOIO</v>
      </c>
      <c r="E88" s="33" t="str">
        <f>IFERROR(VLOOKUP(B:B,'SALDO ATUAL'!$A$3:$E$505,5,0),"")</f>
        <v>036- Unidade</v>
      </c>
      <c r="F88" s="43">
        <v>10</v>
      </c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23.25" customHeight="1">
      <c r="A89" s="29">
        <v>46105</v>
      </c>
      <c r="B89" s="19">
        <v>435</v>
      </c>
      <c r="C89" s="31" t="str">
        <f>IFERROR(VLOOKUP(B:B,'SALDO ATUAL'!$A$3:$E$999,3,0),"")</f>
        <v xml:space="preserve">ESPARADRAPO </v>
      </c>
      <c r="D89" s="32" t="str">
        <f>IFERROR(VLOOKUP(B:B,'SALDO ATUAL'!$A$3:$E$999,4,0),"")</f>
        <v>MATERIAIS DESCARTÁVEIS E APOIO</v>
      </c>
      <c r="E89" s="33" t="str">
        <f>IFERROR(VLOOKUP(B:B,'SALDO ATUAL'!$A$3:$E$505,5,0),"")</f>
        <v>036- Unidade</v>
      </c>
      <c r="F89" s="43">
        <v>1</v>
      </c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23.25" customHeight="1">
      <c r="A90" s="29">
        <v>46105</v>
      </c>
      <c r="B90" s="19">
        <v>436</v>
      </c>
      <c r="C90" s="31" t="str">
        <f>IFERROR(VLOOKUP(B:B,'SALDO ATUAL'!$A$3:$E$999,3,0),"")</f>
        <v>CABO METAL LARINGOSCÓPIO</v>
      </c>
      <c r="D90" s="32" t="str">
        <f>IFERROR(VLOOKUP(B:B,'SALDO ATUAL'!$A$3:$E$999,4,0),"")</f>
        <v>EQUIPAMENTO</v>
      </c>
      <c r="E90" s="33" t="str">
        <f>IFERROR(VLOOKUP(B:B,'SALDO ATUAL'!$A$3:$E$505,5,0),"")</f>
        <v>036- Unidade</v>
      </c>
      <c r="F90" s="43">
        <v>1</v>
      </c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23.25" customHeight="1">
      <c r="A91" s="29">
        <v>46105</v>
      </c>
      <c r="B91" s="19">
        <v>438</v>
      </c>
      <c r="C91" s="31" t="str">
        <f>IFERROR(VLOOKUP(B:B,'SALDO ATUAL'!$A$3:$E$999,3,0),"")</f>
        <v>LÂMINA DE AÇO N5º</v>
      </c>
      <c r="D91" s="32" t="str">
        <f>IFERROR(VLOOKUP(B:B,'SALDO ATUAL'!$A$3:$E$999,4,0),"")</f>
        <v>EQUIPAMENTO</v>
      </c>
      <c r="E91" s="33" t="str">
        <f>IFERROR(VLOOKUP(B:B,'SALDO ATUAL'!$A$3:$E$505,5,0),"")</f>
        <v>036- Unidade</v>
      </c>
      <c r="F91" s="43">
        <v>1</v>
      </c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23.25" customHeight="1">
      <c r="A92" s="29">
        <v>46105</v>
      </c>
      <c r="B92" s="19">
        <v>439</v>
      </c>
      <c r="C92" s="31" t="str">
        <f>IFERROR(VLOOKUP(B:B,'SALDO ATUAL'!$A$3:$E$999,3,0),"")</f>
        <v>SERINGA 20ml</v>
      </c>
      <c r="D92" s="32" t="str">
        <f>IFERROR(VLOOKUP(B:B,'SALDO ATUAL'!$A$3:$E$999,4,0),"")</f>
        <v>MATERIAIS DESCARTÁVEIS E APOIO</v>
      </c>
      <c r="E92" s="33" t="str">
        <f>IFERROR(VLOOKUP(B:B,'SALDO ATUAL'!$A$3:$E$505,5,0),"")</f>
        <v>036- Unidade</v>
      </c>
      <c r="F92" s="43">
        <v>5</v>
      </c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23.25" customHeight="1">
      <c r="A93" s="29">
        <v>46105</v>
      </c>
      <c r="B93" s="19">
        <v>441</v>
      </c>
      <c r="C93" s="31" t="str">
        <f>IFERROR(VLOOKUP(B:B,'SALDO ATUAL'!$A$3:$E$999,3,0),"")</f>
        <v>CATETER 20G</v>
      </c>
      <c r="D93" s="32" t="str">
        <f>IFERROR(VLOOKUP(B:B,'SALDO ATUAL'!$A$3:$E$999,4,0),"")</f>
        <v>MATERIAIS DESCARTÁVEIS E APOIO</v>
      </c>
      <c r="E93" s="33" t="str">
        <f>IFERROR(VLOOKUP(B:B,'SALDO ATUAL'!$A$3:$E$505,5,0),"")</f>
        <v>036- Unidade</v>
      </c>
      <c r="F93" s="43">
        <v>2</v>
      </c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23.25" customHeight="1">
      <c r="A94" s="29">
        <v>46105</v>
      </c>
      <c r="B94" s="19">
        <v>442</v>
      </c>
      <c r="C94" s="31" t="str">
        <f>IFERROR(VLOOKUP(B:B,'SALDO ATUAL'!$A$3:$E$999,3,0),"")</f>
        <v>CATETER 18G</v>
      </c>
      <c r="D94" s="32" t="str">
        <f>IFERROR(VLOOKUP(B:B,'SALDO ATUAL'!$A$3:$E$999,4,0),"")</f>
        <v>MATERIAIS DESCARTÁVEIS E APOIO</v>
      </c>
      <c r="E94" s="33" t="str">
        <f>IFERROR(VLOOKUP(B:B,'SALDO ATUAL'!$A$3:$E$505,5,0),"")</f>
        <v>036- Unidade</v>
      </c>
      <c r="F94" s="43">
        <v>2</v>
      </c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23.25" customHeight="1">
      <c r="A95" s="29">
        <v>46105</v>
      </c>
      <c r="B95" s="19">
        <v>291</v>
      </c>
      <c r="C95" s="31" t="str">
        <f>IFERROR(VLOOKUP(B:B,'SALDO ATUAL'!$A$3:$E$505,3,0),"")</f>
        <v>SERINGA 1ML BD</v>
      </c>
      <c r="D95" s="32" t="str">
        <f>IFERROR(VLOOKUP(B:B,'SALDO ATUAL'!$A$3:$E$999,4,0),"")</f>
        <v>SERINGA</v>
      </c>
      <c r="E95" s="33" t="str">
        <f>IFERROR(VLOOKUP(B:B,'SALDO ATUAL'!$A$3:$E$505,5,0),"")</f>
        <v>036- Unidade</v>
      </c>
      <c r="F95" s="43">
        <v>5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23.25" customHeight="1">
      <c r="A96" s="29">
        <v>46105</v>
      </c>
      <c r="B96" s="19">
        <v>443</v>
      </c>
      <c r="C96" s="31" t="str">
        <f>IFERROR(VLOOKUP(B:B,'SALDO ATUAL'!$A$3:$E$505,3,0),"")</f>
        <v>LUVA ESTERIL 8.0</v>
      </c>
      <c r="D96" s="32" t="str">
        <f>IFERROR(VLOOKUP(B:B,'SALDO ATUAL'!$A$3:$E$999,4,0),"")</f>
        <v>MATERIAIS DESCARTÁVEIS E APOIO</v>
      </c>
      <c r="E96" s="33" t="str">
        <f>IFERROR(VLOOKUP(B:B,'SALDO ATUAL'!$A$3:$E$505,5,0),"")</f>
        <v>036- Unidade</v>
      </c>
      <c r="F96" s="43">
        <v>2</v>
      </c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23.25" customHeight="1">
      <c r="A97" s="29">
        <v>46111</v>
      </c>
      <c r="B97" s="19">
        <v>25</v>
      </c>
      <c r="C97" s="31" t="str">
        <f>IFERROR(VLOOKUP(B:B,'SALDO ATUAL'!$A$3:$E$505,3,0),"")</f>
        <v>AH BELOTERO INTENSE</v>
      </c>
      <c r="D97" s="32" t="str">
        <f>IFERROR(VLOOKUP(B:B,'SALDO ATUAL'!$A$3:$E$999,4,0),"")</f>
        <v>PREENCHEDOR</v>
      </c>
      <c r="E97" s="33" t="str">
        <f>IFERROR(VLOOKUP(B:B,'SALDO ATUAL'!$A$3:$E$505,5,0),"")</f>
        <v>023 - Mililitro</v>
      </c>
      <c r="F97" s="43">
        <v>2</v>
      </c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23.25" customHeight="1">
      <c r="A98" s="29">
        <v>46111</v>
      </c>
      <c r="B98" s="19">
        <v>26</v>
      </c>
      <c r="C98" s="31" t="str">
        <f>IFERROR(VLOOKUP(B:B,'SALDO ATUAL'!$A$3:$E$505,3,0),"")</f>
        <v>AH BELOTERO VOLUME</v>
      </c>
      <c r="D98" s="32" t="str">
        <f>IFERROR(VLOOKUP(B:B,'SALDO ATUAL'!$A$3:$E$999,4,0),"")</f>
        <v>PREENCHEDOR</v>
      </c>
      <c r="E98" s="33" t="str">
        <f>IFERROR(VLOOKUP(B:B,'SALDO ATUAL'!$A$3:$E$505,5,0),"")</f>
        <v>023 - Mililitro</v>
      </c>
      <c r="F98" s="43">
        <v>2</v>
      </c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23.25" customHeight="1">
      <c r="A99" s="29">
        <v>46125</v>
      </c>
      <c r="B99" s="19">
        <v>445</v>
      </c>
      <c r="C99" s="31" t="str">
        <f>IFERROR(VLOOKUP(B:B,'SALDO ATUAL'!$A$3:$E$505,3,0),"")</f>
        <v>CREME HIDRATANTE ANTIMANCHAS NIACINAMIDA CAUDALIE</v>
      </c>
      <c r="D99" s="32" t="str">
        <f>IFERROR(VLOOKUP(B:B,'SALDO ATUAL'!$A$3:$E$999,4,0),"")</f>
        <v>DERMOCOSMÉTICO E COSMÉTICO</v>
      </c>
      <c r="E99" s="33" t="str">
        <f>IFERROR(VLOOKUP(B:B,'SALDO ATUAL'!$A$3:$E$505,5,0),"")</f>
        <v>036- Unidade</v>
      </c>
      <c r="F99" s="43">
        <v>5</v>
      </c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23.25" customHeight="1">
      <c r="A100" s="29">
        <v>46125</v>
      </c>
      <c r="B100" s="19">
        <v>446</v>
      </c>
      <c r="C100" s="31" t="str">
        <f>IFERROR(VLOOKUP(B:B,'SALDO ATUAL'!$A$3:$E$505,3,0),"")</f>
        <v>ELIXIR DE BELEZA CAUDALIE</v>
      </c>
      <c r="D100" s="32" t="str">
        <f>IFERROR(VLOOKUP(B:B,'SALDO ATUAL'!$A$3:$E$999,4,0),"")</f>
        <v>DERMOCOSMÉTICO E COSMÉTICO</v>
      </c>
      <c r="E100" s="33" t="str">
        <f>IFERROR(VLOOKUP(B:B,'SALDO ATUAL'!$A$3:$E$505,5,0),"")</f>
        <v>036- Unidade</v>
      </c>
      <c r="F100" s="43">
        <v>4</v>
      </c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23.25" customHeight="1">
      <c r="A101" s="29">
        <v>46125</v>
      </c>
      <c r="B101" s="19">
        <v>447</v>
      </c>
      <c r="C101" s="31" t="str">
        <f>IFERROR(VLOOKUP(B:B,'SALDO ATUAL'!$A$3:$E$505,3,0),"")</f>
        <v>SÉRUM PRIMER CRU CAUDALIE</v>
      </c>
      <c r="D101" s="32" t="str">
        <f>IFERROR(VLOOKUP(B:B,'SALDO ATUAL'!$A$3:$E$999,4,0),"")</f>
        <v>DERMOCOSMÉTICO E COSMÉTICO</v>
      </c>
      <c r="E101" s="33" t="str">
        <f>IFERROR(VLOOKUP(B:B,'SALDO ATUAL'!$A$3:$E$505,5,0),"")</f>
        <v>036- Unidade</v>
      </c>
      <c r="F101" s="43">
        <v>5</v>
      </c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23.25" customHeight="1">
      <c r="A102" s="29">
        <v>46125</v>
      </c>
      <c r="B102" s="19">
        <v>448</v>
      </c>
      <c r="C102" s="31" t="str">
        <f>IFERROR(VLOOKUP(B:B,'SALDO ATUAL'!$A$3:$E$505,3,0),"")</f>
        <v>SÉRUM RESPLENDOR ANTIMANCHAS CAUDALIE</v>
      </c>
      <c r="D102" s="32" t="str">
        <f>IFERROR(VLOOKUP(B:B,'SALDO ATUAL'!$A$3:$E$999,4,0),"")</f>
        <v>DERMOCOSMÉTICO E COSMÉTICO</v>
      </c>
      <c r="E102" s="33" t="str">
        <f>IFERROR(VLOOKUP(B:B,'SALDO ATUAL'!$A$3:$E$505,5,0),"")</f>
        <v>036- Unidade</v>
      </c>
      <c r="F102" s="43">
        <v>8</v>
      </c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23.25" customHeight="1">
      <c r="A103" s="29"/>
      <c r="B103" s="19"/>
      <c r="C103" s="31" t="str">
        <f>IFERROR(VLOOKUP(B:B,'SALDO ATUAL'!$A$3:$E$505,3,0),"")</f>
        <v/>
      </c>
      <c r="D103" s="32" t="str">
        <f>IFERROR(VLOOKUP(B:B,'SALDO ATUAL'!$A$3:$E$999,4,0),"")</f>
        <v/>
      </c>
      <c r="E103" s="33" t="str">
        <f>IFERROR(VLOOKUP(B:B,'SALDO ATUAL'!$A$3:$E$505,5,0),"")</f>
        <v/>
      </c>
      <c r="F103" s="43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23.25" customHeight="1">
      <c r="A104" s="29"/>
      <c r="B104" s="19"/>
      <c r="C104" s="31" t="str">
        <f>IFERROR(VLOOKUP(B:B,'SALDO ATUAL'!$A$3:$E$505,3,0),"")</f>
        <v/>
      </c>
      <c r="D104" s="32" t="str">
        <f>IFERROR(VLOOKUP(B:B,'SALDO ATUAL'!$A$3:$E$999,4,0),"")</f>
        <v/>
      </c>
      <c r="E104" s="33" t="str">
        <f>IFERROR(VLOOKUP(B:B,'SALDO ATUAL'!$A$3:$E$505,5,0),"")</f>
        <v/>
      </c>
      <c r="F104" s="43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23.25" customHeight="1">
      <c r="A105" s="29"/>
      <c r="B105" s="19"/>
      <c r="C105" s="31" t="str">
        <f>IFERROR(VLOOKUP(B:B,'SALDO ATUAL'!$A$3:$E$505,3,0),"")</f>
        <v/>
      </c>
      <c r="D105" s="32" t="str">
        <f>IFERROR(VLOOKUP(B:B,'SALDO ATUAL'!$A$3:$E$999,4,0),"")</f>
        <v/>
      </c>
      <c r="E105" s="33" t="str">
        <f>IFERROR(VLOOKUP(B:B,'SALDO ATUAL'!$A$3:$E$505,5,0),"")</f>
        <v/>
      </c>
      <c r="F105" s="43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23.25" customHeight="1">
      <c r="A106" s="29"/>
      <c r="B106" s="19"/>
      <c r="C106" s="31" t="str">
        <f>IFERROR(VLOOKUP(B:B,'SALDO ATUAL'!$A$3:$E$505,3,0),"")</f>
        <v/>
      </c>
      <c r="D106" s="32" t="str">
        <f>IFERROR(VLOOKUP(B:B,'SALDO ATUAL'!$A$3:$E$999,4,0),"")</f>
        <v/>
      </c>
      <c r="E106" s="33" t="str">
        <f>IFERROR(VLOOKUP(B:B,'SALDO ATUAL'!$A$3:$E$505,5,0),"")</f>
        <v/>
      </c>
      <c r="F106" s="43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23.25" customHeight="1">
      <c r="A107" s="29"/>
      <c r="B107" s="19"/>
      <c r="C107" s="31" t="str">
        <f>IFERROR(VLOOKUP(B:B,'SALDO ATUAL'!$A$3:$E$505,3,0),"")</f>
        <v/>
      </c>
      <c r="D107" s="32" t="str">
        <f>IFERROR(VLOOKUP(B:B,'SALDO ATUAL'!$A$3:$E$999,4,0),"")</f>
        <v/>
      </c>
      <c r="E107" s="33" t="str">
        <f>IFERROR(VLOOKUP(B:B,'SALDO ATUAL'!$A$3:$E$505,5,0),"")</f>
        <v/>
      </c>
      <c r="F107" s="43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23.25" customHeight="1">
      <c r="A108" s="29"/>
      <c r="B108" s="19"/>
      <c r="C108" s="31" t="str">
        <f>IFERROR(VLOOKUP(B:B,'SALDO ATUAL'!$A$3:$E$505,3,0),"")</f>
        <v/>
      </c>
      <c r="D108" s="32" t="str">
        <f>IFERROR(VLOOKUP(B:B,'SALDO ATUAL'!$A$3:$E$999,4,0),"")</f>
        <v/>
      </c>
      <c r="E108" s="33" t="str">
        <f>IFERROR(VLOOKUP(B:B,'SALDO ATUAL'!$A$3:$E$505,5,0),"")</f>
        <v/>
      </c>
      <c r="F108" s="43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23.25" customHeight="1">
      <c r="A109" s="29"/>
      <c r="B109" s="19"/>
      <c r="C109" s="31" t="str">
        <f>IFERROR(VLOOKUP(B:B,'SALDO ATUAL'!$A$3:$E$505,3,0),"")</f>
        <v/>
      </c>
      <c r="D109" s="32" t="str">
        <f>IFERROR(VLOOKUP(B:B,'SALDO ATUAL'!$A$3:$E$999,4,0),"")</f>
        <v/>
      </c>
      <c r="E109" s="33" t="str">
        <f>IFERROR(VLOOKUP(B:B,'SALDO ATUAL'!$A$3:$E$505,5,0),"")</f>
        <v/>
      </c>
      <c r="F109" s="43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23.25" customHeight="1">
      <c r="A110" s="29"/>
      <c r="B110" s="19"/>
      <c r="C110" s="31" t="str">
        <f>IFERROR(VLOOKUP(B:B,'SALDO ATUAL'!$A$3:$E$505,3,0),"")</f>
        <v/>
      </c>
      <c r="D110" s="32" t="str">
        <f>IFERROR(VLOOKUP(B:B,'SALDO ATUAL'!$A$3:$E$999,4,0),"")</f>
        <v/>
      </c>
      <c r="E110" s="33" t="str">
        <f>IFERROR(VLOOKUP(B:B,'SALDO ATUAL'!$A$3:$E$505,5,0),"")</f>
        <v/>
      </c>
      <c r="F110" s="43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23.25" customHeight="1">
      <c r="A111" s="29"/>
      <c r="B111" s="19"/>
      <c r="C111" s="31" t="str">
        <f>IFERROR(VLOOKUP(B:B,'SALDO ATUAL'!$A$3:$E$505,3,0),"")</f>
        <v/>
      </c>
      <c r="D111" s="32" t="str">
        <f>IFERROR(VLOOKUP(B:B,'SALDO ATUAL'!$A$3:$E$999,4,0),"")</f>
        <v/>
      </c>
      <c r="E111" s="33" t="str">
        <f>IFERROR(VLOOKUP(B:B,'SALDO ATUAL'!$A$3:$E$505,5,0),"")</f>
        <v/>
      </c>
      <c r="F111" s="43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23.25" customHeight="1">
      <c r="A112" s="29"/>
      <c r="B112" s="19"/>
      <c r="C112" s="31" t="str">
        <f>IFERROR(VLOOKUP(B:B,'SALDO ATUAL'!$A$3:$E$505,3,0),"")</f>
        <v/>
      </c>
      <c r="D112" s="32" t="str">
        <f>IFERROR(VLOOKUP(B:B,'SALDO ATUAL'!$A$3:$E$999,4,0),"")</f>
        <v/>
      </c>
      <c r="E112" s="33" t="str">
        <f>IFERROR(VLOOKUP(B:B,'SALDO ATUAL'!$A$3:$E$505,5,0),"")</f>
        <v/>
      </c>
      <c r="F112" s="43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23.25" customHeight="1">
      <c r="A113" s="29"/>
      <c r="B113" s="19"/>
      <c r="C113" s="31" t="str">
        <f>IFERROR(VLOOKUP(B:B,'SALDO ATUAL'!$A$3:$E$505,3,0),"")</f>
        <v/>
      </c>
      <c r="D113" s="32" t="str">
        <f>IFERROR(VLOOKUP(B:B,'SALDO ATUAL'!$A$3:$E$999,4,0),"")</f>
        <v/>
      </c>
      <c r="E113" s="33" t="str">
        <f>IFERROR(VLOOKUP(B:B,'SALDO ATUAL'!$A$3:$E$505,5,0),"")</f>
        <v/>
      </c>
      <c r="F113" s="43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23.25" customHeight="1">
      <c r="A114" s="29"/>
      <c r="B114" s="19"/>
      <c r="C114" s="31" t="str">
        <f>IFERROR(VLOOKUP(B:B,'SALDO ATUAL'!$A$3:$E$505,3,0),"")</f>
        <v/>
      </c>
      <c r="D114" s="32" t="str">
        <f>IFERROR(VLOOKUP(B:B,'SALDO ATUAL'!$A$3:$E$999,4,0),"")</f>
        <v/>
      </c>
      <c r="E114" s="33" t="str">
        <f>IFERROR(VLOOKUP(B:B,'SALDO ATUAL'!$A$3:$E$505,5,0),"")</f>
        <v/>
      </c>
      <c r="F114" s="43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23.25" customHeight="1">
      <c r="A115" s="29"/>
      <c r="B115" s="19"/>
      <c r="C115" s="31" t="str">
        <f>IFERROR(VLOOKUP(B:B,'SALDO ATUAL'!$A$3:$E$505,3,0),"")</f>
        <v/>
      </c>
      <c r="D115" s="32" t="str">
        <f>IFERROR(VLOOKUP(B:B,'SALDO ATUAL'!$A$3:$E$999,4,0),"")</f>
        <v/>
      </c>
      <c r="E115" s="33" t="str">
        <f>IFERROR(VLOOKUP(B:B,'SALDO ATUAL'!$A$3:$E$505,5,0),"")</f>
        <v/>
      </c>
      <c r="F115" s="43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23.25" customHeight="1">
      <c r="A116" s="29"/>
      <c r="B116" s="19"/>
      <c r="C116" s="31" t="str">
        <f>IFERROR(VLOOKUP(B:B,'SALDO ATUAL'!$A$3:$E$505,3,0),"")</f>
        <v/>
      </c>
      <c r="D116" s="32" t="str">
        <f>IFERROR(VLOOKUP(B:B,'SALDO ATUAL'!$A$3:$E$999,4,0),"")</f>
        <v/>
      </c>
      <c r="E116" s="33" t="str">
        <f>IFERROR(VLOOKUP(B:B,'SALDO ATUAL'!$A$3:$E$505,5,0),"")</f>
        <v/>
      </c>
      <c r="F116" s="43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23.25" customHeight="1">
      <c r="A117" s="29"/>
      <c r="B117" s="19"/>
      <c r="C117" s="31" t="str">
        <f>IFERROR(VLOOKUP(B:B,'SALDO ATUAL'!$A$3:$E$505,3,0),"")</f>
        <v/>
      </c>
      <c r="D117" s="32" t="str">
        <f>IFERROR(VLOOKUP(B:B,'SALDO ATUAL'!$A$3:$E$999,4,0),"")</f>
        <v/>
      </c>
      <c r="E117" s="33" t="str">
        <f>IFERROR(VLOOKUP(B:B,'SALDO ATUAL'!$A$3:$E$505,5,0),"")</f>
        <v/>
      </c>
      <c r="F117" s="43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23.25" customHeight="1">
      <c r="A118" s="29"/>
      <c r="B118" s="19"/>
      <c r="C118" s="31" t="str">
        <f>IFERROR(VLOOKUP(B:B,'SALDO ATUAL'!$A$3:$E$505,3,0),"")</f>
        <v/>
      </c>
      <c r="D118" s="32" t="str">
        <f>IFERROR(VLOOKUP(B:B,'SALDO ATUAL'!$A$3:$E$999,4,0),"")</f>
        <v/>
      </c>
      <c r="E118" s="33" t="str">
        <f>IFERROR(VLOOKUP(B:B,'SALDO ATUAL'!$A$3:$E$505,5,0),"")</f>
        <v/>
      </c>
      <c r="F118" s="43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23.25" customHeight="1">
      <c r="A119" s="29"/>
      <c r="B119" s="19"/>
      <c r="C119" s="31" t="str">
        <f>IFERROR(VLOOKUP(B:B,'SALDO ATUAL'!$A$3:$E$505,3,0),"")</f>
        <v/>
      </c>
      <c r="D119" s="32" t="str">
        <f>IFERROR(VLOOKUP(B:B,'SALDO ATUAL'!$A$3:$E$999,4,0),"")</f>
        <v/>
      </c>
      <c r="E119" s="33" t="str">
        <f>IFERROR(VLOOKUP(B:B,'SALDO ATUAL'!$A$3:$E$505,5,0),"")</f>
        <v/>
      </c>
      <c r="F119" s="43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23.25" customHeight="1">
      <c r="A120" s="29"/>
      <c r="B120" s="19"/>
      <c r="C120" s="31" t="str">
        <f>IFERROR(VLOOKUP(B:B,'SALDO ATUAL'!$A$3:$E$505,3,0),"")</f>
        <v/>
      </c>
      <c r="D120" s="32" t="str">
        <f>IFERROR(VLOOKUP(B:B,'SALDO ATUAL'!$A$3:$E$999,4,0),"")</f>
        <v/>
      </c>
      <c r="E120" s="33" t="str">
        <f>IFERROR(VLOOKUP(B:B,'SALDO ATUAL'!$A$3:$E$505,5,0),"")</f>
        <v/>
      </c>
      <c r="F120" s="43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23.25" customHeight="1">
      <c r="A121" s="29"/>
      <c r="B121" s="19"/>
      <c r="C121" s="31" t="str">
        <f>IFERROR(VLOOKUP(B:B,'SALDO ATUAL'!$A$3:$E$505,3,0),"")</f>
        <v/>
      </c>
      <c r="D121" s="32" t="str">
        <f>IFERROR(VLOOKUP(B:B,'SALDO ATUAL'!$A$3:$E$999,4,0),"")</f>
        <v/>
      </c>
      <c r="E121" s="33" t="str">
        <f>IFERROR(VLOOKUP(B:B,'SALDO ATUAL'!$A$3:$E$505,5,0),"")</f>
        <v/>
      </c>
      <c r="F121" s="43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23.25" customHeight="1">
      <c r="A122" s="29"/>
      <c r="B122" s="19"/>
      <c r="C122" s="31" t="str">
        <f>IFERROR(VLOOKUP(B:B,'SALDO ATUAL'!$A$3:$E$505,3,0),"")</f>
        <v/>
      </c>
      <c r="D122" s="32" t="str">
        <f>IFERROR(VLOOKUP(B:B,'SALDO ATUAL'!$A$3:$E$999,4,0),"")</f>
        <v/>
      </c>
      <c r="E122" s="33" t="str">
        <f>IFERROR(VLOOKUP(B:B,'SALDO ATUAL'!$A$3:$E$505,5,0),"")</f>
        <v/>
      </c>
      <c r="F122" s="43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23.25" customHeight="1">
      <c r="A123" s="29"/>
      <c r="B123" s="19"/>
      <c r="C123" s="31" t="str">
        <f>IFERROR(VLOOKUP(B:B,'SALDO ATUAL'!$A$3:$E$505,3,0),"")</f>
        <v/>
      </c>
      <c r="D123" s="32" t="str">
        <f>IFERROR(VLOOKUP(B:B,'SALDO ATUAL'!$A$3:$E$999,4,0),"")</f>
        <v/>
      </c>
      <c r="E123" s="33" t="str">
        <f>IFERROR(VLOOKUP(B:B,'SALDO ATUAL'!$A$3:$E$505,5,0),"")</f>
        <v/>
      </c>
      <c r="F123" s="43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23.25" customHeight="1">
      <c r="A124" s="29"/>
      <c r="B124" s="19"/>
      <c r="C124" s="31" t="str">
        <f>IFERROR(VLOOKUP(B:B,'SALDO ATUAL'!$A$3:$E$505,3,0),"")</f>
        <v/>
      </c>
      <c r="D124" s="32" t="str">
        <f>IFERROR(VLOOKUP(B:B,'SALDO ATUAL'!$A$3:$E$999,4,0),"")</f>
        <v/>
      </c>
      <c r="E124" s="33" t="str">
        <f>IFERROR(VLOOKUP(B:B,'SALDO ATUAL'!$A$3:$E$505,5,0),"")</f>
        <v/>
      </c>
      <c r="F124" s="43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23.25" customHeight="1">
      <c r="A125" s="29"/>
      <c r="B125" s="19"/>
      <c r="C125" s="31" t="str">
        <f>IFERROR(VLOOKUP(B:B,'SALDO ATUAL'!$A$3:$E$505,3,0),"")</f>
        <v/>
      </c>
      <c r="D125" s="32" t="str">
        <f>IFERROR(VLOOKUP(B:B,'SALDO ATUAL'!$A$3:$E$999,4,0),"")</f>
        <v/>
      </c>
      <c r="E125" s="33" t="str">
        <f>IFERROR(VLOOKUP(B:B,'SALDO ATUAL'!$A$3:$E$505,5,0),"")</f>
        <v/>
      </c>
      <c r="F125" s="43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23.25" customHeight="1">
      <c r="A126" s="29"/>
      <c r="B126" s="19"/>
      <c r="C126" s="31" t="str">
        <f>IFERROR(VLOOKUP(B:B,'SALDO ATUAL'!$A$3:$E$505,3,0),"")</f>
        <v/>
      </c>
      <c r="D126" s="32" t="str">
        <f>IFERROR(VLOOKUP(B:B,'SALDO ATUAL'!$A$3:$E$999,4,0),"")</f>
        <v/>
      </c>
      <c r="E126" s="33" t="str">
        <f>IFERROR(VLOOKUP(B:B,'SALDO ATUAL'!$A$3:$E$505,5,0),"")</f>
        <v/>
      </c>
      <c r="F126" s="43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23.25" customHeight="1">
      <c r="A127" s="29"/>
      <c r="B127" s="19"/>
      <c r="C127" s="31" t="str">
        <f>IFERROR(VLOOKUP(B:B,'SALDO ATUAL'!$A$3:$E$505,3,0),"")</f>
        <v/>
      </c>
      <c r="D127" s="32" t="str">
        <f>IFERROR(VLOOKUP(B:B,'SALDO ATUAL'!$A$3:$E$999,4,0),"")</f>
        <v/>
      </c>
      <c r="E127" s="33" t="str">
        <f>IFERROR(VLOOKUP(B:B,'SALDO ATUAL'!$A$3:$E$505,5,0),"")</f>
        <v/>
      </c>
      <c r="F127" s="43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23.25" customHeight="1">
      <c r="A128" s="29"/>
      <c r="B128" s="19"/>
      <c r="C128" s="31" t="str">
        <f>IFERROR(VLOOKUP(B:B,'SALDO ATUAL'!$A$3:$E$505,3,0),"")</f>
        <v/>
      </c>
      <c r="D128" s="32" t="str">
        <f>IFERROR(VLOOKUP(B:B,'SALDO ATUAL'!$A$3:$E$999,4,0),"")</f>
        <v/>
      </c>
      <c r="E128" s="33" t="str">
        <f>IFERROR(VLOOKUP(B:B,'SALDO ATUAL'!$A$3:$E$505,5,0),"")</f>
        <v/>
      </c>
      <c r="F128" s="43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23.25" customHeight="1">
      <c r="A129" s="29"/>
      <c r="B129" s="19"/>
      <c r="C129" s="31" t="str">
        <f>IFERROR(VLOOKUP(B:B,'SALDO ATUAL'!$A$3:$E$505,3,0),"")</f>
        <v/>
      </c>
      <c r="D129" s="32" t="str">
        <f>IFERROR(VLOOKUP(B:B,'SALDO ATUAL'!$A$3:$E$999,4,0),"")</f>
        <v/>
      </c>
      <c r="E129" s="33" t="str">
        <f>IFERROR(VLOOKUP(B:B,'SALDO ATUAL'!$A$3:$E$505,5,0),"")</f>
        <v/>
      </c>
      <c r="F129" s="43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23.25" customHeight="1">
      <c r="A130" s="29"/>
      <c r="B130" s="19"/>
      <c r="C130" s="31" t="str">
        <f>IFERROR(VLOOKUP(B:B,'SALDO ATUAL'!$A$3:$E$505,3,0),"")</f>
        <v/>
      </c>
      <c r="D130" s="32" t="str">
        <f>IFERROR(VLOOKUP(B:B,'SALDO ATUAL'!$A$3:$E$999,4,0),"")</f>
        <v/>
      </c>
      <c r="E130" s="33" t="str">
        <f>IFERROR(VLOOKUP(B:B,'SALDO ATUAL'!$A$3:$E$505,5,0),"")</f>
        <v/>
      </c>
      <c r="F130" s="43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23.25" customHeight="1">
      <c r="A131" s="29"/>
      <c r="B131" s="19"/>
      <c r="C131" s="31" t="str">
        <f>IFERROR(VLOOKUP(B:B,'SALDO ATUAL'!$A$3:$E$505,3,0),"")</f>
        <v/>
      </c>
      <c r="D131" s="32" t="str">
        <f>IFERROR(VLOOKUP(B:B,'SALDO ATUAL'!$A$3:$E$999,4,0),"")</f>
        <v/>
      </c>
      <c r="E131" s="33" t="str">
        <f>IFERROR(VLOOKUP(B:B,'SALDO ATUAL'!$A$3:$E$505,5,0),"")</f>
        <v/>
      </c>
      <c r="F131" s="43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23.25" customHeight="1">
      <c r="A132" s="29"/>
      <c r="B132" s="19"/>
      <c r="C132" s="31" t="str">
        <f>IFERROR(VLOOKUP(B:B,'SALDO ATUAL'!$A$3:$E$505,3,0),"")</f>
        <v/>
      </c>
      <c r="D132" s="32" t="str">
        <f>IFERROR(VLOOKUP(B:B,'SALDO ATUAL'!$A$3:$E$999,4,0),"")</f>
        <v/>
      </c>
      <c r="E132" s="33" t="str">
        <f>IFERROR(VLOOKUP(B:B,'SALDO ATUAL'!$A$3:$E$505,5,0),"")</f>
        <v/>
      </c>
      <c r="F132" s="43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23.25" customHeight="1">
      <c r="A133" s="29"/>
      <c r="B133" s="19"/>
      <c r="C133" s="31" t="str">
        <f>IFERROR(VLOOKUP(B:B,'SALDO ATUAL'!$A$3:$E$505,3,0),"")</f>
        <v/>
      </c>
      <c r="D133" s="32" t="str">
        <f>IFERROR(VLOOKUP(B:B,'SALDO ATUAL'!$A$3:$E$999,4,0),"")</f>
        <v/>
      </c>
      <c r="E133" s="33" t="str">
        <f>IFERROR(VLOOKUP(B:B,'SALDO ATUAL'!$A$3:$E$505,5,0),"")</f>
        <v/>
      </c>
      <c r="F133" s="43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23.25" customHeight="1">
      <c r="A134" s="29"/>
      <c r="B134" s="19"/>
      <c r="C134" s="31" t="str">
        <f>IFERROR(VLOOKUP(B:B,'SALDO ATUAL'!$A$3:$E$505,3,0),"")</f>
        <v/>
      </c>
      <c r="D134" s="32" t="str">
        <f>IFERROR(VLOOKUP(B:B,'SALDO ATUAL'!$A$3:$E$999,4,0),"")</f>
        <v/>
      </c>
      <c r="E134" s="33" t="str">
        <f>IFERROR(VLOOKUP(B:B,'SALDO ATUAL'!$A$3:$E$505,5,0),"")</f>
        <v/>
      </c>
      <c r="F134" s="43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23.25" customHeight="1">
      <c r="A135" s="29"/>
      <c r="B135" s="19"/>
      <c r="C135" s="31" t="str">
        <f>IFERROR(VLOOKUP(B:B,'SALDO ATUAL'!$A$3:$E$505,3,0),"")</f>
        <v/>
      </c>
      <c r="D135" s="32" t="str">
        <f>IFERROR(VLOOKUP(B:B,'SALDO ATUAL'!$A$3:$E$999,4,0),"")</f>
        <v/>
      </c>
      <c r="E135" s="33" t="str">
        <f>IFERROR(VLOOKUP(B:B,'SALDO ATUAL'!$A$3:$E$505,5,0),"")</f>
        <v/>
      </c>
      <c r="F135" s="43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23.25" customHeight="1">
      <c r="A136" s="29"/>
      <c r="B136" s="19"/>
      <c r="C136" s="31" t="str">
        <f>IFERROR(VLOOKUP(B:B,'SALDO ATUAL'!$A$3:$E$505,3,0),"")</f>
        <v/>
      </c>
      <c r="D136" s="32" t="str">
        <f>IFERROR(VLOOKUP(B:B,'SALDO ATUAL'!$A$3:$E$999,4,0),"")</f>
        <v/>
      </c>
      <c r="E136" s="33" t="str">
        <f>IFERROR(VLOOKUP(B:B,'SALDO ATUAL'!$A$3:$E$505,5,0),"")</f>
        <v/>
      </c>
      <c r="F136" s="43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23.25" customHeight="1">
      <c r="A137" s="29"/>
      <c r="B137" s="19"/>
      <c r="C137" s="31" t="str">
        <f>IFERROR(VLOOKUP(B:B,'SALDO ATUAL'!$A$3:$E$505,3,0),"")</f>
        <v/>
      </c>
      <c r="D137" s="32" t="str">
        <f>IFERROR(VLOOKUP(B:B,'SALDO ATUAL'!$A$3:$E$999,4,0),"")</f>
        <v/>
      </c>
      <c r="E137" s="33" t="str">
        <f>IFERROR(VLOOKUP(B:B,'SALDO ATUAL'!$A$3:$E$505,5,0),"")</f>
        <v/>
      </c>
      <c r="F137" s="43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23.25" customHeight="1">
      <c r="A138" s="29"/>
      <c r="B138" s="19"/>
      <c r="C138" s="31" t="str">
        <f>IFERROR(VLOOKUP(B:B,'SALDO ATUAL'!$A$3:$E$505,3,0),"")</f>
        <v/>
      </c>
      <c r="D138" s="32" t="str">
        <f>IFERROR(VLOOKUP(B:B,'SALDO ATUAL'!$A$3:$E$999,4,0),"")</f>
        <v/>
      </c>
      <c r="E138" s="33" t="str">
        <f>IFERROR(VLOOKUP(B:B,'SALDO ATUAL'!$A$3:$E$505,5,0),"")</f>
        <v/>
      </c>
      <c r="F138" s="43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23.25" customHeight="1">
      <c r="A139" s="29"/>
      <c r="B139" s="19"/>
      <c r="C139" s="31" t="str">
        <f>IFERROR(VLOOKUP(B:B,'SALDO ATUAL'!$A$3:$E$505,3,0),"")</f>
        <v/>
      </c>
      <c r="D139" s="32" t="str">
        <f>IFERROR(VLOOKUP(B:B,'SALDO ATUAL'!$A$3:$E$999,4,0),"")</f>
        <v/>
      </c>
      <c r="E139" s="33" t="str">
        <f>IFERROR(VLOOKUP(B:B,'SALDO ATUAL'!$A$3:$E$505,5,0),"")</f>
        <v/>
      </c>
      <c r="F139" s="43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23.25" customHeight="1">
      <c r="A140" s="29"/>
      <c r="B140" s="19"/>
      <c r="C140" s="31" t="str">
        <f>IFERROR(VLOOKUP(B:B,'SALDO ATUAL'!$A$3:$E$505,3,0),"")</f>
        <v/>
      </c>
      <c r="D140" s="32" t="str">
        <f>IFERROR(VLOOKUP(B:B,'SALDO ATUAL'!$A$3:$E$999,4,0),"")</f>
        <v/>
      </c>
      <c r="E140" s="33" t="str">
        <f>IFERROR(VLOOKUP(B:B,'SALDO ATUAL'!$A$3:$E$505,5,0),"")</f>
        <v/>
      </c>
      <c r="F140" s="43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23.25" customHeight="1">
      <c r="A141" s="29"/>
      <c r="B141" s="19"/>
      <c r="C141" s="31" t="str">
        <f>IFERROR(VLOOKUP(B:B,'SALDO ATUAL'!$A$3:$E$505,3,0),"")</f>
        <v/>
      </c>
      <c r="D141" s="32" t="str">
        <f>IFERROR(VLOOKUP(B:B,'SALDO ATUAL'!$A$3:$E$999,4,0),"")</f>
        <v/>
      </c>
      <c r="E141" s="33" t="str">
        <f>IFERROR(VLOOKUP(B:B,'SALDO ATUAL'!$A$3:$E$505,5,0),"")</f>
        <v/>
      </c>
      <c r="F141" s="43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23.25" customHeight="1">
      <c r="A142" s="29"/>
      <c r="B142" s="19"/>
      <c r="C142" s="31" t="str">
        <f>IFERROR(VLOOKUP(B:B,'SALDO ATUAL'!$A$3:$E$505,3,0),"")</f>
        <v/>
      </c>
      <c r="D142" s="32" t="str">
        <f>IFERROR(VLOOKUP(B:B,'SALDO ATUAL'!$A$3:$E$999,4,0),"")</f>
        <v/>
      </c>
      <c r="E142" s="33" t="str">
        <f>IFERROR(VLOOKUP(B:B,'SALDO ATUAL'!$A$3:$E$505,5,0),"")</f>
        <v/>
      </c>
      <c r="F142" s="43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23.25" customHeight="1">
      <c r="A143" s="29"/>
      <c r="B143" s="19"/>
      <c r="C143" s="31" t="str">
        <f>IFERROR(VLOOKUP(B:B,'SALDO ATUAL'!$A$3:$E$505,3,0),"")</f>
        <v/>
      </c>
      <c r="D143" s="32" t="str">
        <f>IFERROR(VLOOKUP(B:B,'SALDO ATUAL'!$A$3:$E$999,4,0),"")</f>
        <v/>
      </c>
      <c r="E143" s="33" t="str">
        <f>IFERROR(VLOOKUP(B:B,'SALDO ATUAL'!$A$3:$E$505,5,0),"")</f>
        <v/>
      </c>
      <c r="F143" s="43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23.25" customHeight="1">
      <c r="A144" s="29"/>
      <c r="B144" s="19"/>
      <c r="C144" s="31" t="str">
        <f>IFERROR(VLOOKUP(B:B,'SALDO ATUAL'!$A$3:$E$505,3,0),"")</f>
        <v/>
      </c>
      <c r="D144" s="32" t="str">
        <f>IFERROR(VLOOKUP(B:B,'SALDO ATUAL'!$A$3:$E$999,4,0),"")</f>
        <v/>
      </c>
      <c r="E144" s="33" t="str">
        <f>IFERROR(VLOOKUP(B:B,'SALDO ATUAL'!$A$3:$E$505,5,0),"")</f>
        <v/>
      </c>
      <c r="F144" s="43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23.25" customHeight="1">
      <c r="A145" s="29"/>
      <c r="B145" s="19"/>
      <c r="C145" s="31" t="str">
        <f>IFERROR(VLOOKUP(B:B,'SALDO ATUAL'!$A$3:$E$505,3,0),"")</f>
        <v/>
      </c>
      <c r="D145" s="32" t="str">
        <f>IFERROR(VLOOKUP(B:B,'SALDO ATUAL'!$A$3:$E$999,4,0),"")</f>
        <v/>
      </c>
      <c r="E145" s="33" t="str">
        <f>IFERROR(VLOOKUP(B:B,'SALDO ATUAL'!$A$3:$E$505,5,0),"")</f>
        <v/>
      </c>
      <c r="F145" s="43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23.25" customHeight="1">
      <c r="A146" s="29"/>
      <c r="B146" s="19"/>
      <c r="C146" s="31" t="str">
        <f>IFERROR(VLOOKUP(B:B,'SALDO ATUAL'!$A$3:$E$505,3,0),"")</f>
        <v/>
      </c>
      <c r="D146" s="32" t="str">
        <f>IFERROR(VLOOKUP(B:B,'SALDO ATUAL'!$A$3:$E$999,4,0),"")</f>
        <v/>
      </c>
      <c r="E146" s="33" t="str">
        <f>IFERROR(VLOOKUP(B:B,'SALDO ATUAL'!$A$3:$E$505,5,0),"")</f>
        <v/>
      </c>
      <c r="F146" s="43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23.25" customHeight="1">
      <c r="A147" s="29"/>
      <c r="B147" s="19"/>
      <c r="C147" s="31" t="str">
        <f>IFERROR(VLOOKUP(B:B,'SALDO ATUAL'!$A$3:$E$505,3,0),"")</f>
        <v/>
      </c>
      <c r="D147" s="32" t="str">
        <f>IFERROR(VLOOKUP(B:B,'SALDO ATUAL'!$A$3:$E$999,4,0),"")</f>
        <v/>
      </c>
      <c r="E147" s="33" t="str">
        <f>IFERROR(VLOOKUP(B:B,'SALDO ATUAL'!$A$3:$E$505,5,0),"")</f>
        <v/>
      </c>
      <c r="F147" s="43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23.25" customHeight="1">
      <c r="A148" s="29"/>
      <c r="B148" s="19"/>
      <c r="C148" s="31" t="str">
        <f>IFERROR(VLOOKUP(B:B,'SALDO ATUAL'!$A$3:$E$505,3,0),"")</f>
        <v/>
      </c>
      <c r="D148" s="32" t="str">
        <f>IFERROR(VLOOKUP(B:B,'SALDO ATUAL'!$A$3:$E$999,4,0),"")</f>
        <v/>
      </c>
      <c r="E148" s="33" t="str">
        <f>IFERROR(VLOOKUP(B:B,'SALDO ATUAL'!$A$3:$E$505,5,0),"")</f>
        <v/>
      </c>
      <c r="F148" s="43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23.25" customHeight="1">
      <c r="A149" s="29"/>
      <c r="B149" s="19"/>
      <c r="C149" s="31" t="str">
        <f>IFERROR(VLOOKUP(B:B,'SALDO ATUAL'!$A$3:$E$505,3,0),"")</f>
        <v/>
      </c>
      <c r="D149" s="32" t="str">
        <f>IFERROR(VLOOKUP(B:B,'SALDO ATUAL'!$A$3:$E$999,4,0),"")</f>
        <v/>
      </c>
      <c r="E149" s="33" t="str">
        <f>IFERROR(VLOOKUP(B:B,'SALDO ATUAL'!$A$3:$E$505,5,0),"")</f>
        <v/>
      </c>
      <c r="F149" s="43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23.25" customHeight="1">
      <c r="A150" s="29"/>
      <c r="B150" s="19"/>
      <c r="C150" s="31" t="str">
        <f>IFERROR(VLOOKUP(B:B,'SALDO ATUAL'!$A$3:$E$505,3,0),"")</f>
        <v/>
      </c>
      <c r="D150" s="32" t="str">
        <f>IFERROR(VLOOKUP(B:B,'SALDO ATUAL'!$A$3:$E$999,4,0),"")</f>
        <v/>
      </c>
      <c r="E150" s="33" t="str">
        <f>IFERROR(VLOOKUP(B:B,'SALDO ATUAL'!$A$3:$E$505,5,0),"")</f>
        <v/>
      </c>
      <c r="F150" s="43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23.25" customHeight="1">
      <c r="A151" s="29"/>
      <c r="B151" s="19"/>
      <c r="C151" s="31" t="str">
        <f>IFERROR(VLOOKUP(B:B,'SALDO ATUAL'!$A$3:$E$505,3,0),"")</f>
        <v/>
      </c>
      <c r="D151" s="32" t="str">
        <f>IFERROR(VLOOKUP(B:B,'SALDO ATUAL'!$A$3:$E$999,4,0),"")</f>
        <v/>
      </c>
      <c r="E151" s="33" t="str">
        <f>IFERROR(VLOOKUP(B:B,'SALDO ATUAL'!$A$3:$E$505,5,0),"")</f>
        <v/>
      </c>
      <c r="F151" s="43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23.25" customHeight="1">
      <c r="A152" s="29"/>
      <c r="B152" s="19"/>
      <c r="C152" s="31" t="str">
        <f>IFERROR(VLOOKUP(B:B,'SALDO ATUAL'!$A$3:$E$505,3,0),"")</f>
        <v/>
      </c>
      <c r="D152" s="32" t="str">
        <f>IFERROR(VLOOKUP(B:B,'SALDO ATUAL'!$A$3:$E$999,4,0),"")</f>
        <v/>
      </c>
      <c r="E152" s="33" t="str">
        <f>IFERROR(VLOOKUP(B:B,'SALDO ATUAL'!$A$3:$E$505,5,0),"")</f>
        <v/>
      </c>
      <c r="F152" s="43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23.25" customHeight="1">
      <c r="A153" s="29"/>
      <c r="B153" s="19"/>
      <c r="C153" s="31" t="str">
        <f>IFERROR(VLOOKUP(B:B,'SALDO ATUAL'!$A$3:$E$505,3,0),"")</f>
        <v/>
      </c>
      <c r="D153" s="32" t="str">
        <f>IFERROR(VLOOKUP(B:B,'SALDO ATUAL'!$A$3:$E$999,4,0),"")</f>
        <v/>
      </c>
      <c r="E153" s="33" t="str">
        <f>IFERROR(VLOOKUP(B:B,'SALDO ATUAL'!$A$3:$E$505,5,0),"")</f>
        <v/>
      </c>
      <c r="F153" s="43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23.25" customHeight="1">
      <c r="A154" s="29"/>
      <c r="B154" s="19"/>
      <c r="C154" s="31" t="str">
        <f>IFERROR(VLOOKUP(B:B,'SALDO ATUAL'!$A$3:$E$505,3,0),"")</f>
        <v/>
      </c>
      <c r="D154" s="32" t="str">
        <f>IFERROR(VLOOKUP(B:B,'SALDO ATUAL'!$A$3:$E$999,4,0),"")</f>
        <v/>
      </c>
      <c r="E154" s="33" t="str">
        <f>IFERROR(VLOOKUP(B:B,'SALDO ATUAL'!$A$3:$E$505,5,0),"")</f>
        <v/>
      </c>
      <c r="F154" s="43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23.25" customHeight="1">
      <c r="A155" s="29"/>
      <c r="B155" s="19"/>
      <c r="C155" s="31" t="str">
        <f>IFERROR(VLOOKUP(B:B,'SALDO ATUAL'!$A$3:$E$505,3,0),"")</f>
        <v/>
      </c>
      <c r="D155" s="32" t="str">
        <f>IFERROR(VLOOKUP(B:B,'SALDO ATUAL'!$A$3:$E$999,4,0),"")</f>
        <v/>
      </c>
      <c r="E155" s="33" t="str">
        <f>IFERROR(VLOOKUP(B:B,'SALDO ATUAL'!$A$3:$E$505,5,0),"")</f>
        <v/>
      </c>
      <c r="F155" s="43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23.25" customHeight="1">
      <c r="A156" s="29"/>
      <c r="B156" s="19"/>
      <c r="C156" s="31" t="str">
        <f>IFERROR(VLOOKUP(B:B,'SALDO ATUAL'!$A$3:$E$505,3,0),"")</f>
        <v/>
      </c>
      <c r="D156" s="32" t="str">
        <f>IFERROR(VLOOKUP(B:B,'SALDO ATUAL'!$A$3:$E$999,4,0),"")</f>
        <v/>
      </c>
      <c r="E156" s="33" t="str">
        <f>IFERROR(VLOOKUP(B:B,'SALDO ATUAL'!$A$3:$E$505,5,0),"")</f>
        <v/>
      </c>
      <c r="F156" s="43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23.25" customHeight="1">
      <c r="A157" s="29"/>
      <c r="B157" s="19"/>
      <c r="C157" s="31" t="str">
        <f>IFERROR(VLOOKUP(B:B,'SALDO ATUAL'!$A$3:$E$505,3,0),"")</f>
        <v/>
      </c>
      <c r="D157" s="32" t="str">
        <f>IFERROR(VLOOKUP(B:B,'SALDO ATUAL'!$A$3:$E$999,4,0),"")</f>
        <v/>
      </c>
      <c r="E157" s="33" t="str">
        <f>IFERROR(VLOOKUP(B:B,'SALDO ATUAL'!$A$3:$E$505,5,0),"")</f>
        <v/>
      </c>
      <c r="F157" s="43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23.25" customHeight="1">
      <c r="A158" s="29"/>
      <c r="B158" s="19"/>
      <c r="C158" s="31" t="str">
        <f>IFERROR(VLOOKUP(B:B,'SALDO ATUAL'!$A$3:$E$505,3,0),"")</f>
        <v/>
      </c>
      <c r="D158" s="32" t="str">
        <f>IFERROR(VLOOKUP(B:B,'SALDO ATUAL'!$A$3:$E$999,4,0),"")</f>
        <v/>
      </c>
      <c r="E158" s="33" t="str">
        <f>IFERROR(VLOOKUP(B:B,'SALDO ATUAL'!$A$3:$E$505,5,0),"")</f>
        <v/>
      </c>
      <c r="F158" s="43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23.25" customHeight="1">
      <c r="A159" s="29"/>
      <c r="B159" s="19"/>
      <c r="C159" s="31" t="str">
        <f>IFERROR(VLOOKUP(B:B,'SALDO ATUAL'!$A$3:$E$505,3,0),"")</f>
        <v/>
      </c>
      <c r="D159" s="32" t="str">
        <f>IFERROR(VLOOKUP(B:B,'SALDO ATUAL'!$A$3:$E$999,4,0),"")</f>
        <v/>
      </c>
      <c r="E159" s="33" t="str">
        <f>IFERROR(VLOOKUP(B:B,'SALDO ATUAL'!$A$3:$E$505,5,0),"")</f>
        <v/>
      </c>
      <c r="F159" s="43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23.25" customHeight="1">
      <c r="A160" s="29"/>
      <c r="B160" s="19"/>
      <c r="C160" s="31" t="str">
        <f>IFERROR(VLOOKUP(B:B,'SALDO ATUAL'!$A$3:$E$505,3,0),"")</f>
        <v/>
      </c>
      <c r="D160" s="32" t="str">
        <f>IFERROR(VLOOKUP(B:B,'SALDO ATUAL'!$A$3:$E$999,4,0),"")</f>
        <v/>
      </c>
      <c r="E160" s="33" t="str">
        <f>IFERROR(VLOOKUP(B:B,'SALDO ATUAL'!$A$3:$E$505,5,0),"")</f>
        <v/>
      </c>
      <c r="F160" s="43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23.25" customHeight="1">
      <c r="A161" s="29"/>
      <c r="B161" s="19"/>
      <c r="C161" s="31" t="str">
        <f>IFERROR(VLOOKUP(B:B,'SALDO ATUAL'!$A$3:$E$505,3,0),"")</f>
        <v/>
      </c>
      <c r="D161" s="32" t="str">
        <f>IFERROR(VLOOKUP(B:B,'SALDO ATUAL'!$A$3:$E$999,4,0),"")</f>
        <v/>
      </c>
      <c r="E161" s="33" t="str">
        <f>IFERROR(VLOOKUP(B:B,'SALDO ATUAL'!$A$3:$E$505,5,0),"")</f>
        <v/>
      </c>
      <c r="F161" s="43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23.25" customHeight="1">
      <c r="A162" s="29"/>
      <c r="B162" s="19"/>
      <c r="C162" s="31" t="str">
        <f>IFERROR(VLOOKUP(B:B,'SALDO ATUAL'!$A$3:$E$505,3,0),"")</f>
        <v/>
      </c>
      <c r="D162" s="32" t="str">
        <f>IFERROR(VLOOKUP(B:B,'SALDO ATUAL'!$A$3:$E$999,4,0),"")</f>
        <v/>
      </c>
      <c r="E162" s="33" t="str">
        <f>IFERROR(VLOOKUP(B:B,'SALDO ATUAL'!$A$3:$E$505,5,0),"")</f>
        <v/>
      </c>
      <c r="F162" s="43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23.25" customHeight="1">
      <c r="A163" s="29"/>
      <c r="B163" s="19"/>
      <c r="C163" s="31" t="str">
        <f>IFERROR(VLOOKUP(B:B,'SALDO ATUAL'!$A$3:$E$505,3,0),"")</f>
        <v/>
      </c>
      <c r="D163" s="32" t="str">
        <f>IFERROR(VLOOKUP(B:B,'SALDO ATUAL'!$A$3:$E$999,4,0),"")</f>
        <v/>
      </c>
      <c r="E163" s="33" t="str">
        <f>IFERROR(VLOOKUP(B:B,'SALDO ATUAL'!$A$3:$E$505,5,0),"")</f>
        <v/>
      </c>
      <c r="F163" s="43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23.25" customHeight="1">
      <c r="A164" s="29"/>
      <c r="B164" s="19"/>
      <c r="C164" s="31" t="str">
        <f>IFERROR(VLOOKUP(B:B,'SALDO ATUAL'!$A$3:$E$505,3,0),"")</f>
        <v/>
      </c>
      <c r="D164" s="32" t="str">
        <f>IFERROR(VLOOKUP(B:B,'SALDO ATUAL'!$A$3:$E$999,4,0),"")</f>
        <v/>
      </c>
      <c r="E164" s="33" t="str">
        <f>IFERROR(VLOOKUP(B:B,'SALDO ATUAL'!$A$3:$E$505,5,0),"")</f>
        <v/>
      </c>
      <c r="F164" s="43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23.25" customHeight="1">
      <c r="A165" s="29"/>
      <c r="B165" s="19"/>
      <c r="C165" s="31" t="str">
        <f>IFERROR(VLOOKUP(B:B,'SALDO ATUAL'!$A$3:$E$505,3,0),"")</f>
        <v/>
      </c>
      <c r="D165" s="32" t="str">
        <f>IFERROR(VLOOKUP(B:B,'SALDO ATUAL'!$A$3:$E$999,4,0),"")</f>
        <v/>
      </c>
      <c r="E165" s="33" t="str">
        <f>IFERROR(VLOOKUP(B:B,'SALDO ATUAL'!$A$3:$E$505,5,0),"")</f>
        <v/>
      </c>
      <c r="F165" s="43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23.25" customHeight="1">
      <c r="A166" s="29"/>
      <c r="B166" s="19"/>
      <c r="C166" s="31" t="str">
        <f>IFERROR(VLOOKUP(B:B,'SALDO ATUAL'!$A$3:$E$505,3,0),"")</f>
        <v/>
      </c>
      <c r="D166" s="32" t="str">
        <f>IFERROR(VLOOKUP(B:B,'SALDO ATUAL'!$A$3:$E$999,4,0),"")</f>
        <v/>
      </c>
      <c r="E166" s="33" t="str">
        <f>IFERROR(VLOOKUP(B:B,'SALDO ATUAL'!$A$3:$E$505,5,0),"")</f>
        <v/>
      </c>
      <c r="F166" s="43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23.25" customHeight="1">
      <c r="A167" s="29"/>
      <c r="B167" s="19"/>
      <c r="C167" s="31" t="str">
        <f>IFERROR(VLOOKUP(B:B,'SALDO ATUAL'!$A$3:$E$505,3,0),"")</f>
        <v/>
      </c>
      <c r="D167" s="32" t="str">
        <f>IFERROR(VLOOKUP(B:B,'SALDO ATUAL'!$A$3:$E$999,4,0),"")</f>
        <v/>
      </c>
      <c r="E167" s="33" t="str">
        <f>IFERROR(VLOOKUP(B:B,'SALDO ATUAL'!$A$3:$E$505,5,0),"")</f>
        <v/>
      </c>
      <c r="F167" s="43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23.25" customHeight="1">
      <c r="A168" s="29"/>
      <c r="B168" s="19"/>
      <c r="C168" s="31" t="str">
        <f>IFERROR(VLOOKUP(B:B,'SALDO ATUAL'!$A$3:$E$505,3,0),"")</f>
        <v/>
      </c>
      <c r="D168" s="32"/>
      <c r="E168" s="33" t="str">
        <f>IFERROR(VLOOKUP(B:B,'SALDO ATUAL'!$A$3:$E$505,5,0),"")</f>
        <v/>
      </c>
      <c r="F168" s="43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23.25" customHeight="1">
      <c r="A169" s="29"/>
      <c r="B169" s="19"/>
      <c r="C169" s="31" t="str">
        <f>IFERROR(VLOOKUP(B:B,'SALDO ATUAL'!$A$3:$E$505,3,0),"")</f>
        <v/>
      </c>
      <c r="D169" s="32"/>
      <c r="E169" s="33" t="str">
        <f>IFERROR(VLOOKUP(B:B,'SALDO ATUAL'!$A$3:$E$505,5,0),"")</f>
        <v/>
      </c>
      <c r="F169" s="43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23.25" customHeight="1">
      <c r="A170" s="29"/>
      <c r="B170" s="19"/>
      <c r="C170" s="31"/>
      <c r="D170" s="32"/>
      <c r="E170" s="33" t="str">
        <f>IFERROR(VLOOKUP(B:B,'SALDO ATUAL'!$A$3:$E$505,5,0),"")</f>
        <v/>
      </c>
      <c r="F170" s="43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23.25" customHeight="1">
      <c r="A171" s="29"/>
      <c r="B171" s="19"/>
      <c r="C171" s="31"/>
      <c r="D171" s="32"/>
      <c r="E171" s="33" t="str">
        <f>IFERROR(VLOOKUP(B:B,'SALDO ATUAL'!$A$3:$E$505,5,0),"")</f>
        <v/>
      </c>
      <c r="F171" s="43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23.25" customHeight="1">
      <c r="A172" s="29"/>
      <c r="B172" s="19"/>
      <c r="C172" s="31"/>
      <c r="D172" s="32"/>
      <c r="E172" s="33" t="str">
        <f>IFERROR(VLOOKUP(B:B,'SALDO ATUAL'!$A$3:$E$505,5,0),"")</f>
        <v/>
      </c>
      <c r="F172" s="43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23.25" customHeight="1">
      <c r="A173" s="29"/>
      <c r="B173" s="19"/>
      <c r="C173" s="31"/>
      <c r="D173" s="32"/>
      <c r="E173" s="33" t="str">
        <f>IFERROR(VLOOKUP(B:B,'SALDO ATUAL'!$A$3:$E$505,5,0),"")</f>
        <v/>
      </c>
      <c r="F173" s="43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23.25" customHeight="1">
      <c r="A174" s="29"/>
      <c r="B174" s="19"/>
      <c r="C174" s="31"/>
      <c r="D174" s="32"/>
      <c r="E174" s="33" t="str">
        <f>IFERROR(VLOOKUP(B:B,'SALDO ATUAL'!$A$3:$E$505,5,0),"")</f>
        <v/>
      </c>
      <c r="F174" s="43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23.25" customHeight="1">
      <c r="A175" s="29"/>
      <c r="B175" s="19"/>
      <c r="C175" s="31"/>
      <c r="D175" s="32"/>
      <c r="E175" s="33" t="str">
        <f>IFERROR(VLOOKUP(B:B,'SALDO ATUAL'!$A$3:$E$505,5,0),"")</f>
        <v/>
      </c>
      <c r="F175" s="43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23.25" customHeight="1">
      <c r="A176" s="29"/>
      <c r="B176" s="19"/>
      <c r="C176" s="31"/>
      <c r="D176" s="32"/>
      <c r="E176" s="33" t="str">
        <f>IFERROR(VLOOKUP(B:B,'SALDO ATUAL'!$A$3:$E$505,5,0),"")</f>
        <v/>
      </c>
      <c r="F176" s="43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23.25" customHeight="1">
      <c r="A177" s="29"/>
      <c r="B177" s="19"/>
      <c r="C177" s="31"/>
      <c r="D177" s="32"/>
      <c r="E177" s="33" t="str">
        <f>IFERROR(VLOOKUP(B:B,'SALDO ATUAL'!$A$3:$E$505,5,0),"")</f>
        <v/>
      </c>
      <c r="F177" s="43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23.25" customHeight="1">
      <c r="A178" s="29"/>
      <c r="B178" s="19"/>
      <c r="C178" s="31"/>
      <c r="D178" s="32"/>
      <c r="E178" s="33" t="str">
        <f>IFERROR(VLOOKUP(B:B,'SALDO ATUAL'!$A$3:$E$505,5,0),"")</f>
        <v/>
      </c>
      <c r="F178" s="43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23.25" customHeight="1">
      <c r="A179" s="29"/>
      <c r="B179" s="19"/>
      <c r="C179" s="31"/>
      <c r="D179" s="32"/>
      <c r="E179" s="33" t="str">
        <f>IFERROR(VLOOKUP(B:B,'SALDO ATUAL'!$A$3:$E$505,5,0),"")</f>
        <v/>
      </c>
      <c r="F179" s="43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23.25" customHeight="1">
      <c r="A180" s="29"/>
      <c r="B180" s="19"/>
      <c r="C180" s="31"/>
      <c r="D180" s="32"/>
      <c r="E180" s="33" t="str">
        <f>IFERROR(VLOOKUP(B:B,'SALDO ATUAL'!$A$3:$E$505,5,0),"")</f>
        <v/>
      </c>
      <c r="F180" s="43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23.25" customHeight="1">
      <c r="A181" s="29"/>
      <c r="B181" s="19"/>
      <c r="C181" s="31"/>
      <c r="D181" s="32"/>
      <c r="E181" s="33" t="str">
        <f>IFERROR(VLOOKUP(B:B,'SALDO ATUAL'!$A$3:$E$505,5,0),"")</f>
        <v/>
      </c>
      <c r="F181" s="43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23.25" customHeight="1">
      <c r="A182" s="29"/>
      <c r="B182" s="19"/>
      <c r="C182" s="31"/>
      <c r="D182" s="32"/>
      <c r="E182" s="33" t="str">
        <f>IFERROR(VLOOKUP(B:B,'SALDO ATUAL'!$A$3:$E$505,5,0),"")</f>
        <v/>
      </c>
      <c r="F182" s="43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23.25" customHeight="1">
      <c r="A183" s="29"/>
      <c r="B183" s="19"/>
      <c r="C183" s="31"/>
      <c r="D183" s="32"/>
      <c r="E183" s="33" t="str">
        <f>IFERROR(VLOOKUP(B:B,'SALDO ATUAL'!$A$3:$E$505,5,0),"")</f>
        <v/>
      </c>
      <c r="F183" s="43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23.25" customHeight="1">
      <c r="A184" s="29"/>
      <c r="B184" s="19"/>
      <c r="C184" s="31"/>
      <c r="D184" s="32"/>
      <c r="E184" s="33" t="str">
        <f>IFERROR(VLOOKUP(B:B,'SALDO ATUAL'!$A$3:$E$505,5,0),"")</f>
        <v/>
      </c>
      <c r="F184" s="43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23.25" customHeight="1">
      <c r="A185" s="29"/>
      <c r="B185" s="19"/>
      <c r="C185" s="31"/>
      <c r="D185" s="32"/>
      <c r="E185" s="33" t="str">
        <f>IFERROR(VLOOKUP(B:B,'SALDO ATUAL'!$A$3:$E$505,5,0),"")</f>
        <v/>
      </c>
      <c r="F185" s="43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23.25" customHeight="1">
      <c r="A186" s="29"/>
      <c r="B186" s="19"/>
      <c r="C186" s="31"/>
      <c r="D186" s="32"/>
      <c r="E186" s="33" t="str">
        <f>IFERROR(VLOOKUP(B:B,'SALDO ATUAL'!$A$3:$E$505,5,0),"")</f>
        <v/>
      </c>
      <c r="F186" s="43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23.25" customHeight="1">
      <c r="A187" s="29"/>
      <c r="B187" s="19"/>
      <c r="C187" s="31"/>
      <c r="D187" s="32"/>
      <c r="E187" s="33" t="str">
        <f>IFERROR(VLOOKUP(B:B,'SALDO ATUAL'!$A$3:$E$505,5,0),"")</f>
        <v/>
      </c>
      <c r="F187" s="43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23.25" customHeight="1">
      <c r="A188" s="29"/>
      <c r="B188" s="19"/>
      <c r="C188" s="31"/>
      <c r="D188" s="32"/>
      <c r="E188" s="33" t="str">
        <f>IFERROR(VLOOKUP(B:B,'SALDO ATUAL'!$A$3:$E$505,5,0),"")</f>
        <v/>
      </c>
      <c r="F188" s="43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23.25" customHeight="1">
      <c r="A189" s="29"/>
      <c r="B189" s="19"/>
      <c r="C189" s="31"/>
      <c r="D189" s="32"/>
      <c r="E189" s="33" t="str">
        <f>IFERROR(VLOOKUP(B:B,'SALDO ATUAL'!$A$3:$E$505,5,0),"")</f>
        <v/>
      </c>
      <c r="F189" s="43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23.25" customHeight="1">
      <c r="A190" s="29"/>
      <c r="B190" s="19"/>
      <c r="C190" s="31"/>
      <c r="D190" s="32"/>
      <c r="E190" s="33" t="str">
        <f>IFERROR(VLOOKUP(B:B,'SALDO ATUAL'!$A$3:$E$505,5,0),"")</f>
        <v/>
      </c>
      <c r="F190" s="43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23.25" customHeight="1">
      <c r="A191" s="29"/>
      <c r="B191" s="19"/>
      <c r="C191" s="31"/>
      <c r="D191" s="32"/>
      <c r="E191" s="46"/>
      <c r="F191" s="43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23.25" customHeight="1">
      <c r="A192" s="29"/>
      <c r="B192" s="19"/>
      <c r="C192" s="31"/>
      <c r="D192" s="32"/>
      <c r="E192" s="46"/>
      <c r="F192" s="43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23.25" customHeight="1">
      <c r="A193" s="29"/>
      <c r="B193" s="19"/>
      <c r="C193" s="31"/>
      <c r="D193" s="32"/>
      <c r="E193" s="46"/>
      <c r="F193" s="43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23.25" customHeight="1">
      <c r="A194" s="29"/>
      <c r="B194" s="19"/>
      <c r="C194" s="31"/>
      <c r="D194" s="32"/>
      <c r="E194" s="46"/>
      <c r="F194" s="43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23.25" customHeight="1">
      <c r="A195" s="29"/>
      <c r="B195" s="19"/>
      <c r="C195" s="31"/>
      <c r="D195" s="32"/>
      <c r="E195" s="46"/>
      <c r="F195" s="43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23.25" customHeight="1">
      <c r="A196" s="29"/>
      <c r="B196" s="19"/>
      <c r="C196" s="31"/>
      <c r="D196" s="32"/>
      <c r="E196" s="46"/>
      <c r="F196" s="43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23.25" customHeight="1">
      <c r="A197" s="29"/>
      <c r="B197" s="19"/>
      <c r="C197" s="31"/>
      <c r="D197" s="32"/>
      <c r="E197" s="46"/>
      <c r="F197" s="43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23.25" customHeight="1">
      <c r="A198" s="29"/>
      <c r="B198" s="19"/>
      <c r="C198" s="31"/>
      <c r="D198" s="32"/>
      <c r="E198" s="46"/>
      <c r="F198" s="43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23.25" customHeight="1">
      <c r="A199" s="29"/>
      <c r="B199" s="19"/>
      <c r="C199" s="31"/>
      <c r="D199" s="32"/>
      <c r="E199" s="46"/>
      <c r="F199" s="43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23.25" customHeight="1">
      <c r="A200" s="29"/>
      <c r="B200" s="19"/>
      <c r="C200" s="31"/>
      <c r="D200" s="32"/>
      <c r="E200" s="46"/>
      <c r="F200" s="43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23.25" customHeight="1">
      <c r="A201" s="29"/>
      <c r="B201" s="19"/>
      <c r="C201" s="31"/>
      <c r="D201" s="32"/>
      <c r="E201" s="46"/>
      <c r="F201" s="43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23.25" customHeight="1">
      <c r="A202" s="29"/>
      <c r="B202" s="19"/>
      <c r="C202" s="31"/>
      <c r="D202" s="32"/>
      <c r="E202" s="46"/>
      <c r="F202" s="43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23.25" customHeight="1">
      <c r="A203" s="29"/>
      <c r="B203" s="19"/>
      <c r="C203" s="31"/>
      <c r="D203" s="32"/>
      <c r="E203" s="46"/>
      <c r="F203" s="43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23.25" customHeight="1">
      <c r="A204" s="29"/>
      <c r="B204" s="19"/>
      <c r="C204" s="31"/>
      <c r="D204" s="32"/>
      <c r="E204" s="46"/>
      <c r="F204" s="43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23.25" customHeight="1">
      <c r="A205" s="29"/>
      <c r="B205" s="19"/>
      <c r="C205" s="31"/>
      <c r="D205" s="32"/>
      <c r="E205" s="46"/>
      <c r="F205" s="43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23.25" customHeight="1">
      <c r="A206" s="29"/>
      <c r="B206" s="19"/>
      <c r="C206" s="31"/>
      <c r="D206" s="32"/>
      <c r="E206" s="46"/>
      <c r="F206" s="43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23.25" customHeight="1">
      <c r="A207" s="29"/>
      <c r="B207" s="19"/>
      <c r="C207" s="31"/>
      <c r="D207" s="32"/>
      <c r="E207" s="46"/>
      <c r="F207" s="43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23.25" customHeight="1">
      <c r="A208" s="29"/>
      <c r="B208" s="19"/>
      <c r="C208" s="31"/>
      <c r="D208" s="32"/>
      <c r="E208" s="46"/>
      <c r="F208" s="43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23.25" customHeight="1">
      <c r="A209" s="29"/>
      <c r="B209" s="19"/>
      <c r="C209" s="31"/>
      <c r="D209" s="32"/>
      <c r="E209" s="46"/>
      <c r="F209" s="43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23.25" customHeight="1">
      <c r="A210" s="29"/>
      <c r="B210" s="19"/>
      <c r="C210" s="31"/>
      <c r="D210" s="32"/>
      <c r="E210" s="46"/>
      <c r="F210" s="43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23.25" customHeight="1">
      <c r="A211" s="29"/>
      <c r="B211" s="19"/>
      <c r="C211" s="31"/>
      <c r="D211" s="32"/>
      <c r="E211" s="46"/>
      <c r="F211" s="43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23.25" customHeight="1">
      <c r="A212" s="29"/>
      <c r="B212" s="19"/>
      <c r="C212" s="31"/>
      <c r="D212" s="32"/>
      <c r="E212" s="46"/>
      <c r="F212" s="43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23.25" customHeight="1">
      <c r="A213" s="29"/>
      <c r="B213" s="19"/>
      <c r="C213" s="31"/>
      <c r="D213" s="32"/>
      <c r="E213" s="46"/>
      <c r="F213" s="43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23.25" customHeight="1">
      <c r="A214" s="29"/>
      <c r="B214" s="19"/>
      <c r="C214" s="31"/>
      <c r="D214" s="32"/>
      <c r="E214" s="46"/>
      <c r="F214" s="43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23.25" customHeight="1">
      <c r="A215" s="29"/>
      <c r="B215" s="19"/>
      <c r="C215" s="31"/>
      <c r="D215" s="32"/>
      <c r="E215" s="46"/>
      <c r="F215" s="43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23.25" customHeight="1">
      <c r="A216" s="29"/>
      <c r="B216" s="19"/>
      <c r="C216" s="31"/>
      <c r="D216" s="32"/>
      <c r="E216" s="46"/>
      <c r="F216" s="43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23.25" customHeight="1">
      <c r="A217" s="29"/>
      <c r="B217" s="19"/>
      <c r="C217" s="31"/>
      <c r="D217" s="32"/>
      <c r="E217" s="46"/>
      <c r="F217" s="43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23.25" customHeight="1">
      <c r="A218" s="29"/>
      <c r="B218" s="19"/>
      <c r="C218" s="31"/>
      <c r="D218" s="32"/>
      <c r="E218" s="46"/>
      <c r="F218" s="43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23.25" customHeight="1">
      <c r="A219" s="29"/>
      <c r="B219" s="19"/>
      <c r="C219" s="31"/>
      <c r="D219" s="32"/>
      <c r="E219" s="46"/>
      <c r="F219" s="43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23.25" customHeight="1">
      <c r="A220" s="29"/>
      <c r="B220" s="19"/>
      <c r="C220" s="31"/>
      <c r="D220" s="32"/>
      <c r="E220" s="46"/>
      <c r="F220" s="43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23.25" customHeight="1">
      <c r="A221" s="29"/>
      <c r="B221" s="19"/>
      <c r="C221" s="31"/>
      <c r="D221" s="32"/>
      <c r="E221" s="46"/>
      <c r="F221" s="43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23.25" customHeight="1">
      <c r="A222" s="29"/>
      <c r="B222" s="19"/>
      <c r="C222" s="31"/>
      <c r="D222" s="32"/>
      <c r="E222" s="46"/>
      <c r="F222" s="43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23.25" customHeight="1">
      <c r="A223" s="29"/>
      <c r="B223" s="19"/>
      <c r="C223" s="31"/>
      <c r="D223" s="32"/>
      <c r="E223" s="46"/>
      <c r="F223" s="43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23.25" customHeight="1">
      <c r="A224" s="29"/>
      <c r="B224" s="19"/>
      <c r="C224" s="31"/>
      <c r="D224" s="32"/>
      <c r="E224" s="46"/>
      <c r="F224" s="43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23.25" customHeight="1">
      <c r="A225" s="29"/>
      <c r="B225" s="19"/>
      <c r="C225" s="31"/>
      <c r="D225" s="32"/>
      <c r="E225" s="46"/>
      <c r="F225" s="43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23.25" customHeight="1">
      <c r="A226" s="29"/>
      <c r="B226" s="19"/>
      <c r="C226" s="31"/>
      <c r="D226" s="32"/>
      <c r="E226" s="46"/>
      <c r="F226" s="43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23.25" customHeight="1">
      <c r="A227" s="29"/>
      <c r="B227" s="19"/>
      <c r="C227" s="31"/>
      <c r="D227" s="32"/>
      <c r="E227" s="46"/>
      <c r="F227" s="43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23.25" customHeight="1">
      <c r="A228" s="29"/>
      <c r="B228" s="19"/>
      <c r="C228" s="31"/>
      <c r="D228" s="32"/>
      <c r="E228" s="46"/>
      <c r="F228" s="43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23.25" customHeight="1">
      <c r="A229" s="29"/>
      <c r="B229" s="19"/>
      <c r="C229" s="31"/>
      <c r="D229" s="32"/>
      <c r="E229" s="46"/>
      <c r="F229" s="43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23.25" customHeight="1">
      <c r="A230" s="29"/>
      <c r="B230" s="19"/>
      <c r="C230" s="31"/>
      <c r="D230" s="32"/>
      <c r="E230" s="46"/>
      <c r="F230" s="43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23.25" customHeight="1">
      <c r="A231" s="29"/>
      <c r="B231" s="19"/>
      <c r="C231" s="31"/>
      <c r="D231" s="32"/>
      <c r="E231" s="46"/>
      <c r="F231" s="43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23.25" customHeight="1">
      <c r="A232" s="29"/>
      <c r="B232" s="19"/>
      <c r="C232" s="31"/>
      <c r="D232" s="32"/>
      <c r="E232" s="46"/>
      <c r="F232" s="43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23.25" customHeight="1">
      <c r="A233" s="29"/>
      <c r="B233" s="19"/>
      <c r="C233" s="31"/>
      <c r="D233" s="32"/>
      <c r="E233" s="46"/>
      <c r="F233" s="43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23.25" customHeight="1">
      <c r="A234" s="29"/>
      <c r="B234" s="19"/>
      <c r="C234" s="31"/>
      <c r="D234" s="32"/>
      <c r="E234" s="46"/>
      <c r="F234" s="43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23.25" customHeight="1">
      <c r="A235" s="29"/>
      <c r="B235" s="19"/>
      <c r="C235" s="31"/>
      <c r="D235" s="32"/>
      <c r="E235" s="46"/>
      <c r="F235" s="43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23.25" customHeight="1">
      <c r="A236" s="29"/>
      <c r="B236" s="19"/>
      <c r="C236" s="31"/>
      <c r="D236" s="32"/>
      <c r="E236" s="46"/>
      <c r="F236" s="43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23.25" customHeight="1">
      <c r="A237" s="29"/>
      <c r="B237" s="19"/>
      <c r="C237" s="31"/>
      <c r="D237" s="32"/>
      <c r="E237" s="46"/>
      <c r="F237" s="43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23.25" customHeight="1">
      <c r="A238" s="29"/>
      <c r="B238" s="19"/>
      <c r="C238" s="31"/>
      <c r="D238" s="32"/>
      <c r="E238" s="46"/>
      <c r="F238" s="43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23.25" customHeight="1">
      <c r="A239" s="29"/>
      <c r="B239" s="19"/>
      <c r="C239" s="31"/>
      <c r="D239" s="32"/>
      <c r="E239" s="46"/>
      <c r="F239" s="43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23.25" customHeight="1">
      <c r="A240" s="29"/>
      <c r="B240" s="19"/>
      <c r="C240" s="31"/>
      <c r="D240" s="32"/>
      <c r="E240" s="46"/>
      <c r="F240" s="43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23.25" customHeight="1">
      <c r="A241" s="29"/>
      <c r="B241" s="19"/>
      <c r="C241" s="31"/>
      <c r="D241" s="32"/>
      <c r="E241" s="46"/>
      <c r="F241" s="43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23.25" customHeight="1">
      <c r="A242" s="29"/>
      <c r="B242" s="19"/>
      <c r="C242" s="31"/>
      <c r="D242" s="32"/>
      <c r="E242" s="46"/>
      <c r="F242" s="43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23.25" customHeight="1">
      <c r="A243" s="29"/>
      <c r="B243" s="19"/>
      <c r="C243" s="31"/>
      <c r="D243" s="32"/>
      <c r="E243" s="46"/>
      <c r="F243" s="43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23.25" customHeight="1">
      <c r="A244" s="29"/>
      <c r="B244" s="19"/>
      <c r="C244" s="31"/>
      <c r="D244" s="32"/>
      <c r="E244" s="46"/>
      <c r="F244" s="43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23.25" customHeight="1">
      <c r="A245" s="29"/>
      <c r="B245" s="19"/>
      <c r="C245" s="31"/>
      <c r="D245" s="32"/>
      <c r="E245" s="46"/>
      <c r="F245" s="43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23.25" customHeight="1">
      <c r="A246" s="29"/>
      <c r="B246" s="19"/>
      <c r="C246" s="31"/>
      <c r="D246" s="32"/>
      <c r="E246" s="46"/>
      <c r="F246" s="43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23.25" customHeight="1">
      <c r="A247" s="29"/>
      <c r="B247" s="19"/>
      <c r="C247" s="31"/>
      <c r="D247" s="32"/>
      <c r="E247" s="46"/>
      <c r="F247" s="43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23.25" customHeight="1">
      <c r="A248" s="29"/>
      <c r="B248" s="19"/>
      <c r="C248" s="31"/>
      <c r="D248" s="32"/>
      <c r="E248" s="46"/>
      <c r="F248" s="43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23.25" customHeight="1">
      <c r="A249" s="29"/>
      <c r="B249" s="19"/>
      <c r="C249" s="31"/>
      <c r="D249" s="32"/>
      <c r="E249" s="46"/>
      <c r="F249" s="43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23.25" customHeight="1">
      <c r="A250" s="29"/>
      <c r="B250" s="19"/>
      <c r="C250" s="31"/>
      <c r="D250" s="32"/>
      <c r="E250" s="46"/>
      <c r="F250" s="43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23.25" customHeight="1">
      <c r="A251" s="29"/>
      <c r="B251" s="19"/>
      <c r="C251" s="31"/>
      <c r="D251" s="32"/>
      <c r="E251" s="46"/>
      <c r="F251" s="43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23.25" customHeight="1">
      <c r="A252" s="29"/>
      <c r="B252" s="19"/>
      <c r="C252" s="31"/>
      <c r="D252" s="32"/>
      <c r="E252" s="46"/>
      <c r="F252" s="43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23.25" customHeight="1">
      <c r="A253" s="29"/>
      <c r="B253" s="19"/>
      <c r="C253" s="31"/>
      <c r="D253" s="32"/>
      <c r="E253" s="46"/>
      <c r="F253" s="43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23.25" customHeight="1">
      <c r="A254" s="29"/>
      <c r="B254" s="19"/>
      <c r="C254" s="31"/>
      <c r="D254" s="32"/>
      <c r="E254" s="46"/>
      <c r="F254" s="43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23.25" customHeight="1">
      <c r="A255" s="29"/>
      <c r="B255" s="19"/>
      <c r="C255" s="31"/>
      <c r="D255" s="32"/>
      <c r="E255" s="46"/>
      <c r="F255" s="43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23.25" customHeight="1">
      <c r="A256" s="29"/>
      <c r="B256" s="19"/>
      <c r="C256" s="31"/>
      <c r="D256" s="32"/>
      <c r="E256" s="46"/>
      <c r="F256" s="43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23.25" customHeight="1">
      <c r="A257" s="29"/>
      <c r="B257" s="19"/>
      <c r="C257" s="31"/>
      <c r="D257" s="32"/>
      <c r="E257" s="46"/>
      <c r="F257" s="43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23.25" customHeight="1">
      <c r="A258" s="29"/>
      <c r="B258" s="19"/>
      <c r="C258" s="31"/>
      <c r="D258" s="32"/>
      <c r="E258" s="46"/>
      <c r="F258" s="43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23.25" customHeight="1">
      <c r="A259" s="29"/>
      <c r="B259" s="19"/>
      <c r="C259" s="31"/>
      <c r="D259" s="32"/>
      <c r="E259" s="46"/>
      <c r="F259" s="43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23.25" customHeight="1">
      <c r="A260" s="29"/>
      <c r="B260" s="19"/>
      <c r="C260" s="31"/>
      <c r="D260" s="32"/>
      <c r="E260" s="46"/>
      <c r="F260" s="43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23.25" customHeight="1">
      <c r="A261" s="29"/>
      <c r="B261" s="19"/>
      <c r="C261" s="31"/>
      <c r="D261" s="32"/>
      <c r="E261" s="46"/>
      <c r="F261" s="43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23.25" customHeight="1">
      <c r="A262" s="29"/>
      <c r="B262" s="19"/>
      <c r="C262" s="31"/>
      <c r="D262" s="32"/>
      <c r="E262" s="46"/>
      <c r="F262" s="43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23.25" customHeight="1">
      <c r="A263" s="29"/>
      <c r="B263" s="19"/>
      <c r="C263" s="31"/>
      <c r="D263" s="32"/>
      <c r="E263" s="46"/>
      <c r="F263" s="43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23.25" customHeight="1">
      <c r="A264" s="29"/>
      <c r="B264" s="19"/>
      <c r="C264" s="31"/>
      <c r="D264" s="32"/>
      <c r="E264" s="46"/>
      <c r="F264" s="43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23.25" customHeight="1">
      <c r="A265" s="29"/>
      <c r="B265" s="19"/>
      <c r="C265" s="31"/>
      <c r="D265" s="32"/>
      <c r="E265" s="46"/>
      <c r="F265" s="43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23.25" customHeight="1">
      <c r="A266" s="29"/>
      <c r="B266" s="19"/>
      <c r="C266" s="31"/>
      <c r="D266" s="32"/>
      <c r="E266" s="46"/>
      <c r="F266" s="43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23.25" customHeight="1">
      <c r="A267" s="29"/>
      <c r="B267" s="19"/>
      <c r="C267" s="31"/>
      <c r="D267" s="32"/>
      <c r="E267" s="46"/>
      <c r="F267" s="43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23.25" customHeight="1">
      <c r="A268" s="29"/>
      <c r="B268" s="19"/>
      <c r="C268" s="31"/>
      <c r="D268" s="32"/>
      <c r="E268" s="46"/>
      <c r="F268" s="43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23.25" customHeight="1">
      <c r="A269" s="29"/>
      <c r="B269" s="19"/>
      <c r="C269" s="31"/>
      <c r="D269" s="32"/>
      <c r="E269" s="46"/>
      <c r="F269" s="43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23.25" customHeight="1">
      <c r="A270" s="29"/>
      <c r="B270" s="19"/>
      <c r="C270" s="31"/>
      <c r="D270" s="32"/>
      <c r="E270" s="46"/>
      <c r="F270" s="43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23.25" customHeight="1">
      <c r="A271" s="29"/>
      <c r="B271" s="19"/>
      <c r="C271" s="31"/>
      <c r="D271" s="32"/>
      <c r="E271" s="46"/>
      <c r="F271" s="43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23.25" customHeight="1">
      <c r="A272" s="29"/>
      <c r="B272" s="19"/>
      <c r="C272" s="31"/>
      <c r="D272" s="32"/>
      <c r="E272" s="46"/>
      <c r="F272" s="43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23.25" customHeight="1">
      <c r="A273" s="29"/>
      <c r="B273" s="19"/>
      <c r="C273" s="31"/>
      <c r="D273" s="32"/>
      <c r="E273" s="46"/>
      <c r="F273" s="43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23.25" customHeight="1">
      <c r="A274" s="29"/>
      <c r="B274" s="19"/>
      <c r="C274" s="31"/>
      <c r="D274" s="32"/>
      <c r="E274" s="46"/>
      <c r="F274" s="43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23.25" customHeight="1">
      <c r="A275" s="29"/>
      <c r="B275" s="19"/>
      <c r="C275" s="31"/>
      <c r="D275" s="32"/>
      <c r="E275" s="46"/>
      <c r="F275" s="43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23.25" customHeight="1">
      <c r="A276" s="29"/>
      <c r="B276" s="19"/>
      <c r="C276" s="31"/>
      <c r="D276" s="32"/>
      <c r="E276" s="46"/>
      <c r="F276" s="43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23.25" customHeight="1">
      <c r="A277" s="29"/>
      <c r="B277" s="19"/>
      <c r="C277" s="31"/>
      <c r="D277" s="32"/>
      <c r="E277" s="46"/>
      <c r="F277" s="43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23.25" customHeight="1">
      <c r="A278" s="29"/>
      <c r="B278" s="19"/>
      <c r="C278" s="31"/>
      <c r="D278" s="32"/>
      <c r="E278" s="46"/>
      <c r="F278" s="43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23.25" customHeight="1">
      <c r="A279" s="29"/>
      <c r="B279" s="19"/>
      <c r="C279" s="31"/>
      <c r="D279" s="32"/>
      <c r="E279" s="46"/>
      <c r="F279" s="43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23.25" customHeight="1">
      <c r="A280" s="29"/>
      <c r="B280" s="19"/>
      <c r="C280" s="31"/>
      <c r="D280" s="32"/>
      <c r="E280" s="46"/>
      <c r="F280" s="43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23.25" customHeight="1">
      <c r="A281" s="29"/>
      <c r="B281" s="19"/>
      <c r="C281" s="31"/>
      <c r="D281" s="32"/>
      <c r="E281" s="46"/>
      <c r="F281" s="43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23.25" customHeight="1">
      <c r="A282" s="29"/>
      <c r="B282" s="19"/>
      <c r="C282" s="31"/>
      <c r="D282" s="32"/>
      <c r="E282" s="46"/>
      <c r="F282" s="43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23.25" customHeight="1">
      <c r="A283" s="29"/>
      <c r="B283" s="19"/>
      <c r="C283" s="31"/>
      <c r="D283" s="32"/>
      <c r="E283" s="46"/>
      <c r="F283" s="43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23.25" customHeight="1">
      <c r="A284" s="29"/>
      <c r="B284" s="19"/>
      <c r="C284" s="31"/>
      <c r="D284" s="32"/>
      <c r="E284" s="46"/>
      <c r="F284" s="43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23.25" customHeight="1">
      <c r="A285" s="29"/>
      <c r="B285" s="19"/>
      <c r="C285" s="31"/>
      <c r="D285" s="32"/>
      <c r="E285" s="46"/>
      <c r="F285" s="43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23.25" customHeight="1">
      <c r="A286" s="29"/>
      <c r="B286" s="19"/>
      <c r="C286" s="31"/>
      <c r="D286" s="32"/>
      <c r="E286" s="46"/>
      <c r="F286" s="43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23.25" customHeight="1">
      <c r="A287" s="29"/>
      <c r="B287" s="19"/>
      <c r="C287" s="31"/>
      <c r="D287" s="32"/>
      <c r="E287" s="46"/>
      <c r="F287" s="43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23.25" customHeight="1">
      <c r="A288" s="29"/>
      <c r="B288" s="19"/>
      <c r="C288" s="31"/>
      <c r="D288" s="32"/>
      <c r="E288" s="46"/>
      <c r="F288" s="43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23.25" customHeight="1">
      <c r="A289" s="29"/>
      <c r="B289" s="19"/>
      <c r="C289" s="31"/>
      <c r="D289" s="32"/>
      <c r="E289" s="46"/>
      <c r="F289" s="43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23.25" customHeight="1">
      <c r="A290" s="29"/>
      <c r="B290" s="19"/>
      <c r="C290" s="31"/>
      <c r="D290" s="32"/>
      <c r="E290" s="46"/>
      <c r="F290" s="43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23.25" customHeight="1">
      <c r="A291" s="29"/>
      <c r="B291" s="19"/>
      <c r="C291" s="31"/>
      <c r="D291" s="32"/>
      <c r="E291" s="46"/>
      <c r="F291" s="43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23.25" customHeight="1">
      <c r="A292" s="29"/>
      <c r="B292" s="19"/>
      <c r="C292" s="31"/>
      <c r="D292" s="32"/>
      <c r="E292" s="46"/>
      <c r="F292" s="43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23.25" customHeight="1">
      <c r="A293" s="29"/>
      <c r="B293" s="19"/>
      <c r="C293" s="31"/>
      <c r="D293" s="32"/>
      <c r="E293" s="46"/>
      <c r="F293" s="43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23.25" customHeight="1">
      <c r="A294" s="29"/>
      <c r="B294" s="19"/>
      <c r="C294" s="31"/>
      <c r="D294" s="32"/>
      <c r="E294" s="46"/>
      <c r="F294" s="43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23.25" customHeight="1">
      <c r="A295" s="29"/>
      <c r="B295" s="19"/>
      <c r="C295" s="31"/>
      <c r="D295" s="32"/>
      <c r="E295" s="46"/>
      <c r="F295" s="43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23.25" customHeight="1">
      <c r="A296" s="29"/>
      <c r="B296" s="19"/>
      <c r="C296" s="31"/>
      <c r="D296" s="32"/>
      <c r="E296" s="46"/>
      <c r="F296" s="43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23.25" customHeight="1">
      <c r="A297" s="29"/>
      <c r="B297" s="19"/>
      <c r="C297" s="31"/>
      <c r="D297" s="32"/>
      <c r="E297" s="46"/>
      <c r="F297" s="43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23.25" customHeight="1">
      <c r="A298" s="29"/>
      <c r="B298" s="19"/>
      <c r="C298" s="31"/>
      <c r="D298" s="32"/>
      <c r="E298" s="46"/>
      <c r="F298" s="43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23.25" customHeight="1">
      <c r="A299" s="29"/>
      <c r="B299" s="19"/>
      <c r="C299" s="31"/>
      <c r="D299" s="32"/>
      <c r="E299" s="46"/>
      <c r="F299" s="43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23.25" customHeight="1">
      <c r="A300" s="29"/>
      <c r="B300" s="19"/>
      <c r="C300" s="31"/>
      <c r="D300" s="32"/>
      <c r="E300" s="46"/>
      <c r="F300" s="43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23.25" customHeight="1">
      <c r="A301" s="29"/>
      <c r="B301" s="19"/>
      <c r="C301" s="31"/>
      <c r="D301" s="32"/>
      <c r="E301" s="46"/>
      <c r="F301" s="43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23.25" customHeight="1">
      <c r="A302" s="29"/>
      <c r="B302" s="19"/>
      <c r="C302" s="31"/>
      <c r="D302" s="32"/>
      <c r="E302" s="46"/>
      <c r="F302" s="43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23.25" customHeight="1">
      <c r="A303" s="29"/>
      <c r="B303" s="19"/>
      <c r="C303" s="31"/>
      <c r="D303" s="32"/>
      <c r="E303" s="46"/>
      <c r="F303" s="43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23.25" customHeight="1">
      <c r="A304" s="29"/>
      <c r="B304" s="19"/>
      <c r="C304" s="31"/>
      <c r="D304" s="32"/>
      <c r="E304" s="46"/>
      <c r="F304" s="43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23.25" customHeight="1">
      <c r="A305" s="29"/>
      <c r="B305" s="19"/>
      <c r="C305" s="31"/>
      <c r="D305" s="32"/>
      <c r="E305" s="46"/>
      <c r="F305" s="43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23.25" customHeight="1">
      <c r="A306" s="29"/>
      <c r="B306" s="19"/>
      <c r="C306" s="31"/>
      <c r="D306" s="32"/>
      <c r="E306" s="46"/>
      <c r="F306" s="43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23.25" customHeight="1">
      <c r="A307" s="29"/>
      <c r="B307" s="19"/>
      <c r="C307" s="31"/>
      <c r="D307" s="32"/>
      <c r="E307" s="46"/>
      <c r="F307" s="43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23.25" customHeight="1">
      <c r="A308" s="29"/>
      <c r="B308" s="19"/>
      <c r="C308" s="31"/>
      <c r="D308" s="32"/>
      <c r="E308" s="46"/>
      <c r="F308" s="43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23.25" customHeight="1">
      <c r="A309" s="29"/>
      <c r="B309" s="19"/>
      <c r="C309" s="31"/>
      <c r="D309" s="32"/>
      <c r="E309" s="46"/>
      <c r="F309" s="43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23.25" customHeight="1">
      <c r="A310" s="29"/>
      <c r="B310" s="19"/>
      <c r="C310" s="31"/>
      <c r="D310" s="32"/>
      <c r="E310" s="46"/>
      <c r="F310" s="43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23.25" customHeight="1">
      <c r="A311" s="29"/>
      <c r="B311" s="19"/>
      <c r="C311" s="31"/>
      <c r="D311" s="32"/>
      <c r="E311" s="46"/>
      <c r="F311" s="43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23.25" customHeight="1">
      <c r="A312" s="29"/>
      <c r="B312" s="19"/>
      <c r="C312" s="31"/>
      <c r="D312" s="32"/>
      <c r="E312" s="46"/>
      <c r="F312" s="43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23.25" customHeight="1">
      <c r="A313" s="29"/>
      <c r="B313" s="19"/>
      <c r="C313" s="31"/>
      <c r="D313" s="32"/>
      <c r="E313" s="46"/>
      <c r="F313" s="43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23.25" customHeight="1">
      <c r="A314" s="29"/>
      <c r="B314" s="19"/>
      <c r="C314" s="31"/>
      <c r="D314" s="32"/>
      <c r="E314" s="46"/>
      <c r="F314" s="43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23.25" customHeight="1">
      <c r="A315" s="29"/>
      <c r="B315" s="19"/>
      <c r="C315" s="31"/>
      <c r="D315" s="32"/>
      <c r="E315" s="46"/>
      <c r="F315" s="43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23.25" customHeight="1">
      <c r="A316" s="29"/>
      <c r="B316" s="19"/>
      <c r="C316" s="31"/>
      <c r="D316" s="32"/>
      <c r="E316" s="46"/>
      <c r="F316" s="43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23.25" customHeight="1">
      <c r="A317" s="29"/>
      <c r="B317" s="19"/>
      <c r="C317" s="31"/>
      <c r="D317" s="32"/>
      <c r="E317" s="46"/>
      <c r="F317" s="43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23.25" customHeight="1">
      <c r="A318" s="29"/>
      <c r="B318" s="19"/>
      <c r="C318" s="31"/>
      <c r="D318" s="32"/>
      <c r="E318" s="46"/>
      <c r="F318" s="43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23.25" customHeight="1">
      <c r="A319" s="29"/>
      <c r="B319" s="19"/>
      <c r="C319" s="31"/>
      <c r="D319" s="32"/>
      <c r="E319" s="46"/>
      <c r="F319" s="43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23.25" customHeight="1">
      <c r="A320" s="29"/>
      <c r="B320" s="19"/>
      <c r="C320" s="31"/>
      <c r="D320" s="32"/>
      <c r="E320" s="46"/>
      <c r="F320" s="43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23.25" customHeight="1">
      <c r="A321" s="29"/>
      <c r="B321" s="19"/>
      <c r="C321" s="31"/>
      <c r="D321" s="32"/>
      <c r="E321" s="46"/>
      <c r="F321" s="43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23.25" customHeight="1">
      <c r="A322" s="29"/>
      <c r="B322" s="19"/>
      <c r="C322" s="31"/>
      <c r="D322" s="32"/>
      <c r="E322" s="46"/>
      <c r="F322" s="43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23.25" customHeight="1">
      <c r="A323" s="29"/>
      <c r="B323" s="19"/>
      <c r="C323" s="31"/>
      <c r="D323" s="32"/>
      <c r="E323" s="46"/>
      <c r="F323" s="43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23.25" customHeight="1">
      <c r="A324" s="29"/>
      <c r="B324" s="19"/>
      <c r="C324" s="31"/>
      <c r="D324" s="32"/>
      <c r="E324" s="46"/>
      <c r="F324" s="43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23.25" customHeight="1">
      <c r="A325" s="29"/>
      <c r="B325" s="19"/>
      <c r="C325" s="31"/>
      <c r="D325" s="32"/>
      <c r="E325" s="46"/>
      <c r="F325" s="43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23.25" customHeight="1">
      <c r="A326" s="29"/>
      <c r="B326" s="19"/>
      <c r="C326" s="31"/>
      <c r="D326" s="32"/>
      <c r="E326" s="46"/>
      <c r="F326" s="43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23.25" customHeight="1">
      <c r="A327" s="29"/>
      <c r="B327" s="19"/>
      <c r="C327" s="31"/>
      <c r="D327" s="32"/>
      <c r="E327" s="46"/>
      <c r="F327" s="43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23.25" customHeight="1">
      <c r="A328" s="29"/>
      <c r="B328" s="19"/>
      <c r="C328" s="31"/>
      <c r="D328" s="32"/>
      <c r="E328" s="46"/>
      <c r="F328" s="43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23.25" customHeight="1">
      <c r="A329" s="29"/>
      <c r="B329" s="19"/>
      <c r="C329" s="31"/>
      <c r="D329" s="32"/>
      <c r="E329" s="46"/>
      <c r="F329" s="43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23.25" customHeight="1">
      <c r="A330" s="29"/>
      <c r="B330" s="19"/>
      <c r="C330" s="31"/>
      <c r="D330" s="32"/>
      <c r="E330" s="46"/>
      <c r="F330" s="43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23.25" customHeight="1">
      <c r="A331" s="29"/>
      <c r="B331" s="19"/>
      <c r="C331" s="31"/>
      <c r="D331" s="32"/>
      <c r="E331" s="46"/>
      <c r="F331" s="43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23.25" customHeight="1">
      <c r="A332" s="29"/>
      <c r="B332" s="19"/>
      <c r="C332" s="31"/>
      <c r="D332" s="32"/>
      <c r="E332" s="46"/>
      <c r="F332" s="43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23.25" customHeight="1">
      <c r="A333" s="29"/>
      <c r="B333" s="19"/>
      <c r="C333" s="31"/>
      <c r="D333" s="32"/>
      <c r="E333" s="46"/>
      <c r="F333" s="43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23.25" customHeight="1">
      <c r="A334" s="29"/>
      <c r="B334" s="19"/>
      <c r="C334" s="31"/>
      <c r="D334" s="32"/>
      <c r="E334" s="46"/>
      <c r="F334" s="43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23.25" customHeight="1">
      <c r="A335" s="29"/>
      <c r="B335" s="19"/>
      <c r="C335" s="31"/>
      <c r="D335" s="32"/>
      <c r="E335" s="46"/>
      <c r="F335" s="43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23.25" customHeight="1">
      <c r="A336" s="29"/>
      <c r="B336" s="19"/>
      <c r="C336" s="31"/>
      <c r="D336" s="32"/>
      <c r="E336" s="46"/>
      <c r="F336" s="43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23.25" customHeight="1">
      <c r="A337" s="29"/>
      <c r="B337" s="19"/>
      <c r="C337" s="31"/>
      <c r="D337" s="32"/>
      <c r="E337" s="46"/>
      <c r="F337" s="43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23.25" customHeight="1">
      <c r="A338" s="29"/>
      <c r="B338" s="19"/>
      <c r="C338" s="31"/>
      <c r="D338" s="32"/>
      <c r="E338" s="46"/>
      <c r="F338" s="43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23.25" customHeight="1">
      <c r="A339" s="29"/>
      <c r="B339" s="19"/>
      <c r="C339" s="31"/>
      <c r="D339" s="32"/>
      <c r="E339" s="46"/>
      <c r="F339" s="43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23.25" customHeight="1">
      <c r="A340" s="29"/>
      <c r="B340" s="19"/>
      <c r="C340" s="31"/>
      <c r="D340" s="32"/>
      <c r="E340" s="46"/>
      <c r="F340" s="43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23.25" customHeight="1">
      <c r="A341" s="29"/>
      <c r="B341" s="19"/>
      <c r="C341" s="31"/>
      <c r="D341" s="32"/>
      <c r="E341" s="46"/>
      <c r="F341" s="43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23.25" customHeight="1">
      <c r="A342" s="29"/>
      <c r="B342" s="19"/>
      <c r="C342" s="31"/>
      <c r="D342" s="32"/>
      <c r="E342" s="46"/>
      <c r="F342" s="43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23.25" customHeight="1">
      <c r="A343" s="29"/>
      <c r="B343" s="19"/>
      <c r="C343" s="31"/>
      <c r="D343" s="32"/>
      <c r="E343" s="46"/>
      <c r="F343" s="43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23.25" customHeight="1">
      <c r="A344" s="29"/>
      <c r="B344" s="19"/>
      <c r="C344" s="31"/>
      <c r="D344" s="32"/>
      <c r="E344" s="46"/>
      <c r="F344" s="43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23.25" customHeight="1">
      <c r="A345" s="29"/>
      <c r="B345" s="19"/>
      <c r="C345" s="31"/>
      <c r="D345" s="32"/>
      <c r="E345" s="46"/>
      <c r="F345" s="43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23.25" customHeight="1">
      <c r="A346" s="29"/>
      <c r="B346" s="19"/>
      <c r="C346" s="31"/>
      <c r="D346" s="32"/>
      <c r="E346" s="46"/>
      <c r="F346" s="43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23.25" customHeight="1">
      <c r="A347" s="29"/>
      <c r="B347" s="19"/>
      <c r="C347" s="31"/>
      <c r="D347" s="32"/>
      <c r="E347" s="46"/>
      <c r="F347" s="43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23.25" customHeight="1">
      <c r="A348" s="29"/>
      <c r="B348" s="19"/>
      <c r="C348" s="31"/>
      <c r="D348" s="32"/>
      <c r="E348" s="46"/>
      <c r="F348" s="43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23.25" customHeight="1">
      <c r="A349" s="29"/>
      <c r="B349" s="19"/>
      <c r="C349" s="31"/>
      <c r="D349" s="32"/>
      <c r="E349" s="46"/>
      <c r="F349" s="43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23.25" customHeight="1">
      <c r="A350" s="29"/>
      <c r="B350" s="19"/>
      <c r="C350" s="31"/>
      <c r="D350" s="32"/>
      <c r="E350" s="46"/>
      <c r="F350" s="43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23.25" customHeight="1">
      <c r="A351" s="29"/>
      <c r="B351" s="19"/>
      <c r="C351" s="31"/>
      <c r="D351" s="32"/>
      <c r="E351" s="46"/>
      <c r="F351" s="43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23.25" customHeight="1">
      <c r="A352" s="29"/>
      <c r="B352" s="19"/>
      <c r="C352" s="31"/>
      <c r="D352" s="32"/>
      <c r="E352" s="46"/>
      <c r="F352" s="43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23.25" customHeight="1">
      <c r="A353" s="29"/>
      <c r="B353" s="19"/>
      <c r="C353" s="31"/>
      <c r="D353" s="32"/>
      <c r="E353" s="46"/>
      <c r="F353" s="43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23.25" customHeight="1">
      <c r="A354" s="29"/>
      <c r="B354" s="19"/>
      <c r="C354" s="31"/>
      <c r="D354" s="32"/>
      <c r="E354" s="46"/>
      <c r="F354" s="43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23.25" customHeight="1">
      <c r="A355" s="29"/>
      <c r="B355" s="19"/>
      <c r="C355" s="31"/>
      <c r="D355" s="32"/>
      <c r="E355" s="46"/>
      <c r="F355" s="43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23.25" customHeight="1">
      <c r="A356" s="29"/>
      <c r="B356" s="19"/>
      <c r="C356" s="31"/>
      <c r="D356" s="32"/>
      <c r="E356" s="46"/>
      <c r="F356" s="43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23.25" customHeight="1">
      <c r="A357" s="29"/>
      <c r="B357" s="19"/>
      <c r="C357" s="31"/>
      <c r="D357" s="32"/>
      <c r="E357" s="46"/>
      <c r="F357" s="43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23.25" customHeight="1">
      <c r="A358" s="29"/>
      <c r="B358" s="19"/>
      <c r="C358" s="31"/>
      <c r="D358" s="32"/>
      <c r="E358" s="46"/>
      <c r="F358" s="43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23.25" customHeight="1">
      <c r="A359" s="29"/>
      <c r="B359" s="19"/>
      <c r="C359" s="31"/>
      <c r="D359" s="32"/>
      <c r="E359" s="46"/>
      <c r="F359" s="43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23.25" customHeight="1">
      <c r="A360" s="29"/>
      <c r="B360" s="19"/>
      <c r="C360" s="31"/>
      <c r="D360" s="32"/>
      <c r="E360" s="46"/>
      <c r="F360" s="43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23.25" customHeight="1">
      <c r="A361" s="29"/>
      <c r="B361" s="19"/>
      <c r="C361" s="31"/>
      <c r="D361" s="32"/>
      <c r="E361" s="46"/>
      <c r="F361" s="43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23.25" customHeight="1">
      <c r="A362" s="29"/>
      <c r="B362" s="19"/>
      <c r="C362" s="31"/>
      <c r="D362" s="32"/>
      <c r="E362" s="46"/>
      <c r="F362" s="43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23.25" customHeight="1">
      <c r="A363" s="29"/>
      <c r="B363" s="19"/>
      <c r="C363" s="31"/>
      <c r="D363" s="32"/>
      <c r="E363" s="46"/>
      <c r="F363" s="43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23.25" customHeight="1">
      <c r="A364" s="29"/>
      <c r="B364" s="19"/>
      <c r="C364" s="31"/>
      <c r="D364" s="32"/>
      <c r="E364" s="46"/>
      <c r="F364" s="43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23.25" customHeight="1">
      <c r="A365" s="29"/>
      <c r="B365" s="19"/>
      <c r="C365" s="31"/>
      <c r="D365" s="32"/>
      <c r="E365" s="46"/>
      <c r="F365" s="43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23.25" customHeight="1">
      <c r="A366" s="29"/>
      <c r="B366" s="19"/>
      <c r="C366" s="31"/>
      <c r="D366" s="32"/>
      <c r="E366" s="46"/>
      <c r="F366" s="43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23.25" customHeight="1">
      <c r="A367" s="29"/>
      <c r="B367" s="19"/>
      <c r="C367" s="31"/>
      <c r="D367" s="32"/>
      <c r="E367" s="46"/>
      <c r="F367" s="43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23.25" customHeight="1">
      <c r="A368" s="29"/>
      <c r="B368" s="19"/>
      <c r="C368" s="31"/>
      <c r="D368" s="32"/>
      <c r="E368" s="46"/>
      <c r="F368" s="43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23.25" customHeight="1">
      <c r="A369" s="29"/>
      <c r="B369" s="19"/>
      <c r="C369" s="31"/>
      <c r="D369" s="32"/>
      <c r="E369" s="46"/>
      <c r="F369" s="43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23.25" customHeight="1">
      <c r="A370" s="29"/>
      <c r="B370" s="19"/>
      <c r="C370" s="31"/>
      <c r="D370" s="32"/>
      <c r="E370" s="46"/>
      <c r="F370" s="43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23.25" customHeight="1">
      <c r="A371" s="29"/>
      <c r="B371" s="19"/>
      <c r="C371" s="31"/>
      <c r="D371" s="32"/>
      <c r="E371" s="46"/>
      <c r="F371" s="43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23.25" customHeight="1">
      <c r="A372" s="29"/>
      <c r="B372" s="19"/>
      <c r="C372" s="31"/>
      <c r="D372" s="32"/>
      <c r="E372" s="46"/>
      <c r="F372" s="43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23.25" customHeight="1">
      <c r="A373" s="29"/>
      <c r="B373" s="19"/>
      <c r="C373" s="31"/>
      <c r="D373" s="32"/>
      <c r="E373" s="46"/>
      <c r="F373" s="43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23.25" customHeight="1">
      <c r="A374" s="29"/>
      <c r="B374" s="19"/>
      <c r="C374" s="31"/>
      <c r="D374" s="32"/>
      <c r="E374" s="46"/>
      <c r="F374" s="43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23.25" customHeight="1">
      <c r="A375" s="29"/>
      <c r="B375" s="19"/>
      <c r="C375" s="31"/>
      <c r="D375" s="32"/>
      <c r="E375" s="46"/>
      <c r="F375" s="43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23.25" customHeight="1">
      <c r="A376" s="29"/>
      <c r="B376" s="19"/>
      <c r="C376" s="31"/>
      <c r="D376" s="32"/>
      <c r="E376" s="46"/>
      <c r="F376" s="43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23.25" customHeight="1">
      <c r="A377" s="29"/>
      <c r="B377" s="19"/>
      <c r="C377" s="31"/>
      <c r="D377" s="32"/>
      <c r="E377" s="46"/>
      <c r="F377" s="43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23.25" customHeight="1">
      <c r="A378" s="29"/>
      <c r="B378" s="19"/>
      <c r="C378" s="31"/>
      <c r="D378" s="32"/>
      <c r="E378" s="46"/>
      <c r="F378" s="43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23.25" customHeight="1">
      <c r="A379" s="29"/>
      <c r="B379" s="19"/>
      <c r="C379" s="31"/>
      <c r="D379" s="32"/>
      <c r="E379" s="46"/>
      <c r="F379" s="43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23.25" customHeight="1">
      <c r="A380" s="29"/>
      <c r="B380" s="19"/>
      <c r="C380" s="31"/>
      <c r="D380" s="32"/>
      <c r="E380" s="46"/>
      <c r="F380" s="43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23.25" customHeight="1">
      <c r="A381" s="29"/>
      <c r="B381" s="19"/>
      <c r="C381" s="31"/>
      <c r="D381" s="32"/>
      <c r="E381" s="46"/>
      <c r="F381" s="43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23.25" customHeight="1">
      <c r="A382" s="29"/>
      <c r="B382" s="19"/>
      <c r="C382" s="31"/>
      <c r="D382" s="32"/>
      <c r="E382" s="46"/>
      <c r="F382" s="43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23.25" customHeight="1">
      <c r="A383" s="29"/>
      <c r="B383" s="19"/>
      <c r="C383" s="31"/>
      <c r="D383" s="32"/>
      <c r="E383" s="46"/>
      <c r="F383" s="43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23.25" customHeight="1">
      <c r="A384" s="29"/>
      <c r="B384" s="19"/>
      <c r="C384" s="31"/>
      <c r="D384" s="32"/>
      <c r="E384" s="46"/>
      <c r="F384" s="43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23.25" customHeight="1">
      <c r="A385" s="29"/>
      <c r="B385" s="19"/>
      <c r="C385" s="31"/>
      <c r="D385" s="32"/>
      <c r="E385" s="46"/>
      <c r="F385" s="43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23.25" customHeight="1">
      <c r="A386" s="29"/>
      <c r="B386" s="19"/>
      <c r="C386" s="31"/>
      <c r="D386" s="32"/>
      <c r="E386" s="46"/>
      <c r="F386" s="43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23.25" customHeight="1">
      <c r="A387" s="29"/>
      <c r="B387" s="19"/>
      <c r="C387" s="31"/>
      <c r="D387" s="32"/>
      <c r="E387" s="46"/>
      <c r="F387" s="43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23.25" customHeight="1">
      <c r="A388" s="29"/>
      <c r="B388" s="19"/>
      <c r="C388" s="31"/>
      <c r="D388" s="32"/>
      <c r="E388" s="46"/>
      <c r="F388" s="43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23.25" customHeight="1">
      <c r="A389" s="29"/>
      <c r="B389" s="19"/>
      <c r="C389" s="31"/>
      <c r="D389" s="32"/>
      <c r="E389" s="46"/>
      <c r="F389" s="43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23.25" customHeight="1">
      <c r="A390" s="29"/>
      <c r="B390" s="19"/>
      <c r="C390" s="31"/>
      <c r="D390" s="32"/>
      <c r="E390" s="46"/>
      <c r="F390" s="43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23.25" customHeight="1">
      <c r="A391" s="29"/>
      <c r="B391" s="19"/>
      <c r="C391" s="31"/>
      <c r="D391" s="32"/>
      <c r="E391" s="46"/>
      <c r="F391" s="43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23.25" customHeight="1">
      <c r="A392" s="29"/>
      <c r="B392" s="19"/>
      <c r="C392" s="31"/>
      <c r="D392" s="32"/>
      <c r="E392" s="46"/>
      <c r="F392" s="43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23.25" customHeight="1">
      <c r="A393" s="29"/>
      <c r="B393" s="19"/>
      <c r="C393" s="31"/>
      <c r="D393" s="32"/>
      <c r="E393" s="46"/>
      <c r="F393" s="43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23.25" customHeight="1">
      <c r="A394" s="29"/>
      <c r="B394" s="19"/>
      <c r="C394" s="31"/>
      <c r="D394" s="32"/>
      <c r="E394" s="46"/>
      <c r="F394" s="43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23.25" customHeight="1">
      <c r="A395" s="29"/>
      <c r="B395" s="19"/>
      <c r="C395" s="31"/>
      <c r="D395" s="32"/>
      <c r="E395" s="46"/>
      <c r="F395" s="43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23.25" customHeight="1">
      <c r="A396" s="29"/>
      <c r="B396" s="19"/>
      <c r="C396" s="31"/>
      <c r="D396" s="32"/>
      <c r="E396" s="46"/>
      <c r="F396" s="43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23.25" customHeight="1">
      <c r="A397" s="29"/>
      <c r="B397" s="19"/>
      <c r="C397" s="31"/>
      <c r="D397" s="32"/>
      <c r="E397" s="46"/>
      <c r="F397" s="43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23.25" customHeight="1">
      <c r="A398" s="29"/>
      <c r="B398" s="19"/>
      <c r="C398" s="31"/>
      <c r="D398" s="32"/>
      <c r="E398" s="46"/>
      <c r="F398" s="43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23.25" customHeight="1">
      <c r="A399" s="29"/>
      <c r="B399" s="19"/>
      <c r="C399" s="31"/>
      <c r="D399" s="32"/>
      <c r="E399" s="46"/>
      <c r="F399" s="43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23.25" customHeight="1">
      <c r="A400" s="29"/>
      <c r="B400" s="19"/>
      <c r="C400" s="31"/>
      <c r="D400" s="32"/>
      <c r="E400" s="46"/>
      <c r="F400" s="43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23.25" customHeight="1">
      <c r="A401" s="29"/>
      <c r="B401" s="19"/>
      <c r="C401" s="31"/>
      <c r="D401" s="32"/>
      <c r="E401" s="46"/>
      <c r="F401" s="43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23.25" customHeight="1">
      <c r="A402" s="29"/>
      <c r="B402" s="19"/>
      <c r="C402" s="31"/>
      <c r="D402" s="32"/>
      <c r="E402" s="46"/>
      <c r="F402" s="43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23.25" customHeight="1">
      <c r="A403" s="29"/>
      <c r="B403" s="19"/>
      <c r="C403" s="31"/>
      <c r="D403" s="32"/>
      <c r="E403" s="46"/>
      <c r="F403" s="43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23.25" customHeight="1">
      <c r="A404" s="29"/>
      <c r="B404" s="19"/>
      <c r="C404" s="31"/>
      <c r="D404" s="32"/>
      <c r="E404" s="46"/>
      <c r="F404" s="43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23.25" customHeight="1">
      <c r="A405" s="29"/>
      <c r="B405" s="19"/>
      <c r="C405" s="31"/>
      <c r="D405" s="32"/>
      <c r="E405" s="46"/>
      <c r="F405" s="43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23.25" customHeight="1">
      <c r="A406" s="29"/>
      <c r="B406" s="19"/>
      <c r="C406" s="31"/>
      <c r="D406" s="32"/>
      <c r="E406" s="46"/>
      <c r="F406" s="43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23.25" customHeight="1">
      <c r="A407" s="29"/>
      <c r="B407" s="19"/>
      <c r="C407" s="31"/>
      <c r="D407" s="32"/>
      <c r="E407" s="46"/>
      <c r="F407" s="43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23.25" customHeight="1">
      <c r="A408" s="29"/>
      <c r="B408" s="19"/>
      <c r="C408" s="31"/>
      <c r="D408" s="32"/>
      <c r="E408" s="46"/>
      <c r="F408" s="43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23.25" customHeight="1">
      <c r="A409" s="29"/>
      <c r="B409" s="19"/>
      <c r="C409" s="31"/>
      <c r="D409" s="32"/>
      <c r="E409" s="46"/>
      <c r="F409" s="43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23.25" customHeight="1">
      <c r="A410" s="29"/>
      <c r="B410" s="19"/>
      <c r="C410" s="31"/>
      <c r="D410" s="32"/>
      <c r="E410" s="46"/>
      <c r="F410" s="43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23.25" customHeight="1">
      <c r="A411" s="29"/>
      <c r="B411" s="19"/>
      <c r="C411" s="31"/>
      <c r="D411" s="32"/>
      <c r="E411" s="46"/>
      <c r="F411" s="43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23.25" customHeight="1">
      <c r="A412" s="29"/>
      <c r="B412" s="19"/>
      <c r="C412" s="31"/>
      <c r="D412" s="32"/>
      <c r="E412" s="46"/>
      <c r="F412" s="43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23.25" customHeight="1">
      <c r="A413" s="29"/>
      <c r="B413" s="19"/>
      <c r="C413" s="31"/>
      <c r="D413" s="32"/>
      <c r="E413" s="46"/>
      <c r="F413" s="43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23.25" customHeight="1">
      <c r="A414" s="29"/>
      <c r="B414" s="19"/>
      <c r="C414" s="31"/>
      <c r="D414" s="32"/>
      <c r="E414" s="46"/>
      <c r="F414" s="43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23.25" customHeight="1">
      <c r="A415" s="29"/>
      <c r="B415" s="19"/>
      <c r="C415" s="31"/>
      <c r="D415" s="32"/>
      <c r="E415" s="46"/>
      <c r="F415" s="43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23.25" customHeight="1">
      <c r="A416" s="29"/>
      <c r="B416" s="19"/>
      <c r="C416" s="31"/>
      <c r="D416" s="32"/>
      <c r="E416" s="46"/>
      <c r="F416" s="43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23.25" customHeight="1">
      <c r="A417" s="29"/>
      <c r="B417" s="19"/>
      <c r="C417" s="31"/>
      <c r="D417" s="32"/>
      <c r="E417" s="46"/>
      <c r="F417" s="43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23.25" customHeight="1">
      <c r="A418" s="29"/>
      <c r="B418" s="19"/>
      <c r="C418" s="31"/>
      <c r="D418" s="32"/>
      <c r="E418" s="46"/>
      <c r="F418" s="43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23.25" customHeight="1">
      <c r="A419" s="29"/>
      <c r="B419" s="19"/>
      <c r="C419" s="31"/>
      <c r="D419" s="32"/>
      <c r="E419" s="46"/>
      <c r="F419" s="43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23.25" customHeight="1">
      <c r="A420" s="29"/>
      <c r="B420" s="19"/>
      <c r="C420" s="31"/>
      <c r="D420" s="32"/>
      <c r="E420" s="46"/>
      <c r="F420" s="43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23.25" customHeight="1">
      <c r="A421" s="29"/>
      <c r="B421" s="19"/>
      <c r="C421" s="31"/>
      <c r="D421" s="32"/>
      <c r="E421" s="46"/>
      <c r="F421" s="43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23.25" customHeight="1">
      <c r="A422" s="29"/>
      <c r="B422" s="19"/>
      <c r="C422" s="31"/>
      <c r="D422" s="32"/>
      <c r="E422" s="46"/>
      <c r="F422" s="43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23.25" customHeight="1">
      <c r="A423" s="29"/>
      <c r="B423" s="19"/>
      <c r="C423" s="31"/>
      <c r="D423" s="32"/>
      <c r="E423" s="46"/>
      <c r="F423" s="43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23.25" customHeight="1">
      <c r="A424" s="29"/>
      <c r="B424" s="19"/>
      <c r="C424" s="31"/>
      <c r="D424" s="32"/>
      <c r="E424" s="46"/>
      <c r="F424" s="43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23.25" customHeight="1">
      <c r="A425" s="29"/>
      <c r="B425" s="19"/>
      <c r="C425" s="31"/>
      <c r="D425" s="32"/>
      <c r="E425" s="46"/>
      <c r="F425" s="43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23.25" customHeight="1">
      <c r="A426" s="29"/>
      <c r="B426" s="19"/>
      <c r="C426" s="31"/>
      <c r="D426" s="32"/>
      <c r="E426" s="46"/>
      <c r="F426" s="43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23.25" customHeight="1">
      <c r="A427" s="29"/>
      <c r="B427" s="19"/>
      <c r="C427" s="31"/>
      <c r="D427" s="32"/>
      <c r="E427" s="46"/>
      <c r="F427" s="43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23.25" customHeight="1">
      <c r="A428" s="29"/>
      <c r="B428" s="19"/>
      <c r="C428" s="31"/>
      <c r="D428" s="32"/>
      <c r="E428" s="46"/>
      <c r="F428" s="43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23.25" customHeight="1">
      <c r="A429" s="29"/>
      <c r="B429" s="19"/>
      <c r="C429" s="31"/>
      <c r="D429" s="32"/>
      <c r="E429" s="46"/>
      <c r="F429" s="43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23.25" customHeight="1">
      <c r="A430" s="29"/>
      <c r="B430" s="19"/>
      <c r="C430" s="31"/>
      <c r="D430" s="32"/>
      <c r="E430" s="46"/>
      <c r="F430" s="43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23.25" customHeight="1">
      <c r="A431" s="29"/>
      <c r="B431" s="19"/>
      <c r="C431" s="31"/>
      <c r="D431" s="32"/>
      <c r="E431" s="46"/>
      <c r="F431" s="43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23.25" customHeight="1">
      <c r="A432" s="29"/>
      <c r="B432" s="19"/>
      <c r="C432" s="31"/>
      <c r="D432" s="32"/>
      <c r="E432" s="46"/>
      <c r="F432" s="43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23.25" customHeight="1">
      <c r="A433" s="29"/>
      <c r="B433" s="19"/>
      <c r="C433" s="31"/>
      <c r="D433" s="32"/>
      <c r="E433" s="46"/>
      <c r="F433" s="43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23.25" customHeight="1">
      <c r="A434" s="29"/>
      <c r="B434" s="19"/>
      <c r="C434" s="31"/>
      <c r="D434" s="32"/>
      <c r="E434" s="46"/>
      <c r="F434" s="43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23.25" customHeight="1">
      <c r="A435" s="29"/>
      <c r="B435" s="19"/>
      <c r="C435" s="31"/>
      <c r="D435" s="32"/>
      <c r="E435" s="46"/>
      <c r="F435" s="43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23.25" customHeight="1">
      <c r="A436" s="29"/>
      <c r="B436" s="19"/>
      <c r="C436" s="31"/>
      <c r="D436" s="32"/>
      <c r="E436" s="46"/>
      <c r="F436" s="43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23.25" customHeight="1">
      <c r="A437" s="29"/>
      <c r="B437" s="19"/>
      <c r="C437" s="31"/>
      <c r="D437" s="32"/>
      <c r="E437" s="46"/>
      <c r="F437" s="43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23.25" customHeight="1">
      <c r="A438" s="29"/>
      <c r="B438" s="19"/>
      <c r="C438" s="31"/>
      <c r="D438" s="32"/>
      <c r="E438" s="46"/>
      <c r="F438" s="43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23.25" customHeight="1">
      <c r="A439" s="29"/>
      <c r="B439" s="19"/>
      <c r="C439" s="31"/>
      <c r="D439" s="32"/>
      <c r="E439" s="46"/>
      <c r="F439" s="43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23.25" customHeight="1">
      <c r="A440" s="29"/>
      <c r="B440" s="19"/>
      <c r="C440" s="31"/>
      <c r="D440" s="32"/>
      <c r="E440" s="46"/>
      <c r="F440" s="43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23.25" customHeight="1">
      <c r="A441" s="29"/>
      <c r="B441" s="19"/>
      <c r="C441" s="31"/>
      <c r="D441" s="32"/>
      <c r="E441" s="46"/>
      <c r="F441" s="43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23.25" customHeight="1">
      <c r="A442" s="29"/>
      <c r="B442" s="19"/>
      <c r="C442" s="31"/>
      <c r="D442" s="32"/>
      <c r="E442" s="46"/>
      <c r="F442" s="43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23.25" customHeight="1">
      <c r="A443" s="29"/>
      <c r="B443" s="19"/>
      <c r="C443" s="31"/>
      <c r="D443" s="32"/>
      <c r="E443" s="46"/>
      <c r="F443" s="43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23.25" customHeight="1">
      <c r="A444" s="29"/>
      <c r="B444" s="19"/>
      <c r="C444" s="31"/>
      <c r="D444" s="32"/>
      <c r="E444" s="46"/>
      <c r="F444" s="43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23.25" customHeight="1">
      <c r="A445" s="29"/>
      <c r="B445" s="19"/>
      <c r="C445" s="31"/>
      <c r="D445" s="32"/>
      <c r="E445" s="46"/>
      <c r="F445" s="43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23.25" customHeight="1">
      <c r="A446" s="29"/>
      <c r="B446" s="19"/>
      <c r="C446" s="31"/>
      <c r="D446" s="32"/>
      <c r="E446" s="46"/>
      <c r="F446" s="43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23.25" customHeight="1">
      <c r="A447" s="29"/>
      <c r="B447" s="19"/>
      <c r="C447" s="31"/>
      <c r="D447" s="32"/>
      <c r="E447" s="46"/>
      <c r="F447" s="43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23.25" customHeight="1">
      <c r="A448" s="29"/>
      <c r="B448" s="19"/>
      <c r="C448" s="31"/>
      <c r="D448" s="32"/>
      <c r="E448" s="46"/>
      <c r="F448" s="43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23.25" customHeight="1">
      <c r="A449" s="29"/>
      <c r="B449" s="19"/>
      <c r="C449" s="31"/>
      <c r="D449" s="32"/>
      <c r="E449" s="46"/>
      <c r="F449" s="43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23.25" customHeight="1">
      <c r="A450" s="29"/>
      <c r="B450" s="19"/>
      <c r="C450" s="31"/>
      <c r="D450" s="32"/>
      <c r="E450" s="46"/>
      <c r="F450" s="43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23.25" customHeight="1">
      <c r="A451" s="29"/>
      <c r="B451" s="19"/>
      <c r="C451" s="31"/>
      <c r="D451" s="32"/>
      <c r="E451" s="46"/>
      <c r="F451" s="43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23.25" customHeight="1">
      <c r="A452" s="29"/>
      <c r="B452" s="19"/>
      <c r="C452" s="31"/>
      <c r="D452" s="32"/>
      <c r="E452" s="46"/>
      <c r="F452" s="43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23.25" customHeight="1">
      <c r="A453" s="29"/>
      <c r="B453" s="19"/>
      <c r="C453" s="31"/>
      <c r="D453" s="32"/>
      <c r="E453" s="46"/>
      <c r="F453" s="43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23.25" customHeight="1">
      <c r="A454" s="29"/>
      <c r="B454" s="19"/>
      <c r="C454" s="31"/>
      <c r="D454" s="32"/>
      <c r="E454" s="46"/>
      <c r="F454" s="43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23.25" customHeight="1">
      <c r="A455" s="29"/>
      <c r="B455" s="19"/>
      <c r="C455" s="31"/>
      <c r="D455" s="32"/>
      <c r="E455" s="46"/>
      <c r="F455" s="43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23.25" customHeight="1">
      <c r="A456" s="29"/>
      <c r="B456" s="19"/>
      <c r="C456" s="31"/>
      <c r="D456" s="32"/>
      <c r="E456" s="46"/>
      <c r="F456" s="43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23.25" customHeight="1">
      <c r="A457" s="29"/>
      <c r="B457" s="19"/>
      <c r="C457" s="31"/>
      <c r="D457" s="32"/>
      <c r="E457" s="46"/>
      <c r="F457" s="43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23.25" customHeight="1">
      <c r="A458" s="29"/>
      <c r="B458" s="19"/>
      <c r="C458" s="31"/>
      <c r="D458" s="32"/>
      <c r="E458" s="46"/>
      <c r="F458" s="43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23.25" customHeight="1">
      <c r="A459" s="29"/>
      <c r="B459" s="19"/>
      <c r="C459" s="31"/>
      <c r="D459" s="32"/>
      <c r="E459" s="46"/>
      <c r="F459" s="43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23.25" customHeight="1">
      <c r="A460" s="29"/>
      <c r="B460" s="19"/>
      <c r="C460" s="31"/>
      <c r="D460" s="32"/>
      <c r="E460" s="46"/>
      <c r="F460" s="43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23.25" customHeight="1">
      <c r="A461" s="29"/>
      <c r="B461" s="19"/>
      <c r="C461" s="31"/>
      <c r="D461" s="32"/>
      <c r="E461" s="46"/>
      <c r="F461" s="43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23.25" customHeight="1">
      <c r="A462" s="29"/>
      <c r="B462" s="19"/>
      <c r="C462" s="31"/>
      <c r="D462" s="32"/>
      <c r="E462" s="46"/>
      <c r="F462" s="43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23.25" customHeight="1">
      <c r="A463" s="29"/>
      <c r="B463" s="19"/>
      <c r="C463" s="31"/>
      <c r="D463" s="32"/>
      <c r="E463" s="46"/>
      <c r="F463" s="43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23.25" customHeight="1">
      <c r="A464" s="29"/>
      <c r="B464" s="19"/>
      <c r="C464" s="31"/>
      <c r="D464" s="32"/>
      <c r="E464" s="46"/>
      <c r="F464" s="43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23.25" customHeight="1">
      <c r="A465" s="29"/>
      <c r="B465" s="19"/>
      <c r="C465" s="31"/>
      <c r="D465" s="32"/>
      <c r="E465" s="46"/>
      <c r="F465" s="43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23.25" customHeight="1">
      <c r="A466" s="29"/>
      <c r="B466" s="19"/>
      <c r="C466" s="31"/>
      <c r="D466" s="32"/>
      <c r="E466" s="46"/>
      <c r="F466" s="43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23.25" customHeight="1">
      <c r="A467" s="29"/>
      <c r="B467" s="19"/>
      <c r="C467" s="31"/>
      <c r="D467" s="32"/>
      <c r="E467" s="46"/>
      <c r="F467" s="43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23.25" customHeight="1">
      <c r="A468" s="29"/>
      <c r="B468" s="19"/>
      <c r="C468" s="31"/>
      <c r="D468" s="32"/>
      <c r="E468" s="46"/>
      <c r="F468" s="43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23.25" customHeight="1">
      <c r="A469" s="29"/>
      <c r="B469" s="19"/>
      <c r="C469" s="31"/>
      <c r="D469" s="32"/>
      <c r="E469" s="46"/>
      <c r="F469" s="43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23.25" customHeight="1">
      <c r="A470" s="29"/>
      <c r="B470" s="19"/>
      <c r="C470" s="31"/>
      <c r="D470" s="32"/>
      <c r="E470" s="46"/>
      <c r="F470" s="43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23.25" customHeight="1">
      <c r="A471" s="29"/>
      <c r="B471" s="19"/>
      <c r="C471" s="31"/>
      <c r="D471" s="32"/>
      <c r="E471" s="46"/>
      <c r="F471" s="43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23.25" customHeight="1">
      <c r="A472" s="29"/>
      <c r="B472" s="19"/>
      <c r="C472" s="31"/>
      <c r="D472" s="32"/>
      <c r="E472" s="46"/>
      <c r="F472" s="43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23.25" customHeight="1">
      <c r="A473" s="29"/>
      <c r="B473" s="19"/>
      <c r="C473" s="31"/>
      <c r="D473" s="32"/>
      <c r="E473" s="46"/>
      <c r="F473" s="43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23.25" customHeight="1">
      <c r="A474" s="29"/>
      <c r="B474" s="19"/>
      <c r="C474" s="31"/>
      <c r="D474" s="32"/>
      <c r="E474" s="46"/>
      <c r="F474" s="43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23.25" customHeight="1">
      <c r="A475" s="29"/>
      <c r="B475" s="19"/>
      <c r="C475" s="31"/>
      <c r="D475" s="32"/>
      <c r="E475" s="46"/>
      <c r="F475" s="43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23.25" customHeight="1">
      <c r="A476" s="29"/>
      <c r="B476" s="19"/>
      <c r="C476" s="31"/>
      <c r="D476" s="32"/>
      <c r="E476" s="46"/>
      <c r="F476" s="43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23.25" customHeight="1">
      <c r="A477" s="29"/>
      <c r="B477" s="19"/>
      <c r="C477" s="31"/>
      <c r="D477" s="32"/>
      <c r="E477" s="46"/>
      <c r="F477" s="43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23.25" customHeight="1">
      <c r="A478" s="29"/>
      <c r="B478" s="19"/>
      <c r="C478" s="31"/>
      <c r="D478" s="32"/>
      <c r="E478" s="46"/>
      <c r="F478" s="43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23.25" customHeight="1">
      <c r="A479" s="29"/>
      <c r="B479" s="19"/>
      <c r="C479" s="31"/>
      <c r="D479" s="32"/>
      <c r="E479" s="46"/>
      <c r="F479" s="43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23.25" customHeight="1">
      <c r="A480" s="29"/>
      <c r="B480" s="19"/>
      <c r="C480" s="31"/>
      <c r="D480" s="32"/>
      <c r="E480" s="46"/>
      <c r="F480" s="43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23.25" customHeight="1">
      <c r="A481" s="29"/>
      <c r="B481" s="19"/>
      <c r="C481" s="31"/>
      <c r="D481" s="32"/>
      <c r="E481" s="46"/>
      <c r="F481" s="43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23.25" customHeight="1">
      <c r="A482" s="29"/>
      <c r="B482" s="19"/>
      <c r="C482" s="31"/>
      <c r="D482" s="32"/>
      <c r="E482" s="46"/>
      <c r="F482" s="43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23.25" customHeight="1">
      <c r="A483" s="29"/>
      <c r="B483" s="19"/>
      <c r="C483" s="31"/>
      <c r="D483" s="32"/>
      <c r="E483" s="46"/>
      <c r="F483" s="43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23.25" customHeight="1">
      <c r="A484" s="29"/>
      <c r="B484" s="19"/>
      <c r="C484" s="31"/>
      <c r="D484" s="32"/>
      <c r="E484" s="46"/>
      <c r="F484" s="43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23.25" customHeight="1">
      <c r="A485" s="29"/>
      <c r="B485" s="19"/>
      <c r="C485" s="31"/>
      <c r="D485" s="32"/>
      <c r="E485" s="46"/>
      <c r="F485" s="43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23.25" customHeight="1">
      <c r="A486" s="29"/>
      <c r="B486" s="19"/>
      <c r="C486" s="31"/>
      <c r="D486" s="32"/>
      <c r="E486" s="46"/>
      <c r="F486" s="43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23.25" customHeight="1">
      <c r="A487" s="29"/>
      <c r="B487" s="19"/>
      <c r="C487" s="31"/>
      <c r="D487" s="32"/>
      <c r="E487" s="46"/>
      <c r="F487" s="43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23.25" customHeight="1">
      <c r="A488" s="29"/>
      <c r="B488" s="19"/>
      <c r="C488" s="31"/>
      <c r="D488" s="32"/>
      <c r="E488" s="46"/>
      <c r="F488" s="43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23.25" customHeight="1">
      <c r="A489" s="29"/>
      <c r="B489" s="19"/>
      <c r="C489" s="31"/>
      <c r="D489" s="32"/>
      <c r="E489" s="46"/>
      <c r="F489" s="43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23.25" customHeight="1">
      <c r="A490" s="29"/>
      <c r="B490" s="19"/>
      <c r="C490" s="31"/>
      <c r="D490" s="32"/>
      <c r="E490" s="46"/>
      <c r="F490" s="43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23.25" customHeight="1">
      <c r="A491" s="29"/>
      <c r="B491" s="19"/>
      <c r="C491" s="31"/>
      <c r="D491" s="32"/>
      <c r="E491" s="46"/>
      <c r="F491" s="43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23.25" customHeight="1">
      <c r="A492" s="29"/>
      <c r="B492" s="19"/>
      <c r="C492" s="31"/>
      <c r="D492" s="32"/>
      <c r="E492" s="46"/>
      <c r="F492" s="43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23.25" customHeight="1">
      <c r="A493" s="29"/>
      <c r="B493" s="19"/>
      <c r="C493" s="31"/>
      <c r="D493" s="32"/>
      <c r="E493" s="46"/>
      <c r="F493" s="43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23.25" customHeight="1">
      <c r="A494" s="29"/>
      <c r="B494" s="19"/>
      <c r="C494" s="31"/>
      <c r="D494" s="32"/>
      <c r="E494" s="46"/>
      <c r="F494" s="43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23.25" customHeight="1">
      <c r="A495" s="29"/>
      <c r="B495" s="19"/>
      <c r="C495" s="31"/>
      <c r="D495" s="32"/>
      <c r="E495" s="46"/>
      <c r="F495" s="43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23.25" customHeight="1">
      <c r="A496" s="29"/>
      <c r="B496" s="19"/>
      <c r="C496" s="31"/>
      <c r="D496" s="32"/>
      <c r="E496" s="46"/>
      <c r="F496" s="43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23.25" customHeight="1">
      <c r="A497" s="29"/>
      <c r="B497" s="19"/>
      <c r="C497" s="31"/>
      <c r="D497" s="32"/>
      <c r="E497" s="46"/>
      <c r="F497" s="43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23.25" customHeight="1">
      <c r="A498" s="29"/>
      <c r="B498" s="19"/>
      <c r="C498" s="31"/>
      <c r="D498" s="32"/>
      <c r="E498" s="46"/>
      <c r="F498" s="43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23.25" customHeight="1">
      <c r="A499" s="29"/>
      <c r="B499" s="19"/>
      <c r="C499" s="31"/>
      <c r="D499" s="32"/>
      <c r="E499" s="46"/>
      <c r="F499" s="43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23.25" customHeight="1">
      <c r="A500" s="29"/>
      <c r="B500" s="19"/>
      <c r="C500" s="31"/>
      <c r="D500" s="32"/>
      <c r="E500" s="46"/>
      <c r="F500" s="43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23.25" customHeight="1">
      <c r="A501" s="29"/>
      <c r="B501" s="19"/>
      <c r="C501" s="31"/>
      <c r="D501" s="32"/>
      <c r="E501" s="46"/>
      <c r="F501" s="43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23.25" customHeight="1">
      <c r="A502" s="29"/>
      <c r="B502" s="19"/>
      <c r="C502" s="31"/>
      <c r="D502" s="32"/>
      <c r="E502" s="46"/>
      <c r="F502" s="43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23.25" customHeight="1">
      <c r="A503" s="29"/>
      <c r="B503" s="19"/>
      <c r="C503" s="31"/>
      <c r="D503" s="32"/>
      <c r="E503" s="46"/>
      <c r="F503" s="43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23.25" customHeight="1">
      <c r="A504" s="29"/>
      <c r="B504" s="19"/>
      <c r="C504" s="31"/>
      <c r="D504" s="32"/>
      <c r="E504" s="46"/>
      <c r="F504" s="43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23.25" customHeight="1">
      <c r="A505" s="29"/>
      <c r="B505" s="19"/>
      <c r="C505" s="31"/>
      <c r="D505" s="32"/>
      <c r="E505" s="46"/>
      <c r="F505" s="43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23.25" customHeight="1">
      <c r="A506" s="29"/>
      <c r="B506" s="19"/>
      <c r="C506" s="31"/>
      <c r="D506" s="32"/>
      <c r="E506" s="46"/>
      <c r="F506" s="43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23.25" customHeight="1">
      <c r="A507" s="29"/>
      <c r="B507" s="19"/>
      <c r="C507" s="31"/>
      <c r="D507" s="32"/>
      <c r="E507" s="46"/>
      <c r="F507" s="43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23.25" customHeight="1">
      <c r="A508" s="29"/>
      <c r="B508" s="19"/>
      <c r="C508" s="31"/>
      <c r="D508" s="32"/>
      <c r="E508" s="46"/>
      <c r="F508" s="43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23.25" customHeight="1">
      <c r="A509" s="29"/>
      <c r="B509" s="19"/>
      <c r="C509" s="31"/>
      <c r="D509" s="32"/>
      <c r="E509" s="46"/>
      <c r="F509" s="43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23.25" customHeight="1">
      <c r="A510" s="29"/>
      <c r="B510" s="19"/>
      <c r="C510" s="31"/>
      <c r="D510" s="32"/>
      <c r="E510" s="46"/>
      <c r="F510" s="43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23.25" customHeight="1">
      <c r="A511" s="29"/>
      <c r="B511" s="19"/>
      <c r="C511" s="31"/>
      <c r="D511" s="32"/>
      <c r="E511" s="46"/>
      <c r="F511" s="43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23.25" customHeight="1">
      <c r="A512" s="29"/>
      <c r="B512" s="19"/>
      <c r="C512" s="31"/>
      <c r="D512" s="32"/>
      <c r="E512" s="46"/>
      <c r="F512" s="43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23.25" customHeight="1">
      <c r="A513" s="29"/>
      <c r="B513" s="19"/>
      <c r="C513" s="31"/>
      <c r="D513" s="32"/>
      <c r="E513" s="46"/>
      <c r="F513" s="43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23.25" customHeight="1">
      <c r="A514" s="29"/>
      <c r="B514" s="19"/>
      <c r="C514" s="31"/>
      <c r="D514" s="32"/>
      <c r="E514" s="46"/>
      <c r="F514" s="43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23.25" customHeight="1">
      <c r="A515" s="29"/>
      <c r="B515" s="19"/>
      <c r="C515" s="31"/>
      <c r="D515" s="32"/>
      <c r="E515" s="46"/>
      <c r="F515" s="43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23.25" customHeight="1">
      <c r="A516" s="29"/>
      <c r="B516" s="19"/>
      <c r="C516" s="31"/>
      <c r="D516" s="32"/>
      <c r="E516" s="46"/>
      <c r="F516" s="43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23.25" customHeight="1">
      <c r="A517" s="29"/>
      <c r="B517" s="19"/>
      <c r="C517" s="31"/>
      <c r="D517" s="32"/>
      <c r="E517" s="46"/>
      <c r="F517" s="43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23.25" customHeight="1">
      <c r="A518" s="29"/>
      <c r="B518" s="19"/>
      <c r="C518" s="31"/>
      <c r="D518" s="32"/>
      <c r="E518" s="46"/>
      <c r="F518" s="43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23.25" customHeight="1">
      <c r="A519" s="29"/>
      <c r="B519" s="19"/>
      <c r="C519" s="31"/>
      <c r="D519" s="32"/>
      <c r="E519" s="46"/>
      <c r="F519" s="43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23.25" customHeight="1">
      <c r="A520" s="29"/>
      <c r="B520" s="19"/>
      <c r="C520" s="31"/>
      <c r="D520" s="32"/>
      <c r="E520" s="46"/>
      <c r="F520" s="43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23.25" customHeight="1">
      <c r="A521" s="29"/>
      <c r="B521" s="19"/>
      <c r="C521" s="31"/>
      <c r="D521" s="32"/>
      <c r="E521" s="46"/>
      <c r="F521" s="43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23.25" customHeight="1">
      <c r="A522" s="29"/>
      <c r="B522" s="19"/>
      <c r="C522" s="31"/>
      <c r="D522" s="32"/>
      <c r="E522" s="46"/>
      <c r="F522" s="43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23.25" customHeight="1">
      <c r="A523" s="29"/>
      <c r="B523" s="19"/>
      <c r="C523" s="31"/>
      <c r="D523" s="32"/>
      <c r="E523" s="46"/>
      <c r="F523" s="43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23.25" customHeight="1">
      <c r="A524" s="29"/>
      <c r="B524" s="19"/>
      <c r="C524" s="31"/>
      <c r="D524" s="32"/>
      <c r="E524" s="46"/>
      <c r="F524" s="43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23.25" customHeight="1">
      <c r="A525" s="29"/>
      <c r="B525" s="19"/>
      <c r="C525" s="31"/>
      <c r="D525" s="32"/>
      <c r="E525" s="46"/>
      <c r="F525" s="43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23.25" customHeight="1">
      <c r="A526" s="29"/>
      <c r="B526" s="19"/>
      <c r="C526" s="31"/>
      <c r="D526" s="32"/>
      <c r="E526" s="46"/>
      <c r="F526" s="43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23.25" customHeight="1">
      <c r="A527" s="29"/>
      <c r="B527" s="19"/>
      <c r="C527" s="31"/>
      <c r="D527" s="32"/>
      <c r="E527" s="46"/>
      <c r="F527" s="43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23.25" customHeight="1">
      <c r="A528" s="29"/>
      <c r="B528" s="19"/>
      <c r="C528" s="31"/>
      <c r="D528" s="32"/>
      <c r="E528" s="46"/>
      <c r="F528" s="43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23.25" customHeight="1">
      <c r="A529" s="29"/>
      <c r="B529" s="19"/>
      <c r="C529" s="31"/>
      <c r="D529" s="32"/>
      <c r="E529" s="46"/>
      <c r="F529" s="43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23.25" customHeight="1">
      <c r="A530" s="29"/>
      <c r="B530" s="19"/>
      <c r="C530" s="31"/>
      <c r="D530" s="32"/>
      <c r="E530" s="46"/>
      <c r="F530" s="43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23.25" customHeight="1">
      <c r="A531" s="29"/>
      <c r="B531" s="19"/>
      <c r="C531" s="31"/>
      <c r="D531" s="32"/>
      <c r="E531" s="46"/>
      <c r="F531" s="43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23.25" customHeight="1">
      <c r="A532" s="29"/>
      <c r="B532" s="19"/>
      <c r="C532" s="31"/>
      <c r="D532" s="32"/>
      <c r="E532" s="46"/>
      <c r="F532" s="43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23.25" customHeight="1">
      <c r="A533" s="29"/>
      <c r="B533" s="19"/>
      <c r="C533" s="31"/>
      <c r="D533" s="32"/>
      <c r="E533" s="46"/>
      <c r="F533" s="43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23.25" customHeight="1">
      <c r="A534" s="29"/>
      <c r="B534" s="19"/>
      <c r="C534" s="31"/>
      <c r="D534" s="32"/>
      <c r="E534" s="46"/>
      <c r="F534" s="43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23.25" customHeight="1">
      <c r="A535" s="29"/>
      <c r="B535" s="19"/>
      <c r="C535" s="31"/>
      <c r="D535" s="32"/>
      <c r="E535" s="46"/>
      <c r="F535" s="43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23.25" customHeight="1">
      <c r="A536" s="29"/>
      <c r="B536" s="19"/>
      <c r="C536" s="31"/>
      <c r="D536" s="32"/>
      <c r="E536" s="46"/>
      <c r="F536" s="43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23.25" customHeight="1">
      <c r="A537" s="29"/>
      <c r="B537" s="19"/>
      <c r="C537" s="31"/>
      <c r="D537" s="32"/>
      <c r="E537" s="46"/>
      <c r="F537" s="43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23.25" customHeight="1">
      <c r="A538" s="29"/>
      <c r="B538" s="19"/>
      <c r="C538" s="31"/>
      <c r="D538" s="32"/>
      <c r="E538" s="46"/>
      <c r="F538" s="43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23.25" customHeight="1">
      <c r="A539" s="29"/>
      <c r="B539" s="19"/>
      <c r="C539" s="31"/>
      <c r="D539" s="32"/>
      <c r="E539" s="46"/>
      <c r="F539" s="43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23.25" customHeight="1">
      <c r="A540" s="29"/>
      <c r="B540" s="19"/>
      <c r="C540" s="31"/>
      <c r="D540" s="32"/>
      <c r="E540" s="46"/>
      <c r="F540" s="43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23.25" customHeight="1">
      <c r="A541" s="29"/>
      <c r="B541" s="19"/>
      <c r="C541" s="31"/>
      <c r="D541" s="32"/>
      <c r="E541" s="46"/>
      <c r="F541" s="43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23.25" customHeight="1">
      <c r="A542" s="29"/>
      <c r="B542" s="19"/>
      <c r="C542" s="31"/>
      <c r="D542" s="32"/>
      <c r="E542" s="46"/>
      <c r="F542" s="43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23.25" customHeight="1">
      <c r="A543" s="29"/>
      <c r="B543" s="19"/>
      <c r="C543" s="31"/>
      <c r="D543" s="32"/>
      <c r="E543" s="46"/>
      <c r="F543" s="43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23.25" customHeight="1">
      <c r="A544" s="29"/>
      <c r="B544" s="19"/>
      <c r="C544" s="31"/>
      <c r="D544" s="32"/>
      <c r="E544" s="46"/>
      <c r="F544" s="43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23.25" customHeight="1">
      <c r="A545" s="29"/>
      <c r="B545" s="19"/>
      <c r="C545" s="31"/>
      <c r="D545" s="32"/>
      <c r="E545" s="46"/>
      <c r="F545" s="43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23.25" customHeight="1">
      <c r="A546" s="29"/>
      <c r="B546" s="19"/>
      <c r="C546" s="31"/>
      <c r="D546" s="32"/>
      <c r="E546" s="46"/>
      <c r="F546" s="43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23.25" customHeight="1">
      <c r="A547" s="29"/>
      <c r="B547" s="19"/>
      <c r="C547" s="31"/>
      <c r="D547" s="32"/>
      <c r="E547" s="46"/>
      <c r="F547" s="43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23.25" customHeight="1">
      <c r="A548" s="29"/>
      <c r="B548" s="19"/>
      <c r="C548" s="31"/>
      <c r="D548" s="32"/>
      <c r="E548" s="46"/>
      <c r="F548" s="43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23.25" customHeight="1">
      <c r="A549" s="29"/>
      <c r="B549" s="19"/>
      <c r="C549" s="31"/>
      <c r="D549" s="32"/>
      <c r="E549" s="46"/>
      <c r="F549" s="43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23.25" customHeight="1">
      <c r="A550" s="29"/>
      <c r="B550" s="19"/>
      <c r="C550" s="31"/>
      <c r="D550" s="32"/>
      <c r="E550" s="46"/>
      <c r="F550" s="43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23.25" customHeight="1">
      <c r="A551" s="29"/>
      <c r="B551" s="19"/>
      <c r="C551" s="31"/>
      <c r="D551" s="32"/>
      <c r="E551" s="46"/>
      <c r="F551" s="43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23.25" customHeight="1">
      <c r="A552" s="29"/>
      <c r="B552" s="19"/>
      <c r="C552" s="31"/>
      <c r="D552" s="32"/>
      <c r="E552" s="46"/>
      <c r="F552" s="43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23.25" customHeight="1">
      <c r="A553" s="29"/>
      <c r="B553" s="19"/>
      <c r="C553" s="31"/>
      <c r="D553" s="32"/>
      <c r="E553" s="46"/>
      <c r="F553" s="43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23.25" customHeight="1">
      <c r="A554" s="29"/>
      <c r="B554" s="19"/>
      <c r="C554" s="31"/>
      <c r="D554" s="32"/>
      <c r="E554" s="46"/>
      <c r="F554" s="43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23.25" customHeight="1">
      <c r="A555" s="29"/>
      <c r="B555" s="19"/>
      <c r="C555" s="31"/>
      <c r="D555" s="32"/>
      <c r="E555" s="46"/>
      <c r="F555" s="43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23.25" customHeight="1">
      <c r="A556" s="29"/>
      <c r="B556" s="19"/>
      <c r="C556" s="31"/>
      <c r="D556" s="32"/>
      <c r="E556" s="46"/>
      <c r="F556" s="43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23.25" customHeight="1">
      <c r="A557" s="29"/>
      <c r="B557" s="19"/>
      <c r="C557" s="31"/>
      <c r="D557" s="32"/>
      <c r="E557" s="46"/>
      <c r="F557" s="43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23.25" customHeight="1">
      <c r="A558" s="29"/>
      <c r="B558" s="19"/>
      <c r="C558" s="31"/>
      <c r="D558" s="32"/>
      <c r="E558" s="46"/>
      <c r="F558" s="43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23.25" customHeight="1">
      <c r="A559" s="29"/>
      <c r="B559" s="19"/>
      <c r="C559" s="31"/>
      <c r="D559" s="32"/>
      <c r="E559" s="46"/>
      <c r="F559" s="43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23.25" customHeight="1">
      <c r="A560" s="29"/>
      <c r="B560" s="19"/>
      <c r="C560" s="31"/>
      <c r="D560" s="32"/>
      <c r="E560" s="46"/>
      <c r="F560" s="43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23.25" customHeight="1">
      <c r="A561" s="29"/>
      <c r="B561" s="19"/>
      <c r="C561" s="31"/>
      <c r="D561" s="32"/>
      <c r="E561" s="46"/>
      <c r="F561" s="43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23.25" customHeight="1">
      <c r="A562" s="29"/>
      <c r="B562" s="19"/>
      <c r="C562" s="31"/>
      <c r="D562" s="32"/>
      <c r="E562" s="46"/>
      <c r="F562" s="43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23.25" customHeight="1">
      <c r="A563" s="29"/>
      <c r="B563" s="19"/>
      <c r="C563" s="31"/>
      <c r="D563" s="32"/>
      <c r="E563" s="46"/>
      <c r="F563" s="43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23.25" customHeight="1">
      <c r="A564" s="29"/>
      <c r="B564" s="19"/>
      <c r="C564" s="31"/>
      <c r="D564" s="32"/>
      <c r="E564" s="46"/>
      <c r="F564" s="43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23.25" customHeight="1">
      <c r="A565" s="29"/>
      <c r="B565" s="19"/>
      <c r="C565" s="31"/>
      <c r="D565" s="32"/>
      <c r="E565" s="46"/>
      <c r="F565" s="43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23.25" customHeight="1">
      <c r="A566" s="29"/>
      <c r="B566" s="19"/>
      <c r="C566" s="31"/>
      <c r="D566" s="32"/>
      <c r="E566" s="46"/>
      <c r="F566" s="43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23.25" customHeight="1">
      <c r="A567" s="29"/>
      <c r="B567" s="19"/>
      <c r="C567" s="31"/>
      <c r="D567" s="32"/>
      <c r="E567" s="46"/>
      <c r="F567" s="43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23.25" customHeight="1">
      <c r="A568" s="29"/>
      <c r="B568" s="19"/>
      <c r="C568" s="31"/>
      <c r="D568" s="32"/>
      <c r="E568" s="46"/>
      <c r="F568" s="43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23.25" customHeight="1">
      <c r="A569" s="29"/>
      <c r="B569" s="19"/>
      <c r="C569" s="31"/>
      <c r="D569" s="32"/>
      <c r="E569" s="46"/>
      <c r="F569" s="43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23.25" customHeight="1">
      <c r="A570" s="29"/>
      <c r="B570" s="19"/>
      <c r="C570" s="31"/>
      <c r="D570" s="32"/>
      <c r="E570" s="46"/>
      <c r="F570" s="43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23.25" customHeight="1">
      <c r="A571" s="29"/>
      <c r="B571" s="19"/>
      <c r="C571" s="31"/>
      <c r="D571" s="32"/>
      <c r="E571" s="46"/>
      <c r="F571" s="43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23.25" customHeight="1">
      <c r="A572" s="29"/>
      <c r="B572" s="19"/>
      <c r="C572" s="31"/>
      <c r="D572" s="32"/>
      <c r="E572" s="46"/>
      <c r="F572" s="43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23.25" customHeight="1">
      <c r="A573" s="29"/>
      <c r="B573" s="19"/>
      <c r="C573" s="31"/>
      <c r="D573" s="32"/>
      <c r="E573" s="46"/>
      <c r="F573" s="43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23.25" customHeight="1">
      <c r="A574" s="29"/>
      <c r="B574" s="19"/>
      <c r="C574" s="31"/>
      <c r="D574" s="32"/>
      <c r="E574" s="46"/>
      <c r="F574" s="43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23.25" customHeight="1">
      <c r="A575" s="29"/>
      <c r="B575" s="19"/>
      <c r="C575" s="31"/>
      <c r="D575" s="32"/>
      <c r="E575" s="46"/>
      <c r="F575" s="43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23.25" customHeight="1">
      <c r="A576" s="29"/>
      <c r="B576" s="19"/>
      <c r="C576" s="31"/>
      <c r="D576" s="32"/>
      <c r="E576" s="46"/>
      <c r="F576" s="43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23.25" customHeight="1">
      <c r="A577" s="29"/>
      <c r="B577" s="19"/>
      <c r="C577" s="31"/>
      <c r="D577" s="32"/>
      <c r="E577" s="46"/>
      <c r="F577" s="43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23.25" customHeight="1">
      <c r="A578" s="29"/>
      <c r="B578" s="19"/>
      <c r="C578" s="31"/>
      <c r="D578" s="32"/>
      <c r="E578" s="46"/>
      <c r="F578" s="43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23.25" customHeight="1">
      <c r="A579" s="29"/>
      <c r="B579" s="19"/>
      <c r="C579" s="31"/>
      <c r="D579" s="32"/>
      <c r="E579" s="46"/>
      <c r="F579" s="43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23.25" customHeight="1">
      <c r="A580" s="29"/>
      <c r="B580" s="19"/>
      <c r="C580" s="31"/>
      <c r="D580" s="32"/>
      <c r="E580" s="46"/>
      <c r="F580" s="43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23.25" customHeight="1">
      <c r="A581" s="29"/>
      <c r="B581" s="19"/>
      <c r="C581" s="31"/>
      <c r="D581" s="32"/>
      <c r="E581" s="46"/>
      <c r="F581" s="43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23.25" customHeight="1">
      <c r="A582" s="29"/>
      <c r="B582" s="19"/>
      <c r="C582" s="31"/>
      <c r="D582" s="32"/>
      <c r="E582" s="46"/>
      <c r="F582" s="43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23.25" customHeight="1">
      <c r="A583" s="29"/>
      <c r="B583" s="19"/>
      <c r="C583" s="31"/>
      <c r="D583" s="32"/>
      <c r="E583" s="46"/>
      <c r="F583" s="43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23.25" customHeight="1">
      <c r="A584" s="29"/>
      <c r="B584" s="19"/>
      <c r="C584" s="31"/>
      <c r="D584" s="32"/>
      <c r="E584" s="46"/>
      <c r="F584" s="43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23.25" customHeight="1">
      <c r="A585" s="29"/>
      <c r="B585" s="19"/>
      <c r="C585" s="31"/>
      <c r="D585" s="32"/>
      <c r="E585" s="46"/>
      <c r="F585" s="43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23.25" customHeight="1">
      <c r="A586" s="29"/>
      <c r="B586" s="19"/>
      <c r="C586" s="31"/>
      <c r="D586" s="32"/>
      <c r="E586" s="46"/>
      <c r="F586" s="43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23.25" customHeight="1">
      <c r="A587" s="29"/>
      <c r="B587" s="19"/>
      <c r="C587" s="31"/>
      <c r="D587" s="32"/>
      <c r="E587" s="46"/>
      <c r="F587" s="43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23.25" customHeight="1">
      <c r="A588" s="29"/>
      <c r="B588" s="19"/>
      <c r="C588" s="31"/>
      <c r="D588" s="32"/>
      <c r="E588" s="46"/>
      <c r="F588" s="43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23.25" customHeight="1">
      <c r="A589" s="29"/>
      <c r="B589" s="19"/>
      <c r="C589" s="31"/>
      <c r="D589" s="32"/>
      <c r="E589" s="46"/>
      <c r="F589" s="43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23.25" customHeight="1">
      <c r="A590" s="29"/>
      <c r="B590" s="19"/>
      <c r="C590" s="31"/>
      <c r="D590" s="32"/>
      <c r="E590" s="46"/>
      <c r="F590" s="43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23.25" customHeight="1">
      <c r="A591" s="29"/>
      <c r="B591" s="19"/>
      <c r="C591" s="31"/>
      <c r="D591" s="32"/>
      <c r="E591" s="46"/>
      <c r="F591" s="43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23.25" customHeight="1">
      <c r="A592" s="29"/>
      <c r="B592" s="19"/>
      <c r="C592" s="31"/>
      <c r="D592" s="32"/>
      <c r="E592" s="46"/>
      <c r="F592" s="43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23.25" customHeight="1">
      <c r="A593" s="29"/>
      <c r="B593" s="19"/>
      <c r="C593" s="31"/>
      <c r="D593" s="32"/>
      <c r="E593" s="46"/>
      <c r="F593" s="43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23.25" customHeight="1">
      <c r="A594" s="29"/>
      <c r="B594" s="19"/>
      <c r="C594" s="31"/>
      <c r="D594" s="32"/>
      <c r="E594" s="46"/>
      <c r="F594" s="43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23.25" customHeight="1">
      <c r="A595" s="29"/>
      <c r="B595" s="19"/>
      <c r="C595" s="31"/>
      <c r="D595" s="32"/>
      <c r="E595" s="46"/>
      <c r="F595" s="43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23.25" customHeight="1">
      <c r="A596" s="29"/>
      <c r="B596" s="19"/>
      <c r="C596" s="31"/>
      <c r="D596" s="32"/>
      <c r="E596" s="46"/>
      <c r="F596" s="43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23.25" customHeight="1">
      <c r="A597" s="29"/>
      <c r="B597" s="19"/>
      <c r="C597" s="31"/>
      <c r="D597" s="32"/>
      <c r="E597" s="46"/>
      <c r="F597" s="43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23.25" customHeight="1">
      <c r="A598" s="29"/>
      <c r="B598" s="19"/>
      <c r="C598" s="31"/>
      <c r="D598" s="32"/>
      <c r="E598" s="46"/>
      <c r="F598" s="43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23.25" customHeight="1">
      <c r="A599" s="29"/>
      <c r="B599" s="19"/>
      <c r="C599" s="31"/>
      <c r="D599" s="32"/>
      <c r="E599" s="46"/>
      <c r="F599" s="43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23.25" customHeight="1">
      <c r="A600" s="29"/>
      <c r="B600" s="19"/>
      <c r="C600" s="31"/>
      <c r="D600" s="32"/>
      <c r="E600" s="46"/>
      <c r="F600" s="43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23.25" customHeight="1">
      <c r="A601" s="29"/>
      <c r="B601" s="19"/>
      <c r="C601" s="31"/>
      <c r="D601" s="32"/>
      <c r="E601" s="46"/>
      <c r="F601" s="43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23.25" customHeight="1">
      <c r="A602" s="29"/>
      <c r="B602" s="19"/>
      <c r="C602" s="31"/>
      <c r="D602" s="32"/>
      <c r="E602" s="46"/>
      <c r="F602" s="43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23.25" customHeight="1">
      <c r="A603" s="29"/>
      <c r="B603" s="19"/>
      <c r="C603" s="31"/>
      <c r="D603" s="32"/>
      <c r="E603" s="46"/>
      <c r="F603" s="43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23.25" customHeight="1">
      <c r="A604" s="29"/>
      <c r="B604" s="19"/>
      <c r="C604" s="31"/>
      <c r="D604" s="32"/>
      <c r="E604" s="46"/>
      <c r="F604" s="43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23.25" customHeight="1">
      <c r="A605" s="29"/>
      <c r="B605" s="19"/>
      <c r="C605" s="31"/>
      <c r="D605" s="32"/>
      <c r="E605" s="46"/>
      <c r="F605" s="43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23.25" customHeight="1">
      <c r="A606" s="29"/>
      <c r="B606" s="19"/>
      <c r="C606" s="31"/>
      <c r="D606" s="32"/>
      <c r="E606" s="46"/>
      <c r="F606" s="43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23.25" customHeight="1">
      <c r="A607" s="29"/>
      <c r="B607" s="19"/>
      <c r="C607" s="31"/>
      <c r="D607" s="32"/>
      <c r="E607" s="46"/>
      <c r="F607" s="43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23.25" customHeight="1">
      <c r="A608" s="29"/>
      <c r="B608" s="19"/>
      <c r="C608" s="31"/>
      <c r="D608" s="32"/>
      <c r="E608" s="46"/>
      <c r="F608" s="43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23.25" customHeight="1">
      <c r="A609" s="29"/>
      <c r="B609" s="19"/>
      <c r="C609" s="31"/>
      <c r="D609" s="32"/>
      <c r="E609" s="46"/>
      <c r="F609" s="43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23.25" customHeight="1">
      <c r="A610" s="29"/>
      <c r="B610" s="19"/>
      <c r="C610" s="31"/>
      <c r="D610" s="32"/>
      <c r="E610" s="46"/>
      <c r="F610" s="43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23.25" customHeight="1">
      <c r="A611" s="29"/>
      <c r="B611" s="19"/>
      <c r="C611" s="31"/>
      <c r="D611" s="32"/>
      <c r="E611" s="46"/>
      <c r="F611" s="43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23.25" customHeight="1">
      <c r="A612" s="29"/>
      <c r="B612" s="19"/>
      <c r="C612" s="31"/>
      <c r="D612" s="32"/>
      <c r="E612" s="46"/>
      <c r="F612" s="43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23.25" customHeight="1">
      <c r="A613" s="29"/>
      <c r="B613" s="19"/>
      <c r="C613" s="31"/>
      <c r="D613" s="32"/>
      <c r="E613" s="46"/>
      <c r="F613" s="43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23.25" customHeight="1">
      <c r="A614" s="29"/>
      <c r="B614" s="19"/>
      <c r="C614" s="31"/>
      <c r="D614" s="32"/>
      <c r="E614" s="46"/>
      <c r="F614" s="43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23.25" customHeight="1">
      <c r="A615" s="29"/>
      <c r="B615" s="19"/>
      <c r="C615" s="31"/>
      <c r="D615" s="32"/>
      <c r="E615" s="46"/>
      <c r="F615" s="43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23.25" customHeight="1">
      <c r="A616" s="29"/>
      <c r="B616" s="19"/>
      <c r="C616" s="31"/>
      <c r="D616" s="32"/>
      <c r="E616" s="46"/>
      <c r="F616" s="43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23.25" customHeight="1">
      <c r="A617" s="29"/>
      <c r="B617" s="19"/>
      <c r="C617" s="31"/>
      <c r="D617" s="32"/>
      <c r="E617" s="46"/>
      <c r="F617" s="43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23.25" customHeight="1">
      <c r="A618" s="29"/>
      <c r="B618" s="19"/>
      <c r="C618" s="31"/>
      <c r="D618" s="32"/>
      <c r="E618" s="46"/>
      <c r="F618" s="43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23.25" customHeight="1">
      <c r="A619" s="29"/>
      <c r="B619" s="19"/>
      <c r="C619" s="31"/>
      <c r="D619" s="32"/>
      <c r="E619" s="46"/>
      <c r="F619" s="43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23.25" customHeight="1">
      <c r="A620" s="29"/>
      <c r="B620" s="19"/>
      <c r="C620" s="31"/>
      <c r="D620" s="32"/>
      <c r="E620" s="46"/>
      <c r="F620" s="43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23.25" customHeight="1">
      <c r="A621" s="29"/>
      <c r="B621" s="19"/>
      <c r="C621" s="31"/>
      <c r="D621" s="32"/>
      <c r="E621" s="46"/>
      <c r="F621" s="43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23.25" customHeight="1">
      <c r="A622" s="29"/>
      <c r="B622" s="19"/>
      <c r="C622" s="31"/>
      <c r="D622" s="32"/>
      <c r="E622" s="46"/>
      <c r="F622" s="43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23.25" customHeight="1">
      <c r="A623" s="29"/>
      <c r="B623" s="19"/>
      <c r="C623" s="31"/>
      <c r="D623" s="32"/>
      <c r="E623" s="46"/>
      <c r="F623" s="43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23.25" customHeight="1">
      <c r="A624" s="29"/>
      <c r="B624" s="19"/>
      <c r="C624" s="31"/>
      <c r="D624" s="32"/>
      <c r="E624" s="46"/>
      <c r="F624" s="43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23.25" customHeight="1">
      <c r="A625" s="29"/>
      <c r="B625" s="19"/>
      <c r="C625" s="31"/>
      <c r="D625" s="32"/>
      <c r="E625" s="46"/>
      <c r="F625" s="43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23.25" customHeight="1">
      <c r="A626" s="29"/>
      <c r="B626" s="19"/>
      <c r="C626" s="31"/>
      <c r="D626" s="32"/>
      <c r="E626" s="46"/>
      <c r="F626" s="43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23.25" customHeight="1">
      <c r="A627" s="29"/>
      <c r="B627" s="19"/>
      <c r="C627" s="31"/>
      <c r="D627" s="32"/>
      <c r="E627" s="46"/>
      <c r="F627" s="43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23.25" customHeight="1">
      <c r="A628" s="29"/>
      <c r="B628" s="19"/>
      <c r="C628" s="31"/>
      <c r="D628" s="32"/>
      <c r="E628" s="46"/>
      <c r="F628" s="43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23.25" customHeight="1">
      <c r="A629" s="29"/>
      <c r="B629" s="19"/>
      <c r="C629" s="31"/>
      <c r="D629" s="32"/>
      <c r="E629" s="46"/>
      <c r="F629" s="43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23.25" customHeight="1">
      <c r="A630" s="29"/>
      <c r="B630" s="19"/>
      <c r="C630" s="31"/>
      <c r="D630" s="32"/>
      <c r="E630" s="46"/>
      <c r="F630" s="43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23.25" customHeight="1">
      <c r="A631" s="29"/>
      <c r="B631" s="19"/>
      <c r="C631" s="31"/>
      <c r="D631" s="32"/>
      <c r="E631" s="46"/>
      <c r="F631" s="43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23.25" customHeight="1">
      <c r="A632" s="29"/>
      <c r="B632" s="19"/>
      <c r="C632" s="31"/>
      <c r="D632" s="32"/>
      <c r="E632" s="46"/>
      <c r="F632" s="43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23.25" customHeight="1">
      <c r="A633" s="29"/>
      <c r="B633" s="19"/>
      <c r="C633" s="31"/>
      <c r="D633" s="32"/>
      <c r="E633" s="46"/>
      <c r="F633" s="43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23.25" customHeight="1">
      <c r="A634" s="29"/>
      <c r="B634" s="19"/>
      <c r="C634" s="31"/>
      <c r="D634" s="32"/>
      <c r="E634" s="46"/>
      <c r="F634" s="43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23.25" customHeight="1">
      <c r="A635" s="29"/>
      <c r="B635" s="19"/>
      <c r="C635" s="31"/>
      <c r="D635" s="32"/>
      <c r="E635" s="46"/>
      <c r="F635" s="43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23.25" customHeight="1">
      <c r="A636" s="29"/>
      <c r="B636" s="19"/>
      <c r="C636" s="31"/>
      <c r="D636" s="32"/>
      <c r="E636" s="46"/>
      <c r="F636" s="43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23.25" customHeight="1">
      <c r="A637" s="29"/>
      <c r="B637" s="19"/>
      <c r="C637" s="31"/>
      <c r="D637" s="32"/>
      <c r="E637" s="46"/>
      <c r="F637" s="43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23.25" customHeight="1">
      <c r="A638" s="29"/>
      <c r="B638" s="19"/>
      <c r="C638" s="31"/>
      <c r="D638" s="32"/>
      <c r="E638" s="46"/>
      <c r="F638" s="43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23.25" customHeight="1">
      <c r="A639" s="29"/>
      <c r="B639" s="19"/>
      <c r="C639" s="31"/>
      <c r="D639" s="32"/>
      <c r="E639" s="46"/>
      <c r="F639" s="43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23.25" customHeight="1">
      <c r="A640" s="29"/>
      <c r="B640" s="19"/>
      <c r="C640" s="31"/>
      <c r="D640" s="32"/>
      <c r="E640" s="46"/>
      <c r="F640" s="43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23.25" customHeight="1">
      <c r="A641" s="29"/>
      <c r="B641" s="19"/>
      <c r="C641" s="31"/>
      <c r="D641" s="32"/>
      <c r="E641" s="46"/>
      <c r="F641" s="43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23.25" customHeight="1">
      <c r="A642" s="29"/>
      <c r="B642" s="19"/>
      <c r="C642" s="31"/>
      <c r="D642" s="32"/>
      <c r="E642" s="46"/>
      <c r="F642" s="43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23.25" customHeight="1">
      <c r="A643" s="29"/>
      <c r="B643" s="19"/>
      <c r="C643" s="31"/>
      <c r="D643" s="32"/>
      <c r="E643" s="46"/>
      <c r="F643" s="43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23.25" customHeight="1">
      <c r="A644" s="29"/>
      <c r="B644" s="19"/>
      <c r="C644" s="31"/>
      <c r="D644" s="32"/>
      <c r="E644" s="46"/>
      <c r="F644" s="43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23.25" customHeight="1">
      <c r="A645" s="29"/>
      <c r="B645" s="19"/>
      <c r="C645" s="31"/>
      <c r="D645" s="32"/>
      <c r="E645" s="46"/>
      <c r="F645" s="43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23.25" customHeight="1">
      <c r="A646" s="29"/>
      <c r="B646" s="19"/>
      <c r="C646" s="31"/>
      <c r="D646" s="32"/>
      <c r="E646" s="46"/>
      <c r="F646" s="43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23.25" customHeight="1">
      <c r="A647" s="29"/>
      <c r="B647" s="19"/>
      <c r="C647" s="31"/>
      <c r="D647" s="32"/>
      <c r="E647" s="46"/>
      <c r="F647" s="43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23.25" customHeight="1">
      <c r="A648" s="29"/>
      <c r="B648" s="19"/>
      <c r="C648" s="31"/>
      <c r="D648" s="32"/>
      <c r="E648" s="46"/>
      <c r="F648" s="43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23.25" customHeight="1">
      <c r="A649" s="29"/>
      <c r="B649" s="19"/>
      <c r="C649" s="31"/>
      <c r="D649" s="32"/>
      <c r="E649" s="46"/>
      <c r="F649" s="43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23.25" customHeight="1">
      <c r="A650" s="29"/>
      <c r="B650" s="19"/>
      <c r="C650" s="31"/>
      <c r="D650" s="32"/>
      <c r="E650" s="46"/>
      <c r="F650" s="43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23.25" customHeight="1">
      <c r="A651" s="29"/>
      <c r="B651" s="19"/>
      <c r="C651" s="31"/>
      <c r="D651" s="32"/>
      <c r="E651" s="46"/>
      <c r="F651" s="43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23.25" customHeight="1">
      <c r="A652" s="29"/>
      <c r="B652" s="19"/>
      <c r="C652" s="31"/>
      <c r="D652" s="32"/>
      <c r="E652" s="46"/>
      <c r="F652" s="43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23.25" customHeight="1">
      <c r="A653" s="29"/>
      <c r="B653" s="19"/>
      <c r="C653" s="31"/>
      <c r="D653" s="32"/>
      <c r="E653" s="46"/>
      <c r="F653" s="43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23.25" customHeight="1">
      <c r="A654" s="29"/>
      <c r="B654" s="19"/>
      <c r="C654" s="31"/>
      <c r="D654" s="32"/>
      <c r="E654" s="46"/>
      <c r="F654" s="43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23.25" customHeight="1">
      <c r="A655" s="29"/>
      <c r="B655" s="19"/>
      <c r="C655" s="31"/>
      <c r="D655" s="32"/>
      <c r="E655" s="46"/>
      <c r="F655" s="43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23.25" customHeight="1">
      <c r="A656" s="29"/>
      <c r="B656" s="19"/>
      <c r="C656" s="31"/>
      <c r="D656" s="32"/>
      <c r="E656" s="46"/>
      <c r="F656" s="43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23.25" customHeight="1">
      <c r="A657" s="29"/>
      <c r="B657" s="19"/>
      <c r="C657" s="31"/>
      <c r="D657" s="32"/>
      <c r="E657" s="46"/>
      <c r="F657" s="43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23.25" customHeight="1">
      <c r="A658" s="29"/>
      <c r="B658" s="19"/>
      <c r="C658" s="31"/>
      <c r="D658" s="32"/>
      <c r="E658" s="46"/>
      <c r="F658" s="43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23.25" customHeight="1">
      <c r="A659" s="29"/>
      <c r="B659" s="19"/>
      <c r="C659" s="31"/>
      <c r="D659" s="32"/>
      <c r="E659" s="46"/>
      <c r="F659" s="43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23.25" customHeight="1">
      <c r="A660" s="29"/>
      <c r="B660" s="19"/>
      <c r="C660" s="31"/>
      <c r="D660" s="32"/>
      <c r="E660" s="46"/>
      <c r="F660" s="43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23.25" customHeight="1">
      <c r="A661" s="29"/>
      <c r="B661" s="19"/>
      <c r="C661" s="31"/>
      <c r="D661" s="32"/>
      <c r="E661" s="46"/>
      <c r="F661" s="43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23.25" customHeight="1">
      <c r="A662" s="29"/>
      <c r="B662" s="19"/>
      <c r="C662" s="31"/>
      <c r="D662" s="32"/>
      <c r="E662" s="46"/>
      <c r="F662" s="43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23.25" customHeight="1">
      <c r="A663" s="29"/>
      <c r="B663" s="19"/>
      <c r="C663" s="31"/>
      <c r="D663" s="32"/>
      <c r="E663" s="46"/>
      <c r="F663" s="43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23.25" customHeight="1">
      <c r="A664" s="29"/>
      <c r="B664" s="19"/>
      <c r="C664" s="31"/>
      <c r="D664" s="32"/>
      <c r="E664" s="46"/>
      <c r="F664" s="43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23.25" customHeight="1">
      <c r="A665" s="29"/>
      <c r="B665" s="19"/>
      <c r="C665" s="31"/>
      <c r="D665" s="32"/>
      <c r="E665" s="46"/>
      <c r="F665" s="43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23.25" customHeight="1">
      <c r="A666" s="29"/>
      <c r="B666" s="19"/>
      <c r="C666" s="31"/>
      <c r="D666" s="32"/>
      <c r="E666" s="46"/>
      <c r="F666" s="43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23.25" customHeight="1">
      <c r="A667" s="29"/>
      <c r="B667" s="19"/>
      <c r="C667" s="31"/>
      <c r="D667" s="32"/>
      <c r="E667" s="46"/>
      <c r="F667" s="43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23.25" customHeight="1">
      <c r="A668" s="29"/>
      <c r="B668" s="19"/>
      <c r="C668" s="31"/>
      <c r="D668" s="32"/>
      <c r="E668" s="46"/>
      <c r="F668" s="43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23.25" customHeight="1">
      <c r="A669" s="29"/>
      <c r="B669" s="19"/>
      <c r="C669" s="31"/>
      <c r="D669" s="32"/>
      <c r="E669" s="46"/>
      <c r="F669" s="43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23.25" customHeight="1">
      <c r="A670" s="29"/>
      <c r="B670" s="19"/>
      <c r="C670" s="31"/>
      <c r="D670" s="32"/>
      <c r="E670" s="46"/>
      <c r="F670" s="43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23.25" customHeight="1">
      <c r="A671" s="29"/>
      <c r="B671" s="19"/>
      <c r="C671" s="31"/>
      <c r="D671" s="32"/>
      <c r="E671" s="46"/>
      <c r="F671" s="43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23.25" customHeight="1">
      <c r="A672" s="29"/>
      <c r="B672" s="19"/>
      <c r="C672" s="31"/>
      <c r="D672" s="32"/>
      <c r="E672" s="46"/>
      <c r="F672" s="43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23.25" customHeight="1">
      <c r="A673" s="29"/>
      <c r="B673" s="19"/>
      <c r="C673" s="31"/>
      <c r="D673" s="32"/>
      <c r="E673" s="46"/>
      <c r="F673" s="43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23.25" customHeight="1">
      <c r="A674" s="29"/>
      <c r="B674" s="19"/>
      <c r="C674" s="31"/>
      <c r="D674" s="32"/>
      <c r="E674" s="46"/>
      <c r="F674" s="43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23.25" customHeight="1">
      <c r="A675" s="29"/>
      <c r="B675" s="19"/>
      <c r="C675" s="31"/>
      <c r="D675" s="32"/>
      <c r="E675" s="46"/>
      <c r="F675" s="43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23.25" customHeight="1">
      <c r="A676" s="29"/>
      <c r="B676" s="19"/>
      <c r="C676" s="31"/>
      <c r="D676" s="32"/>
      <c r="E676" s="46"/>
      <c r="F676" s="43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23.25" customHeight="1">
      <c r="A677" s="29"/>
      <c r="B677" s="19"/>
      <c r="C677" s="31"/>
      <c r="D677" s="32"/>
      <c r="E677" s="46"/>
      <c r="F677" s="43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23.25" customHeight="1">
      <c r="A678" s="29"/>
      <c r="B678" s="19"/>
      <c r="C678" s="31"/>
      <c r="D678" s="32"/>
      <c r="E678" s="46"/>
      <c r="F678" s="43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23.25" customHeight="1">
      <c r="A679" s="29"/>
      <c r="B679" s="19"/>
      <c r="C679" s="31"/>
      <c r="D679" s="32"/>
      <c r="E679" s="46"/>
      <c r="F679" s="43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23.25" customHeight="1">
      <c r="A680" s="29"/>
      <c r="B680" s="19"/>
      <c r="C680" s="31"/>
      <c r="D680" s="32"/>
      <c r="E680" s="46"/>
      <c r="F680" s="43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23.25" customHeight="1">
      <c r="A681" s="29"/>
      <c r="B681" s="19"/>
      <c r="C681" s="31"/>
      <c r="D681" s="32"/>
      <c r="E681" s="46"/>
      <c r="F681" s="43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23.25" customHeight="1">
      <c r="A682" s="29"/>
      <c r="B682" s="19"/>
      <c r="C682" s="31"/>
      <c r="D682" s="32"/>
      <c r="E682" s="46"/>
      <c r="F682" s="43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23.25" customHeight="1">
      <c r="A683" s="29"/>
      <c r="B683" s="19"/>
      <c r="C683" s="31"/>
      <c r="D683" s="32"/>
      <c r="E683" s="46"/>
      <c r="F683" s="43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23.25" customHeight="1">
      <c r="A684" s="29"/>
      <c r="B684" s="19"/>
      <c r="C684" s="31"/>
      <c r="D684" s="32"/>
      <c r="E684" s="46"/>
      <c r="F684" s="43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23.25" customHeight="1">
      <c r="A685" s="29"/>
      <c r="B685" s="19"/>
      <c r="C685" s="31"/>
      <c r="D685" s="32"/>
      <c r="E685" s="46"/>
      <c r="F685" s="43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23.25" customHeight="1">
      <c r="A686" s="29"/>
      <c r="B686" s="19"/>
      <c r="C686" s="31"/>
      <c r="D686" s="32"/>
      <c r="E686" s="46"/>
      <c r="F686" s="43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23.25" customHeight="1">
      <c r="A687" s="29"/>
      <c r="B687" s="19"/>
      <c r="C687" s="31"/>
      <c r="D687" s="32"/>
      <c r="E687" s="46"/>
      <c r="F687" s="43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23.25" customHeight="1">
      <c r="A688" s="29"/>
      <c r="B688" s="19"/>
      <c r="C688" s="31"/>
      <c r="D688" s="32"/>
      <c r="E688" s="46"/>
      <c r="F688" s="43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23.25" customHeight="1">
      <c r="A689" s="29"/>
      <c r="B689" s="19"/>
      <c r="C689" s="31"/>
      <c r="D689" s="32"/>
      <c r="E689" s="46"/>
      <c r="F689" s="43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23.25" customHeight="1">
      <c r="A690" s="29"/>
      <c r="B690" s="19"/>
      <c r="C690" s="31"/>
      <c r="D690" s="32"/>
      <c r="E690" s="46"/>
      <c r="F690" s="43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23.25" customHeight="1">
      <c r="A691" s="29"/>
      <c r="B691" s="19"/>
      <c r="C691" s="31"/>
      <c r="D691" s="32"/>
      <c r="E691" s="46"/>
      <c r="F691" s="43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23.25" customHeight="1">
      <c r="A692" s="29"/>
      <c r="B692" s="19"/>
      <c r="C692" s="31"/>
      <c r="D692" s="32"/>
      <c r="E692" s="46"/>
      <c r="F692" s="43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23.25" customHeight="1">
      <c r="A693" s="29"/>
      <c r="B693" s="19"/>
      <c r="C693" s="31"/>
      <c r="D693" s="32"/>
      <c r="E693" s="46"/>
      <c r="F693" s="43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23.25" customHeight="1">
      <c r="A694" s="29"/>
      <c r="B694" s="19"/>
      <c r="C694" s="31"/>
      <c r="D694" s="32"/>
      <c r="E694" s="46"/>
      <c r="F694" s="43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23.25" customHeight="1">
      <c r="A695" s="29"/>
      <c r="B695" s="19"/>
      <c r="C695" s="31"/>
      <c r="D695" s="32"/>
      <c r="E695" s="46"/>
      <c r="F695" s="43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23.25" customHeight="1">
      <c r="A696" s="29"/>
      <c r="B696" s="19"/>
      <c r="C696" s="31"/>
      <c r="D696" s="32"/>
      <c r="E696" s="46"/>
      <c r="F696" s="43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23.25" customHeight="1">
      <c r="A697" s="29"/>
      <c r="B697" s="19"/>
      <c r="C697" s="31"/>
      <c r="D697" s="32"/>
      <c r="E697" s="46"/>
      <c r="F697" s="43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23.25" customHeight="1">
      <c r="A698" s="29"/>
      <c r="B698" s="19"/>
      <c r="C698" s="31"/>
      <c r="D698" s="32"/>
      <c r="E698" s="46"/>
      <c r="F698" s="43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23.25" customHeight="1">
      <c r="A699" s="29"/>
      <c r="B699" s="19"/>
      <c r="C699" s="31"/>
      <c r="D699" s="32"/>
      <c r="E699" s="46"/>
      <c r="F699" s="43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23.25" customHeight="1">
      <c r="A700" s="29"/>
      <c r="B700" s="19"/>
      <c r="C700" s="31"/>
      <c r="D700" s="32"/>
      <c r="E700" s="46"/>
      <c r="F700" s="43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23.25" customHeight="1">
      <c r="A701" s="29"/>
      <c r="B701" s="19"/>
      <c r="C701" s="31"/>
      <c r="D701" s="32"/>
      <c r="E701" s="46"/>
      <c r="F701" s="43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23.25" customHeight="1">
      <c r="A702" s="29"/>
      <c r="B702" s="19"/>
      <c r="C702" s="31"/>
      <c r="D702" s="32"/>
      <c r="E702" s="46"/>
      <c r="F702" s="43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23.25" customHeight="1">
      <c r="A703" s="29"/>
      <c r="B703" s="19"/>
      <c r="C703" s="31"/>
      <c r="D703" s="32"/>
      <c r="E703" s="46"/>
      <c r="F703" s="43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23.25" customHeight="1">
      <c r="A704" s="29"/>
      <c r="B704" s="19"/>
      <c r="C704" s="31"/>
      <c r="D704" s="32"/>
      <c r="E704" s="46"/>
      <c r="F704" s="43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23.25" customHeight="1">
      <c r="A705" s="29"/>
      <c r="B705" s="19"/>
      <c r="C705" s="31"/>
      <c r="D705" s="32"/>
      <c r="E705" s="46"/>
      <c r="F705" s="43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23.25" customHeight="1">
      <c r="A706" s="29"/>
      <c r="B706" s="19"/>
      <c r="C706" s="31"/>
      <c r="D706" s="32"/>
      <c r="E706" s="46"/>
      <c r="F706" s="43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23.25" customHeight="1">
      <c r="A707" s="29"/>
      <c r="B707" s="19"/>
      <c r="C707" s="31"/>
      <c r="D707" s="32"/>
      <c r="E707" s="46"/>
      <c r="F707" s="43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23.25" customHeight="1">
      <c r="A708" s="29"/>
      <c r="B708" s="19"/>
      <c r="C708" s="31"/>
      <c r="D708" s="32"/>
      <c r="E708" s="46"/>
      <c r="F708" s="43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23.25" customHeight="1">
      <c r="A709" s="29"/>
      <c r="B709" s="19"/>
      <c r="C709" s="31"/>
      <c r="D709" s="32"/>
      <c r="E709" s="46"/>
      <c r="F709" s="43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23.25" customHeight="1">
      <c r="A710" s="29"/>
      <c r="B710" s="19"/>
      <c r="C710" s="31"/>
      <c r="D710" s="32"/>
      <c r="E710" s="46"/>
      <c r="F710" s="43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23.25" customHeight="1">
      <c r="A711" s="29"/>
      <c r="B711" s="19"/>
      <c r="C711" s="31"/>
      <c r="D711" s="32"/>
      <c r="E711" s="46"/>
      <c r="F711" s="43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23.25" customHeight="1">
      <c r="A712" s="29"/>
      <c r="B712" s="19"/>
      <c r="C712" s="31"/>
      <c r="D712" s="32"/>
      <c r="E712" s="46"/>
      <c r="F712" s="43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23.25" customHeight="1">
      <c r="A713" s="29"/>
      <c r="B713" s="19"/>
      <c r="C713" s="31"/>
      <c r="D713" s="32"/>
      <c r="E713" s="46"/>
      <c r="F713" s="43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23.25" customHeight="1">
      <c r="A714" s="29"/>
      <c r="B714" s="19"/>
      <c r="C714" s="31"/>
      <c r="D714" s="32"/>
      <c r="E714" s="46"/>
      <c r="F714" s="43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23.25" customHeight="1">
      <c r="A715" s="29"/>
      <c r="B715" s="19"/>
      <c r="C715" s="31"/>
      <c r="D715" s="32"/>
      <c r="E715" s="46"/>
      <c r="F715" s="43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23.25" customHeight="1">
      <c r="A716" s="29"/>
      <c r="B716" s="19"/>
      <c r="C716" s="31"/>
      <c r="D716" s="32"/>
      <c r="E716" s="46"/>
      <c r="F716" s="43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23.25" customHeight="1">
      <c r="A717" s="29"/>
      <c r="B717" s="19"/>
      <c r="C717" s="31"/>
      <c r="D717" s="32"/>
      <c r="E717" s="46"/>
      <c r="F717" s="43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23.25" customHeight="1">
      <c r="A718" s="29"/>
      <c r="B718" s="19"/>
      <c r="C718" s="31"/>
      <c r="D718" s="32"/>
      <c r="E718" s="46"/>
      <c r="F718" s="43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23.25" customHeight="1">
      <c r="A719" s="29"/>
      <c r="B719" s="19"/>
      <c r="C719" s="31"/>
      <c r="D719" s="32"/>
      <c r="E719" s="46"/>
      <c r="F719" s="43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23.25" customHeight="1">
      <c r="A720" s="29"/>
      <c r="B720" s="19"/>
      <c r="C720" s="31"/>
      <c r="D720" s="32"/>
      <c r="E720" s="46"/>
      <c r="F720" s="43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23.25" customHeight="1">
      <c r="A721" s="29"/>
      <c r="B721" s="19"/>
      <c r="C721" s="31"/>
      <c r="D721" s="32"/>
      <c r="E721" s="46"/>
      <c r="F721" s="43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23.25" customHeight="1">
      <c r="A722" s="29"/>
      <c r="B722" s="19"/>
      <c r="C722" s="31"/>
      <c r="D722" s="32"/>
      <c r="E722" s="46"/>
      <c r="F722" s="43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23.25" customHeight="1">
      <c r="A723" s="29"/>
      <c r="B723" s="19"/>
      <c r="C723" s="31"/>
      <c r="D723" s="32"/>
      <c r="E723" s="46"/>
      <c r="F723" s="43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23.25" customHeight="1">
      <c r="A724" s="29"/>
      <c r="B724" s="19"/>
      <c r="C724" s="31"/>
      <c r="D724" s="32"/>
      <c r="E724" s="46"/>
      <c r="F724" s="43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23.25" customHeight="1">
      <c r="A725" s="29"/>
      <c r="B725" s="19"/>
      <c r="C725" s="31"/>
      <c r="D725" s="32"/>
      <c r="E725" s="46"/>
      <c r="F725" s="43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23.25" customHeight="1">
      <c r="A726" s="29"/>
      <c r="B726" s="19"/>
      <c r="C726" s="31"/>
      <c r="D726" s="32"/>
      <c r="E726" s="46"/>
      <c r="F726" s="43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23.25" customHeight="1">
      <c r="A727" s="29"/>
      <c r="B727" s="19"/>
      <c r="C727" s="31"/>
      <c r="D727" s="32"/>
      <c r="E727" s="46"/>
      <c r="F727" s="43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23.25" customHeight="1">
      <c r="A728" s="29"/>
      <c r="B728" s="19"/>
      <c r="C728" s="31"/>
      <c r="D728" s="32"/>
      <c r="E728" s="46"/>
      <c r="F728" s="43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23.25" customHeight="1">
      <c r="A729" s="29"/>
      <c r="B729" s="19"/>
      <c r="C729" s="31"/>
      <c r="D729" s="32"/>
      <c r="E729" s="46"/>
      <c r="F729" s="43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23.25" customHeight="1">
      <c r="A730" s="29"/>
      <c r="B730" s="19"/>
      <c r="C730" s="31"/>
      <c r="D730" s="32"/>
      <c r="E730" s="46"/>
      <c r="F730" s="43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23.25" customHeight="1">
      <c r="A731" s="29"/>
      <c r="B731" s="19"/>
      <c r="C731" s="31"/>
      <c r="D731" s="32"/>
      <c r="E731" s="46"/>
      <c r="F731" s="43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23.25" customHeight="1">
      <c r="A732" s="29"/>
      <c r="B732" s="19"/>
      <c r="C732" s="31"/>
      <c r="D732" s="32"/>
      <c r="E732" s="46"/>
      <c r="F732" s="43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23.25" customHeight="1">
      <c r="A733" s="29"/>
      <c r="B733" s="19"/>
      <c r="C733" s="31"/>
      <c r="D733" s="32"/>
      <c r="E733" s="46"/>
      <c r="F733" s="43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23.25" customHeight="1">
      <c r="A734" s="29"/>
      <c r="B734" s="19"/>
      <c r="C734" s="31"/>
      <c r="D734" s="32"/>
      <c r="E734" s="46"/>
      <c r="F734" s="43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23.25" customHeight="1">
      <c r="A735" s="29"/>
      <c r="B735" s="19"/>
      <c r="C735" s="31"/>
      <c r="D735" s="32"/>
      <c r="E735" s="46"/>
      <c r="F735" s="43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23.25" customHeight="1">
      <c r="A736" s="29"/>
      <c r="B736" s="19"/>
      <c r="C736" s="31"/>
      <c r="D736" s="32"/>
      <c r="E736" s="46"/>
      <c r="F736" s="43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23.25" customHeight="1">
      <c r="A737" s="29"/>
      <c r="B737" s="19"/>
      <c r="C737" s="31"/>
      <c r="D737" s="32"/>
      <c r="E737" s="46"/>
      <c r="F737" s="43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23.25" customHeight="1">
      <c r="A738" s="29"/>
      <c r="B738" s="19"/>
      <c r="C738" s="31"/>
      <c r="D738" s="32"/>
      <c r="E738" s="46"/>
      <c r="F738" s="43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23.25" customHeight="1">
      <c r="A739" s="29"/>
      <c r="B739" s="19"/>
      <c r="C739" s="31"/>
      <c r="D739" s="32"/>
      <c r="E739" s="46"/>
      <c r="F739" s="43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23.25" customHeight="1">
      <c r="A740" s="29"/>
      <c r="B740" s="19"/>
      <c r="C740" s="31"/>
      <c r="D740" s="32"/>
      <c r="E740" s="46"/>
      <c r="F740" s="43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23.25" customHeight="1">
      <c r="A741" s="29"/>
      <c r="B741" s="19"/>
      <c r="C741" s="31"/>
      <c r="D741" s="32"/>
      <c r="E741" s="46"/>
      <c r="F741" s="43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23.25" customHeight="1">
      <c r="A742" s="29"/>
      <c r="B742" s="19"/>
      <c r="C742" s="31"/>
      <c r="D742" s="32"/>
      <c r="E742" s="46"/>
      <c r="F742" s="43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23.25" customHeight="1">
      <c r="A743" s="29"/>
      <c r="B743" s="19"/>
      <c r="C743" s="31"/>
      <c r="D743" s="32"/>
      <c r="E743" s="46"/>
      <c r="F743" s="43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23.25" customHeight="1">
      <c r="A744" s="29"/>
      <c r="B744" s="19"/>
      <c r="C744" s="31"/>
      <c r="D744" s="32"/>
      <c r="E744" s="46"/>
      <c r="F744" s="43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23.25" customHeight="1">
      <c r="A745" s="29"/>
      <c r="B745" s="19"/>
      <c r="C745" s="31"/>
      <c r="D745" s="32"/>
      <c r="E745" s="46"/>
      <c r="F745" s="43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23.25" customHeight="1">
      <c r="A746" s="29"/>
      <c r="B746" s="19"/>
      <c r="C746" s="31"/>
      <c r="D746" s="32"/>
      <c r="E746" s="46"/>
      <c r="F746" s="43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23.25" customHeight="1">
      <c r="A747" s="29"/>
      <c r="B747" s="19"/>
      <c r="C747" s="31"/>
      <c r="D747" s="32"/>
      <c r="E747" s="46"/>
      <c r="F747" s="43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23.25" customHeight="1">
      <c r="A748" s="29"/>
      <c r="B748" s="19"/>
      <c r="C748" s="31"/>
      <c r="D748" s="32"/>
      <c r="E748" s="46"/>
      <c r="F748" s="43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23.25" customHeight="1">
      <c r="A749" s="29"/>
      <c r="B749" s="19"/>
      <c r="C749" s="31"/>
      <c r="D749" s="32"/>
      <c r="E749" s="46"/>
      <c r="F749" s="43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23.25" customHeight="1">
      <c r="A750" s="29"/>
      <c r="B750" s="19"/>
      <c r="C750" s="31"/>
      <c r="D750" s="32"/>
      <c r="E750" s="46"/>
      <c r="F750" s="43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23.25" customHeight="1">
      <c r="A751" s="29"/>
      <c r="B751" s="19"/>
      <c r="C751" s="31"/>
      <c r="D751" s="32"/>
      <c r="E751" s="46"/>
      <c r="F751" s="43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23.25" customHeight="1">
      <c r="A752" s="29"/>
      <c r="B752" s="19"/>
      <c r="C752" s="31"/>
      <c r="D752" s="32"/>
      <c r="E752" s="46"/>
      <c r="F752" s="43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23.25" customHeight="1">
      <c r="A753" s="29"/>
      <c r="B753" s="19"/>
      <c r="C753" s="31"/>
      <c r="D753" s="32"/>
      <c r="E753" s="46"/>
      <c r="F753" s="43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23.25" customHeight="1">
      <c r="A754" s="29"/>
      <c r="B754" s="19"/>
      <c r="C754" s="31"/>
      <c r="D754" s="32"/>
      <c r="E754" s="46"/>
      <c r="F754" s="43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23.25" customHeight="1">
      <c r="A755" s="29"/>
      <c r="B755" s="19"/>
      <c r="C755" s="31"/>
      <c r="D755" s="32"/>
      <c r="E755" s="46"/>
      <c r="F755" s="43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23.25" customHeight="1">
      <c r="A756" s="29"/>
      <c r="B756" s="19"/>
      <c r="C756" s="31"/>
      <c r="D756" s="32"/>
      <c r="E756" s="46"/>
      <c r="F756" s="43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23.25" customHeight="1">
      <c r="A757" s="29"/>
      <c r="B757" s="19"/>
      <c r="C757" s="31"/>
      <c r="D757" s="32"/>
      <c r="E757" s="46"/>
      <c r="F757" s="43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23.25" customHeight="1">
      <c r="A758" s="29"/>
      <c r="B758" s="19"/>
      <c r="C758" s="31"/>
      <c r="D758" s="32"/>
      <c r="E758" s="46"/>
      <c r="F758" s="43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23.25" customHeight="1">
      <c r="A759" s="29"/>
      <c r="B759" s="19"/>
      <c r="C759" s="31"/>
      <c r="D759" s="32"/>
      <c r="E759" s="46"/>
      <c r="F759" s="43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23.25" customHeight="1">
      <c r="A760" s="29"/>
      <c r="B760" s="19"/>
      <c r="C760" s="31"/>
      <c r="D760" s="32"/>
      <c r="E760" s="46"/>
      <c r="F760" s="43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23.25" customHeight="1">
      <c r="A761" s="29"/>
      <c r="B761" s="19"/>
      <c r="C761" s="31"/>
      <c r="D761" s="32"/>
      <c r="E761" s="46"/>
      <c r="F761" s="43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23.25" customHeight="1">
      <c r="A762" s="29"/>
      <c r="B762" s="19"/>
      <c r="C762" s="31"/>
      <c r="D762" s="32"/>
      <c r="E762" s="46"/>
      <c r="F762" s="43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23.25" customHeight="1">
      <c r="A763" s="29"/>
      <c r="B763" s="19"/>
      <c r="C763" s="31"/>
      <c r="D763" s="32"/>
      <c r="E763" s="46"/>
      <c r="F763" s="43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23.25" customHeight="1">
      <c r="A764" s="29"/>
      <c r="B764" s="19"/>
      <c r="C764" s="31"/>
      <c r="D764" s="32"/>
      <c r="E764" s="46"/>
      <c r="F764" s="43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23.25" customHeight="1">
      <c r="A765" s="29"/>
      <c r="B765" s="19"/>
      <c r="C765" s="31"/>
      <c r="D765" s="32"/>
      <c r="E765" s="46"/>
      <c r="F765" s="43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23.25" customHeight="1">
      <c r="A766" s="29"/>
      <c r="B766" s="19"/>
      <c r="C766" s="31"/>
      <c r="D766" s="32"/>
      <c r="E766" s="46"/>
      <c r="F766" s="43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23.25" customHeight="1">
      <c r="A767" s="29"/>
      <c r="B767" s="19"/>
      <c r="C767" s="31"/>
      <c r="D767" s="32"/>
      <c r="E767" s="46"/>
      <c r="F767" s="43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23.25" customHeight="1">
      <c r="A768" s="29"/>
      <c r="B768" s="19"/>
      <c r="C768" s="31"/>
      <c r="D768" s="32"/>
      <c r="E768" s="46"/>
      <c r="F768" s="43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23.25" customHeight="1">
      <c r="A769" s="29"/>
      <c r="B769" s="19"/>
      <c r="C769" s="31"/>
      <c r="D769" s="32"/>
      <c r="E769" s="46"/>
      <c r="F769" s="43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23.25" customHeight="1">
      <c r="A770" s="29"/>
      <c r="B770" s="19"/>
      <c r="C770" s="31"/>
      <c r="D770" s="32"/>
      <c r="E770" s="46"/>
      <c r="F770" s="43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23.25" customHeight="1">
      <c r="A771" s="29"/>
      <c r="B771" s="19"/>
      <c r="C771" s="31"/>
      <c r="D771" s="32"/>
      <c r="E771" s="46"/>
      <c r="F771" s="43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23.25" customHeight="1">
      <c r="A772" s="29"/>
      <c r="B772" s="19"/>
      <c r="C772" s="31"/>
      <c r="D772" s="32"/>
      <c r="E772" s="46"/>
      <c r="F772" s="43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23.25" customHeight="1">
      <c r="A773" s="29"/>
      <c r="B773" s="19"/>
      <c r="C773" s="31"/>
      <c r="D773" s="32"/>
      <c r="E773" s="46"/>
      <c r="F773" s="43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23.25" customHeight="1">
      <c r="A774" s="29"/>
      <c r="B774" s="19"/>
      <c r="C774" s="31"/>
      <c r="D774" s="32"/>
      <c r="E774" s="46"/>
      <c r="F774" s="43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23.25" customHeight="1">
      <c r="A775" s="29"/>
      <c r="B775" s="19"/>
      <c r="C775" s="31"/>
      <c r="D775" s="32"/>
      <c r="E775" s="46"/>
      <c r="F775" s="43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23.25" customHeight="1">
      <c r="A776" s="29"/>
      <c r="B776" s="19"/>
      <c r="C776" s="31"/>
      <c r="D776" s="32"/>
      <c r="E776" s="46"/>
      <c r="F776" s="43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23.25" customHeight="1">
      <c r="A777" s="29"/>
      <c r="B777" s="19"/>
      <c r="C777" s="31"/>
      <c r="D777" s="32"/>
      <c r="E777" s="46"/>
      <c r="F777" s="43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23.25" customHeight="1">
      <c r="A778" s="29"/>
      <c r="B778" s="19"/>
      <c r="C778" s="31"/>
      <c r="D778" s="32"/>
      <c r="E778" s="46"/>
      <c r="F778" s="43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23.25" customHeight="1">
      <c r="A779" s="29"/>
      <c r="B779" s="19"/>
      <c r="C779" s="31"/>
      <c r="D779" s="32"/>
      <c r="E779" s="46"/>
      <c r="F779" s="43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23.25" customHeight="1">
      <c r="A780" s="29"/>
      <c r="B780" s="19"/>
      <c r="C780" s="31"/>
      <c r="D780" s="32"/>
      <c r="E780" s="46"/>
      <c r="F780" s="43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23.25" customHeight="1">
      <c r="A781" s="29"/>
      <c r="B781" s="19"/>
      <c r="C781" s="31"/>
      <c r="D781" s="32"/>
      <c r="E781" s="46"/>
      <c r="F781" s="43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23.25" customHeight="1">
      <c r="A782" s="29"/>
      <c r="B782" s="19"/>
      <c r="C782" s="31"/>
      <c r="D782" s="32"/>
      <c r="E782" s="46"/>
      <c r="F782" s="43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23.25" customHeight="1">
      <c r="A783" s="29"/>
      <c r="B783" s="19"/>
      <c r="C783" s="31"/>
      <c r="D783" s="32"/>
      <c r="E783" s="46"/>
      <c r="F783" s="43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23.25" customHeight="1">
      <c r="A784" s="29"/>
      <c r="B784" s="19"/>
      <c r="C784" s="31"/>
      <c r="D784" s="32"/>
      <c r="E784" s="46"/>
      <c r="F784" s="43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23.25" customHeight="1">
      <c r="A785" s="29"/>
      <c r="B785" s="19"/>
      <c r="C785" s="31"/>
      <c r="D785" s="32"/>
      <c r="E785" s="46"/>
      <c r="F785" s="43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23.25" customHeight="1">
      <c r="A786" s="29"/>
      <c r="B786" s="19"/>
      <c r="C786" s="31"/>
      <c r="D786" s="32"/>
      <c r="E786" s="46"/>
      <c r="F786" s="43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23.25" customHeight="1">
      <c r="A787" s="29"/>
      <c r="B787" s="19"/>
      <c r="C787" s="31"/>
      <c r="D787" s="32"/>
      <c r="E787" s="46"/>
      <c r="F787" s="43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23.25" customHeight="1">
      <c r="A788" s="29"/>
      <c r="B788" s="19"/>
      <c r="C788" s="31"/>
      <c r="D788" s="32"/>
      <c r="E788" s="46"/>
      <c r="F788" s="43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23.25" customHeight="1">
      <c r="A789" s="29"/>
      <c r="B789" s="19"/>
      <c r="C789" s="31"/>
      <c r="D789" s="32"/>
      <c r="E789" s="46"/>
      <c r="F789" s="43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23.25" customHeight="1">
      <c r="A790" s="29"/>
      <c r="B790" s="19"/>
      <c r="C790" s="31"/>
      <c r="D790" s="32"/>
      <c r="E790" s="46"/>
      <c r="F790" s="43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23.25" customHeight="1">
      <c r="A791" s="29"/>
      <c r="B791" s="19"/>
      <c r="C791" s="31"/>
      <c r="D791" s="32"/>
      <c r="E791" s="46"/>
      <c r="F791" s="43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23.25" customHeight="1">
      <c r="A792" s="29"/>
      <c r="B792" s="19"/>
      <c r="C792" s="31"/>
      <c r="D792" s="32"/>
      <c r="E792" s="46"/>
      <c r="F792" s="43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23.25" customHeight="1">
      <c r="A793" s="29"/>
      <c r="B793" s="19"/>
      <c r="C793" s="31"/>
      <c r="D793" s="32"/>
      <c r="E793" s="46"/>
      <c r="F793" s="43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23.25" customHeight="1">
      <c r="A794" s="29"/>
      <c r="B794" s="19"/>
      <c r="C794" s="31"/>
      <c r="D794" s="32"/>
      <c r="E794" s="46"/>
      <c r="F794" s="43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23.25" customHeight="1">
      <c r="A795" s="29"/>
      <c r="B795" s="19"/>
      <c r="C795" s="31"/>
      <c r="D795" s="32"/>
      <c r="E795" s="46"/>
      <c r="F795" s="43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23.25" customHeight="1">
      <c r="A796" s="29"/>
      <c r="B796" s="19"/>
      <c r="C796" s="31"/>
      <c r="D796" s="32"/>
      <c r="E796" s="46"/>
      <c r="F796" s="43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23.25" customHeight="1">
      <c r="A797" s="29"/>
      <c r="B797" s="19"/>
      <c r="C797" s="31"/>
      <c r="D797" s="32"/>
      <c r="E797" s="46"/>
      <c r="F797" s="43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23.25" customHeight="1">
      <c r="A798" s="29"/>
      <c r="B798" s="19"/>
      <c r="C798" s="31"/>
      <c r="D798" s="32"/>
      <c r="E798" s="46"/>
      <c r="F798" s="43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23.25" customHeight="1">
      <c r="A799" s="29"/>
      <c r="B799" s="19"/>
      <c r="C799" s="31"/>
      <c r="D799" s="32"/>
      <c r="E799" s="46"/>
      <c r="F799" s="43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23.25" customHeight="1">
      <c r="A800" s="29"/>
      <c r="B800" s="19"/>
      <c r="C800" s="31"/>
      <c r="D800" s="32"/>
      <c r="E800" s="46"/>
      <c r="F800" s="43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23.25" customHeight="1">
      <c r="A801" s="29"/>
      <c r="B801" s="19"/>
      <c r="C801" s="31"/>
      <c r="D801" s="32"/>
      <c r="E801" s="46"/>
      <c r="F801" s="43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23.25" customHeight="1">
      <c r="A802" s="29"/>
      <c r="B802" s="19"/>
      <c r="C802" s="31"/>
      <c r="D802" s="32"/>
      <c r="E802" s="46"/>
      <c r="F802" s="43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23.25" customHeight="1">
      <c r="A803" s="29"/>
      <c r="B803" s="19"/>
      <c r="C803" s="31"/>
      <c r="D803" s="32"/>
      <c r="E803" s="46"/>
      <c r="F803" s="43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23.25" customHeight="1">
      <c r="A804" s="29"/>
      <c r="B804" s="19"/>
      <c r="C804" s="31"/>
      <c r="D804" s="32"/>
      <c r="E804" s="46"/>
      <c r="F804" s="43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23.25" customHeight="1">
      <c r="A805" s="29"/>
      <c r="B805" s="19"/>
      <c r="C805" s="31"/>
      <c r="D805" s="32"/>
      <c r="E805" s="46"/>
      <c r="F805" s="43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23.25" customHeight="1">
      <c r="A806" s="29"/>
      <c r="B806" s="19"/>
      <c r="C806" s="31"/>
      <c r="D806" s="32"/>
      <c r="E806" s="46"/>
      <c r="F806" s="43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23.25" customHeight="1">
      <c r="A807" s="29"/>
      <c r="B807" s="19"/>
      <c r="C807" s="31"/>
      <c r="D807" s="32"/>
      <c r="E807" s="46"/>
      <c r="F807" s="43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23.25" customHeight="1">
      <c r="A808" s="29"/>
      <c r="B808" s="19"/>
      <c r="C808" s="31"/>
      <c r="D808" s="32"/>
      <c r="E808" s="46"/>
      <c r="F808" s="43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23.25" customHeight="1">
      <c r="A809" s="29"/>
      <c r="B809" s="19"/>
      <c r="C809" s="31"/>
      <c r="D809" s="32"/>
      <c r="E809" s="46"/>
      <c r="F809" s="43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23.25" customHeight="1">
      <c r="A810" s="29"/>
      <c r="B810" s="19"/>
      <c r="C810" s="31"/>
      <c r="D810" s="32"/>
      <c r="E810" s="46"/>
      <c r="F810" s="43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23.25" customHeight="1">
      <c r="A811" s="29"/>
      <c r="B811" s="19"/>
      <c r="C811" s="31"/>
      <c r="D811" s="32"/>
      <c r="E811" s="46"/>
      <c r="F811" s="43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23.25" customHeight="1">
      <c r="A812" s="29"/>
      <c r="B812" s="19"/>
      <c r="C812" s="31"/>
      <c r="D812" s="32"/>
      <c r="E812" s="46"/>
      <c r="F812" s="43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23.25" customHeight="1">
      <c r="A813" s="29"/>
      <c r="B813" s="19"/>
      <c r="C813" s="31"/>
      <c r="D813" s="32"/>
      <c r="E813" s="46"/>
      <c r="F813" s="43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23.25" customHeight="1">
      <c r="A814" s="29"/>
      <c r="B814" s="19"/>
      <c r="C814" s="31"/>
      <c r="D814" s="32"/>
      <c r="E814" s="46"/>
      <c r="F814" s="43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23.25" customHeight="1">
      <c r="A815" s="29"/>
      <c r="B815" s="19"/>
      <c r="C815" s="31"/>
      <c r="D815" s="32"/>
      <c r="E815" s="46"/>
      <c r="F815" s="43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23.25" customHeight="1">
      <c r="A816" s="29"/>
      <c r="B816" s="19"/>
      <c r="C816" s="31"/>
      <c r="D816" s="32"/>
      <c r="E816" s="46"/>
      <c r="F816" s="43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23.25" customHeight="1">
      <c r="A817" s="29"/>
      <c r="B817" s="19"/>
      <c r="C817" s="31"/>
      <c r="D817" s="32"/>
      <c r="E817" s="46"/>
      <c r="F817" s="43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23.25" customHeight="1">
      <c r="A818" s="29"/>
      <c r="B818" s="19"/>
      <c r="C818" s="31"/>
      <c r="D818" s="32"/>
      <c r="E818" s="46"/>
      <c r="F818" s="43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23.25" customHeight="1">
      <c r="A819" s="29"/>
      <c r="B819" s="19"/>
      <c r="C819" s="31"/>
      <c r="D819" s="32"/>
      <c r="E819" s="46"/>
      <c r="F819" s="43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23.25" customHeight="1">
      <c r="A820" s="29"/>
      <c r="B820" s="19"/>
      <c r="C820" s="31"/>
      <c r="D820" s="32"/>
      <c r="E820" s="46"/>
      <c r="F820" s="43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23.25" customHeight="1">
      <c r="A821" s="29"/>
      <c r="B821" s="19"/>
      <c r="C821" s="31"/>
      <c r="D821" s="32"/>
      <c r="E821" s="46"/>
      <c r="F821" s="43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23.25" customHeight="1">
      <c r="A822" s="29"/>
      <c r="B822" s="19"/>
      <c r="C822" s="31"/>
      <c r="D822" s="32"/>
      <c r="E822" s="46"/>
      <c r="F822" s="43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23.25" customHeight="1">
      <c r="A823" s="29"/>
      <c r="B823" s="19"/>
      <c r="C823" s="31"/>
      <c r="D823" s="32"/>
      <c r="E823" s="46"/>
      <c r="F823" s="43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23.25" customHeight="1">
      <c r="A824" s="29"/>
      <c r="B824" s="19"/>
      <c r="C824" s="31"/>
      <c r="D824" s="32"/>
      <c r="E824" s="46"/>
      <c r="F824" s="43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23.25" customHeight="1">
      <c r="A825" s="29"/>
      <c r="B825" s="19"/>
      <c r="C825" s="31"/>
      <c r="D825" s="32"/>
      <c r="E825" s="46"/>
      <c r="F825" s="43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23.25" customHeight="1">
      <c r="A826" s="29"/>
      <c r="B826" s="19"/>
      <c r="C826" s="31"/>
      <c r="D826" s="32"/>
      <c r="E826" s="46"/>
      <c r="F826" s="43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23.25" customHeight="1">
      <c r="A827" s="29"/>
      <c r="B827" s="19"/>
      <c r="C827" s="31"/>
      <c r="D827" s="32"/>
      <c r="E827" s="46"/>
      <c r="F827" s="43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23.25" customHeight="1">
      <c r="A828" s="29"/>
      <c r="B828" s="19"/>
      <c r="C828" s="31"/>
      <c r="D828" s="32"/>
      <c r="E828" s="46"/>
      <c r="F828" s="43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23.25" customHeight="1">
      <c r="A829" s="29"/>
      <c r="B829" s="19"/>
      <c r="C829" s="31"/>
      <c r="D829" s="32"/>
      <c r="E829" s="46"/>
      <c r="F829" s="43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23.25" customHeight="1">
      <c r="A830" s="29"/>
      <c r="B830" s="19"/>
      <c r="C830" s="31"/>
      <c r="D830" s="32"/>
      <c r="E830" s="46"/>
      <c r="F830" s="43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23.25" customHeight="1">
      <c r="A831" s="29"/>
      <c r="B831" s="19"/>
      <c r="C831" s="31"/>
      <c r="D831" s="32"/>
      <c r="E831" s="46"/>
      <c r="F831" s="43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23.25" customHeight="1">
      <c r="A832" s="29"/>
      <c r="B832" s="19"/>
      <c r="C832" s="31"/>
      <c r="D832" s="32"/>
      <c r="E832" s="46"/>
      <c r="F832" s="43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23.25" customHeight="1">
      <c r="A833" s="29"/>
      <c r="B833" s="19"/>
      <c r="C833" s="31"/>
      <c r="D833" s="32"/>
      <c r="E833" s="46"/>
      <c r="F833" s="43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23.25" customHeight="1">
      <c r="A834" s="29"/>
      <c r="B834" s="19"/>
      <c r="C834" s="31"/>
      <c r="D834" s="32"/>
      <c r="E834" s="46"/>
      <c r="F834" s="43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23.25" customHeight="1">
      <c r="A835" s="29"/>
      <c r="B835" s="19"/>
      <c r="C835" s="31"/>
      <c r="D835" s="32"/>
      <c r="E835" s="46"/>
      <c r="F835" s="43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23.25" customHeight="1">
      <c r="A836" s="29"/>
      <c r="B836" s="19"/>
      <c r="C836" s="31"/>
      <c r="D836" s="32"/>
      <c r="E836" s="46"/>
      <c r="F836" s="43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23.25" customHeight="1">
      <c r="A837" s="29"/>
      <c r="B837" s="19"/>
      <c r="C837" s="31"/>
      <c r="D837" s="32"/>
      <c r="E837" s="46"/>
      <c r="F837" s="43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23.25" customHeight="1">
      <c r="A838" s="29"/>
      <c r="B838" s="19"/>
      <c r="C838" s="31"/>
      <c r="D838" s="32"/>
      <c r="E838" s="46"/>
      <c r="F838" s="43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23.25" customHeight="1">
      <c r="A839" s="29"/>
      <c r="B839" s="19"/>
      <c r="C839" s="31"/>
      <c r="D839" s="32"/>
      <c r="E839" s="46"/>
      <c r="F839" s="43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23.25" customHeight="1">
      <c r="A840" s="29"/>
      <c r="B840" s="19"/>
      <c r="C840" s="31"/>
      <c r="D840" s="32"/>
      <c r="E840" s="46"/>
      <c r="F840" s="43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23.25" customHeight="1">
      <c r="A841" s="29"/>
      <c r="B841" s="19"/>
      <c r="C841" s="31"/>
      <c r="D841" s="32"/>
      <c r="E841" s="46"/>
      <c r="F841" s="43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23.25" customHeight="1">
      <c r="A842" s="29"/>
      <c r="B842" s="19"/>
      <c r="C842" s="31"/>
      <c r="D842" s="32"/>
      <c r="E842" s="46"/>
      <c r="F842" s="43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23.25" customHeight="1">
      <c r="A843" s="29"/>
      <c r="B843" s="19"/>
      <c r="C843" s="31"/>
      <c r="D843" s="32"/>
      <c r="E843" s="46"/>
      <c r="F843" s="43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23.25" customHeight="1">
      <c r="A844" s="29"/>
      <c r="B844" s="19"/>
      <c r="C844" s="31"/>
      <c r="D844" s="32"/>
      <c r="E844" s="46"/>
      <c r="F844" s="43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23.25" customHeight="1">
      <c r="A845" s="29"/>
      <c r="B845" s="19"/>
      <c r="C845" s="31"/>
      <c r="D845" s="32"/>
      <c r="E845" s="46"/>
      <c r="F845" s="43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23.25" customHeight="1">
      <c r="A846" s="29"/>
      <c r="B846" s="19"/>
      <c r="C846" s="31"/>
      <c r="D846" s="32"/>
      <c r="E846" s="46"/>
      <c r="F846" s="43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23.25" customHeight="1">
      <c r="A847" s="29"/>
      <c r="B847" s="19"/>
      <c r="C847" s="31"/>
      <c r="D847" s="32"/>
      <c r="E847" s="46"/>
      <c r="F847" s="43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23.25" customHeight="1">
      <c r="A848" s="29"/>
      <c r="B848" s="19"/>
      <c r="C848" s="31"/>
      <c r="D848" s="32"/>
      <c r="E848" s="46"/>
      <c r="F848" s="43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23.25" customHeight="1">
      <c r="A849" s="29"/>
      <c r="B849" s="19"/>
      <c r="C849" s="31"/>
      <c r="D849" s="32"/>
      <c r="E849" s="46"/>
      <c r="F849" s="43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23.25" customHeight="1">
      <c r="A850" s="29"/>
      <c r="B850" s="19"/>
      <c r="C850" s="31"/>
      <c r="D850" s="32"/>
      <c r="E850" s="46"/>
      <c r="F850" s="43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23.25" customHeight="1">
      <c r="A851" s="29"/>
      <c r="B851" s="19"/>
      <c r="C851" s="31"/>
      <c r="D851" s="32"/>
      <c r="E851" s="46"/>
      <c r="F851" s="43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23.25" customHeight="1">
      <c r="A852" s="29"/>
      <c r="B852" s="19"/>
      <c r="C852" s="31"/>
      <c r="D852" s="32"/>
      <c r="E852" s="46"/>
      <c r="F852" s="43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23.25" customHeight="1">
      <c r="A853" s="29"/>
      <c r="B853" s="19"/>
      <c r="C853" s="31"/>
      <c r="D853" s="32"/>
      <c r="E853" s="46"/>
      <c r="F853" s="43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23.25" customHeight="1">
      <c r="A854" s="29"/>
      <c r="B854" s="19"/>
      <c r="C854" s="31"/>
      <c r="D854" s="32"/>
      <c r="E854" s="46"/>
      <c r="F854" s="43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23.25" customHeight="1">
      <c r="A855" s="29"/>
      <c r="B855" s="19"/>
      <c r="C855" s="31"/>
      <c r="D855" s="32"/>
      <c r="E855" s="46"/>
      <c r="F855" s="43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23.25" customHeight="1">
      <c r="A856" s="29"/>
      <c r="B856" s="19"/>
      <c r="C856" s="31"/>
      <c r="D856" s="32"/>
      <c r="E856" s="46"/>
      <c r="F856" s="43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23.25" customHeight="1">
      <c r="A857" s="29"/>
      <c r="B857" s="19"/>
      <c r="C857" s="31"/>
      <c r="D857" s="32"/>
      <c r="E857" s="46"/>
      <c r="F857" s="43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23.25" customHeight="1">
      <c r="A858" s="29"/>
      <c r="B858" s="19"/>
      <c r="C858" s="31"/>
      <c r="D858" s="32"/>
      <c r="E858" s="46"/>
      <c r="F858" s="43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23.25" customHeight="1">
      <c r="A859" s="29"/>
      <c r="B859" s="19"/>
      <c r="C859" s="31"/>
      <c r="D859" s="32"/>
      <c r="E859" s="46"/>
      <c r="F859" s="43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23.25" customHeight="1">
      <c r="A860" s="29"/>
      <c r="B860" s="19"/>
      <c r="C860" s="31"/>
      <c r="D860" s="32"/>
      <c r="E860" s="46"/>
      <c r="F860" s="43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23.25" customHeight="1">
      <c r="A861" s="29"/>
      <c r="B861" s="19"/>
      <c r="C861" s="31"/>
      <c r="D861" s="32"/>
      <c r="E861" s="46"/>
      <c r="F861" s="43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23.25" customHeight="1">
      <c r="A862" s="29"/>
      <c r="B862" s="19"/>
      <c r="C862" s="31"/>
      <c r="D862" s="32"/>
      <c r="E862" s="46"/>
      <c r="F862" s="43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23.25" customHeight="1">
      <c r="A863" s="29"/>
      <c r="B863" s="19"/>
      <c r="C863" s="31"/>
      <c r="D863" s="32"/>
      <c r="E863" s="46"/>
      <c r="F863" s="43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23.25" customHeight="1">
      <c r="A864" s="29"/>
      <c r="B864" s="19"/>
      <c r="C864" s="31"/>
      <c r="D864" s="32"/>
      <c r="E864" s="46"/>
      <c r="F864" s="43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23.25" customHeight="1">
      <c r="A865" s="29"/>
      <c r="B865" s="19"/>
      <c r="C865" s="31"/>
      <c r="D865" s="32"/>
      <c r="E865" s="46"/>
      <c r="F865" s="43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23.25" customHeight="1">
      <c r="A866" s="29"/>
      <c r="B866" s="19"/>
      <c r="C866" s="31"/>
      <c r="D866" s="32"/>
      <c r="E866" s="46"/>
      <c r="F866" s="43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23.25" customHeight="1">
      <c r="A867" s="29"/>
      <c r="B867" s="19"/>
      <c r="C867" s="31"/>
      <c r="D867" s="32"/>
      <c r="E867" s="46"/>
      <c r="F867" s="43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23.25" customHeight="1">
      <c r="A868" s="29"/>
      <c r="B868" s="19"/>
      <c r="C868" s="31"/>
      <c r="D868" s="32"/>
      <c r="E868" s="46"/>
      <c r="F868" s="43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23.25" customHeight="1">
      <c r="A869" s="29"/>
      <c r="B869" s="19"/>
      <c r="C869" s="31"/>
      <c r="D869" s="32"/>
      <c r="E869" s="46"/>
      <c r="F869" s="43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23.25" customHeight="1">
      <c r="A870" s="29"/>
      <c r="B870" s="19"/>
      <c r="C870" s="31"/>
      <c r="D870" s="32"/>
      <c r="E870" s="46"/>
      <c r="F870" s="43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23.25" customHeight="1">
      <c r="A871" s="29"/>
      <c r="B871" s="19"/>
      <c r="C871" s="31"/>
      <c r="D871" s="32"/>
      <c r="E871" s="46"/>
      <c r="F871" s="43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23.25" customHeight="1">
      <c r="A872" s="29"/>
      <c r="B872" s="19"/>
      <c r="C872" s="31"/>
      <c r="D872" s="32"/>
      <c r="E872" s="46"/>
      <c r="F872" s="43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23.25" customHeight="1">
      <c r="A873" s="29"/>
      <c r="B873" s="19"/>
      <c r="C873" s="31"/>
      <c r="D873" s="32"/>
      <c r="E873" s="46"/>
      <c r="F873" s="43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23.25" customHeight="1">
      <c r="A874" s="29"/>
      <c r="B874" s="19"/>
      <c r="C874" s="31"/>
      <c r="D874" s="32"/>
      <c r="E874" s="46"/>
      <c r="F874" s="43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23.25" customHeight="1">
      <c r="A875" s="29"/>
      <c r="B875" s="19"/>
      <c r="C875" s="31"/>
      <c r="D875" s="32"/>
      <c r="E875" s="46"/>
      <c r="F875" s="43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23.25" customHeight="1">
      <c r="A876" s="29"/>
      <c r="B876" s="19"/>
      <c r="C876" s="31"/>
      <c r="D876" s="32"/>
      <c r="E876" s="46"/>
      <c r="F876" s="43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23.25" customHeight="1">
      <c r="A877" s="29"/>
      <c r="B877" s="19"/>
      <c r="C877" s="31"/>
      <c r="D877" s="32"/>
      <c r="E877" s="46"/>
      <c r="F877" s="43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23.25" customHeight="1">
      <c r="A878" s="29"/>
      <c r="B878" s="19"/>
      <c r="C878" s="31"/>
      <c r="D878" s="32"/>
      <c r="E878" s="46"/>
      <c r="F878" s="43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23.25" customHeight="1">
      <c r="A879" s="29"/>
      <c r="B879" s="19"/>
      <c r="C879" s="31"/>
      <c r="D879" s="32"/>
      <c r="E879" s="46"/>
      <c r="F879" s="43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23.25" customHeight="1">
      <c r="A880" s="29"/>
      <c r="B880" s="19"/>
      <c r="C880" s="31"/>
      <c r="D880" s="32"/>
      <c r="E880" s="46"/>
      <c r="F880" s="43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23.25" customHeight="1">
      <c r="A881" s="29"/>
      <c r="B881" s="19"/>
      <c r="C881" s="31"/>
      <c r="D881" s="32"/>
      <c r="E881" s="46"/>
      <c r="F881" s="43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23.25" customHeight="1">
      <c r="A882" s="29"/>
      <c r="B882" s="19"/>
      <c r="C882" s="31"/>
      <c r="D882" s="32"/>
      <c r="E882" s="46"/>
      <c r="F882" s="43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23.25" customHeight="1">
      <c r="A883" s="29"/>
      <c r="B883" s="19"/>
      <c r="C883" s="31"/>
      <c r="D883" s="32"/>
      <c r="E883" s="46"/>
      <c r="F883" s="43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23.25" customHeight="1">
      <c r="A884" s="29"/>
      <c r="B884" s="19"/>
      <c r="C884" s="31"/>
      <c r="D884" s="32"/>
      <c r="E884" s="46"/>
      <c r="F884" s="43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23.25" customHeight="1">
      <c r="A885" s="29"/>
      <c r="B885" s="19"/>
      <c r="C885" s="31"/>
      <c r="D885" s="32"/>
      <c r="E885" s="46"/>
      <c r="F885" s="43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23.25" customHeight="1">
      <c r="A886" s="29"/>
      <c r="B886" s="19"/>
      <c r="C886" s="31"/>
      <c r="D886" s="32"/>
      <c r="E886" s="46"/>
      <c r="F886" s="43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23.25" customHeight="1">
      <c r="A887" s="29"/>
      <c r="B887" s="19"/>
      <c r="C887" s="31"/>
      <c r="D887" s="32"/>
      <c r="E887" s="46"/>
      <c r="F887" s="43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23.25" customHeight="1">
      <c r="A888" s="29"/>
      <c r="B888" s="19"/>
      <c r="C888" s="31"/>
      <c r="D888" s="32"/>
      <c r="E888" s="46"/>
      <c r="F888" s="43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23.25" customHeight="1">
      <c r="A889" s="29"/>
      <c r="B889" s="19"/>
      <c r="C889" s="31"/>
      <c r="D889" s="32"/>
      <c r="E889" s="46"/>
      <c r="F889" s="43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23.25" customHeight="1">
      <c r="A890" s="29"/>
      <c r="B890" s="19"/>
      <c r="C890" s="31"/>
      <c r="D890" s="32"/>
      <c r="E890" s="46"/>
      <c r="F890" s="43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23.25" customHeight="1">
      <c r="A891" s="29"/>
      <c r="B891" s="19"/>
      <c r="C891" s="31"/>
      <c r="D891" s="32"/>
      <c r="E891" s="46"/>
      <c r="F891" s="43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23.25" customHeight="1">
      <c r="A892" s="29"/>
      <c r="B892" s="19"/>
      <c r="C892" s="31"/>
      <c r="D892" s="32"/>
      <c r="E892" s="46"/>
      <c r="F892" s="43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23.25" customHeight="1">
      <c r="A893" s="29"/>
      <c r="B893" s="19"/>
      <c r="C893" s="31"/>
      <c r="D893" s="32"/>
      <c r="E893" s="46"/>
      <c r="F893" s="43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23.25" customHeight="1">
      <c r="A894" s="29"/>
      <c r="B894" s="19"/>
      <c r="C894" s="31"/>
      <c r="D894" s="32"/>
      <c r="E894" s="46"/>
      <c r="F894" s="43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23.25" customHeight="1">
      <c r="A895" s="29"/>
      <c r="B895" s="19"/>
      <c r="C895" s="31"/>
      <c r="D895" s="32"/>
      <c r="E895" s="46"/>
      <c r="F895" s="43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23.25" customHeight="1">
      <c r="A896" s="29"/>
      <c r="B896" s="19"/>
      <c r="C896" s="31"/>
      <c r="D896" s="32"/>
      <c r="E896" s="46"/>
      <c r="F896" s="43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23.25" customHeight="1">
      <c r="A897" s="29"/>
      <c r="B897" s="19"/>
      <c r="C897" s="31"/>
      <c r="D897" s="32"/>
      <c r="E897" s="46"/>
      <c r="F897" s="43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23.25" customHeight="1">
      <c r="A898" s="29"/>
      <c r="B898" s="19"/>
      <c r="C898" s="31"/>
      <c r="D898" s="32"/>
      <c r="E898" s="46"/>
      <c r="F898" s="43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23.25" customHeight="1">
      <c r="A899" s="29"/>
      <c r="B899" s="19"/>
      <c r="C899" s="31"/>
      <c r="D899" s="32"/>
      <c r="E899" s="46"/>
      <c r="F899" s="43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23.25" customHeight="1">
      <c r="A900" s="29"/>
      <c r="B900" s="19"/>
      <c r="C900" s="31"/>
      <c r="D900" s="32"/>
      <c r="E900" s="46"/>
      <c r="F900" s="43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23.25" customHeight="1">
      <c r="A901" s="29"/>
      <c r="B901" s="19"/>
      <c r="C901" s="31"/>
      <c r="D901" s="32"/>
      <c r="E901" s="46"/>
      <c r="F901" s="43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23.25" customHeight="1">
      <c r="A902" s="29"/>
      <c r="B902" s="19"/>
      <c r="C902" s="31"/>
      <c r="D902" s="32"/>
      <c r="E902" s="46"/>
      <c r="F902" s="43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23.25" customHeight="1">
      <c r="A903" s="29"/>
      <c r="B903" s="19"/>
      <c r="C903" s="31"/>
      <c r="D903" s="32"/>
      <c r="E903" s="46"/>
      <c r="F903" s="43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23.25" customHeight="1">
      <c r="A904" s="29"/>
      <c r="B904" s="19"/>
      <c r="C904" s="31"/>
      <c r="D904" s="32"/>
      <c r="E904" s="46"/>
      <c r="F904" s="43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23.25" customHeight="1">
      <c r="A905" s="29"/>
      <c r="B905" s="19"/>
      <c r="C905" s="31"/>
      <c r="D905" s="32"/>
      <c r="E905" s="46"/>
      <c r="F905" s="43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23.25" customHeight="1">
      <c r="A906" s="29"/>
      <c r="B906" s="19"/>
      <c r="C906" s="31"/>
      <c r="D906" s="32"/>
      <c r="E906" s="46"/>
      <c r="F906" s="43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23.25" customHeight="1">
      <c r="A907" s="29"/>
      <c r="B907" s="19"/>
      <c r="C907" s="31"/>
      <c r="D907" s="32"/>
      <c r="E907" s="46"/>
      <c r="F907" s="43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23.25" customHeight="1">
      <c r="A908" s="29"/>
      <c r="B908" s="19"/>
      <c r="C908" s="31"/>
      <c r="D908" s="32"/>
      <c r="E908" s="46"/>
      <c r="F908" s="43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23.25" customHeight="1">
      <c r="A909" s="29"/>
      <c r="B909" s="19"/>
      <c r="C909" s="31"/>
      <c r="D909" s="32"/>
      <c r="E909" s="46"/>
      <c r="F909" s="43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23.25" customHeight="1">
      <c r="A910" s="29"/>
      <c r="B910" s="19"/>
      <c r="C910" s="31"/>
      <c r="D910" s="32"/>
      <c r="E910" s="46"/>
      <c r="F910" s="43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23.25" customHeight="1">
      <c r="A911" s="29"/>
      <c r="B911" s="19"/>
      <c r="C911" s="31"/>
      <c r="D911" s="32"/>
      <c r="E911" s="46"/>
      <c r="F911" s="43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23.25" customHeight="1">
      <c r="A912" s="29"/>
      <c r="B912" s="19"/>
      <c r="C912" s="31"/>
      <c r="D912" s="32"/>
      <c r="E912" s="46"/>
      <c r="F912" s="43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23.25" customHeight="1">
      <c r="A913" s="29"/>
      <c r="B913" s="19"/>
      <c r="C913" s="31"/>
      <c r="D913" s="32"/>
      <c r="E913" s="46"/>
      <c r="F913" s="43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23.25" customHeight="1">
      <c r="A914" s="29"/>
      <c r="B914" s="19"/>
      <c r="C914" s="31"/>
      <c r="D914" s="32"/>
      <c r="E914" s="46"/>
      <c r="F914" s="43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23.25" customHeight="1">
      <c r="A915" s="29"/>
      <c r="B915" s="19"/>
      <c r="C915" s="31"/>
      <c r="D915" s="32"/>
      <c r="E915" s="46"/>
      <c r="F915" s="43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23.25" customHeight="1">
      <c r="A916" s="29"/>
      <c r="B916" s="19"/>
      <c r="C916" s="31"/>
      <c r="D916" s="32"/>
      <c r="E916" s="46"/>
      <c r="F916" s="43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23.25" customHeight="1">
      <c r="A917" s="29"/>
      <c r="B917" s="19"/>
      <c r="C917" s="31"/>
      <c r="D917" s="32"/>
      <c r="E917" s="46"/>
      <c r="F917" s="43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23.25" customHeight="1">
      <c r="A918" s="29"/>
      <c r="B918" s="19"/>
      <c r="C918" s="31"/>
      <c r="D918" s="32"/>
      <c r="E918" s="46"/>
      <c r="F918" s="43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23.25" customHeight="1">
      <c r="A919" s="29"/>
      <c r="B919" s="19"/>
      <c r="C919" s="31"/>
      <c r="D919" s="32"/>
      <c r="E919" s="46"/>
      <c r="F919" s="43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23.25" customHeight="1">
      <c r="A920" s="29"/>
      <c r="B920" s="19"/>
      <c r="C920" s="31"/>
      <c r="D920" s="32"/>
      <c r="E920" s="46"/>
      <c r="F920" s="43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23.25" customHeight="1">
      <c r="A921" s="29"/>
      <c r="B921" s="19"/>
      <c r="C921" s="31"/>
      <c r="D921" s="32"/>
      <c r="E921" s="46"/>
      <c r="F921" s="43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23.25" customHeight="1">
      <c r="A922" s="29"/>
      <c r="B922" s="19"/>
      <c r="C922" s="31"/>
      <c r="D922" s="32"/>
      <c r="E922" s="46"/>
      <c r="F922" s="43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23.25" customHeight="1">
      <c r="A923" s="29"/>
      <c r="B923" s="19"/>
      <c r="C923" s="31"/>
      <c r="D923" s="32"/>
      <c r="E923" s="46"/>
      <c r="F923" s="43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23.25" customHeight="1">
      <c r="A924" s="29"/>
      <c r="B924" s="19"/>
      <c r="C924" s="31"/>
      <c r="D924" s="32"/>
      <c r="E924" s="46"/>
      <c r="F924" s="43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23.25" customHeight="1">
      <c r="A925" s="29"/>
      <c r="B925" s="19"/>
      <c r="C925" s="31"/>
      <c r="D925" s="32"/>
      <c r="E925" s="46"/>
      <c r="F925" s="43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23.25" customHeight="1">
      <c r="A926" s="29"/>
      <c r="B926" s="19"/>
      <c r="C926" s="31"/>
      <c r="D926" s="32"/>
      <c r="E926" s="46"/>
      <c r="F926" s="43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23.25" customHeight="1">
      <c r="A927" s="29"/>
      <c r="B927" s="19"/>
      <c r="C927" s="31"/>
      <c r="D927" s="32"/>
      <c r="E927" s="46"/>
      <c r="F927" s="43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23.25" customHeight="1">
      <c r="A928" s="29"/>
      <c r="B928" s="19"/>
      <c r="C928" s="31"/>
      <c r="D928" s="32"/>
      <c r="E928" s="46"/>
      <c r="F928" s="43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23.25" customHeight="1">
      <c r="A929" s="29"/>
      <c r="B929" s="19"/>
      <c r="C929" s="31"/>
      <c r="D929" s="32"/>
      <c r="E929" s="46"/>
      <c r="F929" s="43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23.25" customHeight="1">
      <c r="A930" s="29"/>
      <c r="B930" s="19"/>
      <c r="C930" s="31"/>
      <c r="D930" s="32"/>
      <c r="E930" s="46"/>
      <c r="F930" s="43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23.25" customHeight="1">
      <c r="A931" s="29"/>
      <c r="B931" s="19"/>
      <c r="C931" s="31"/>
      <c r="D931" s="32"/>
      <c r="E931" s="46"/>
      <c r="F931" s="43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23.25" customHeight="1">
      <c r="A932" s="29"/>
      <c r="B932" s="19"/>
      <c r="C932" s="31"/>
      <c r="D932" s="32"/>
      <c r="E932" s="46"/>
      <c r="F932" s="43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23.25" customHeight="1">
      <c r="A933" s="29"/>
      <c r="B933" s="19"/>
      <c r="C933" s="31"/>
      <c r="D933" s="32"/>
      <c r="E933" s="46"/>
      <c r="F933" s="43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23.25" customHeight="1">
      <c r="A934" s="29"/>
      <c r="B934" s="19"/>
      <c r="C934" s="31"/>
      <c r="D934" s="32"/>
      <c r="E934" s="46"/>
      <c r="F934" s="43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23.25" customHeight="1">
      <c r="A935" s="29"/>
      <c r="B935" s="19"/>
      <c r="C935" s="31"/>
      <c r="D935" s="32"/>
      <c r="E935" s="46"/>
      <c r="F935" s="43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23.25" customHeight="1">
      <c r="A936" s="29"/>
      <c r="B936" s="19"/>
      <c r="C936" s="31"/>
      <c r="D936" s="32"/>
      <c r="E936" s="46"/>
      <c r="F936" s="43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23.25" customHeight="1">
      <c r="A937" s="29"/>
      <c r="B937" s="19"/>
      <c r="C937" s="31"/>
      <c r="D937" s="32"/>
      <c r="E937" s="46"/>
      <c r="F937" s="43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23.25" customHeight="1">
      <c r="A938" s="29"/>
      <c r="B938" s="19"/>
      <c r="C938" s="31"/>
      <c r="D938" s="32"/>
      <c r="E938" s="46"/>
      <c r="F938" s="43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23.25" customHeight="1">
      <c r="A939" s="29"/>
      <c r="B939" s="19"/>
      <c r="C939" s="31"/>
      <c r="D939" s="32"/>
      <c r="E939" s="46"/>
      <c r="F939" s="43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23.25" customHeight="1">
      <c r="A940" s="29"/>
      <c r="B940" s="19"/>
      <c r="C940" s="31"/>
      <c r="D940" s="32"/>
      <c r="E940" s="46"/>
      <c r="F940" s="43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23.25" customHeight="1">
      <c r="A941" s="29"/>
      <c r="B941" s="19"/>
      <c r="C941" s="31"/>
      <c r="D941" s="32"/>
      <c r="E941" s="46"/>
      <c r="F941" s="43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23.25" customHeight="1">
      <c r="A942" s="29"/>
      <c r="B942" s="19"/>
      <c r="C942" s="31"/>
      <c r="D942" s="32"/>
      <c r="E942" s="46"/>
      <c r="F942" s="43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23.25" customHeight="1">
      <c r="A943" s="29"/>
      <c r="B943" s="19"/>
      <c r="C943" s="31"/>
      <c r="D943" s="32"/>
      <c r="E943" s="46"/>
      <c r="F943" s="43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23.25" customHeight="1">
      <c r="A944" s="29"/>
      <c r="B944" s="19"/>
      <c r="C944" s="31"/>
      <c r="D944" s="32"/>
      <c r="E944" s="46"/>
      <c r="F944" s="43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23.25" customHeight="1">
      <c r="A945" s="29"/>
      <c r="B945" s="19"/>
      <c r="C945" s="31"/>
      <c r="D945" s="32"/>
      <c r="E945" s="46"/>
      <c r="F945" s="43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23.25" customHeight="1">
      <c r="A946" s="29"/>
      <c r="B946" s="19"/>
      <c r="C946" s="31"/>
      <c r="D946" s="32"/>
      <c r="E946" s="46"/>
      <c r="F946" s="43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23.25" customHeight="1">
      <c r="A947" s="29"/>
      <c r="B947" s="19"/>
      <c r="C947" s="31"/>
      <c r="D947" s="32"/>
      <c r="E947" s="46"/>
      <c r="F947" s="43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23.25" customHeight="1">
      <c r="A948" s="29"/>
      <c r="B948" s="19"/>
      <c r="C948" s="31"/>
      <c r="D948" s="32"/>
      <c r="E948" s="46"/>
      <c r="F948" s="43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23.25" customHeight="1">
      <c r="A949" s="29"/>
      <c r="B949" s="19"/>
      <c r="C949" s="31"/>
      <c r="D949" s="32"/>
      <c r="E949" s="46"/>
      <c r="F949" s="43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23.25" customHeight="1">
      <c r="A950" s="29"/>
      <c r="B950" s="19"/>
      <c r="C950" s="31"/>
      <c r="D950" s="32"/>
      <c r="E950" s="46"/>
      <c r="F950" s="43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23.25" customHeight="1">
      <c r="A951" s="29"/>
      <c r="B951" s="19"/>
      <c r="C951" s="31"/>
      <c r="D951" s="32"/>
      <c r="E951" s="46"/>
      <c r="F951" s="43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23.25" customHeight="1">
      <c r="A952" s="29"/>
      <c r="B952" s="19"/>
      <c r="C952" s="31"/>
      <c r="D952" s="32"/>
      <c r="E952" s="46"/>
      <c r="F952" s="43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23.25" customHeight="1">
      <c r="A953" s="29"/>
      <c r="B953" s="19"/>
      <c r="C953" s="31"/>
      <c r="D953" s="32"/>
      <c r="E953" s="46"/>
      <c r="F953" s="43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23.25" customHeight="1">
      <c r="A954" s="29"/>
      <c r="B954" s="19"/>
      <c r="C954" s="31"/>
      <c r="D954" s="32"/>
      <c r="E954" s="46"/>
      <c r="F954" s="43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23.25" customHeight="1">
      <c r="A955" s="29"/>
      <c r="B955" s="19"/>
      <c r="C955" s="31"/>
      <c r="D955" s="32"/>
      <c r="E955" s="46"/>
      <c r="F955" s="43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23.25" customHeight="1">
      <c r="A956" s="29"/>
      <c r="B956" s="19"/>
      <c r="C956" s="31"/>
      <c r="D956" s="32"/>
      <c r="E956" s="46"/>
      <c r="F956" s="43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23.25" customHeight="1">
      <c r="A957" s="29"/>
      <c r="B957" s="19"/>
      <c r="C957" s="31"/>
      <c r="D957" s="32"/>
      <c r="E957" s="46"/>
      <c r="F957" s="43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23.25" customHeight="1">
      <c r="A958" s="29"/>
      <c r="B958" s="19"/>
      <c r="C958" s="31"/>
      <c r="D958" s="32"/>
      <c r="E958" s="46"/>
      <c r="F958" s="43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23.25" customHeight="1">
      <c r="A959" s="29"/>
      <c r="B959" s="19"/>
      <c r="C959" s="31"/>
      <c r="D959" s="32"/>
      <c r="E959" s="46"/>
      <c r="F959" s="43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23.25" customHeight="1">
      <c r="A960" s="29"/>
      <c r="B960" s="19"/>
      <c r="C960" s="31"/>
      <c r="D960" s="32"/>
      <c r="E960" s="46"/>
      <c r="F960" s="43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23.25" customHeight="1">
      <c r="A961" s="29"/>
      <c r="B961" s="19"/>
      <c r="C961" s="31"/>
      <c r="D961" s="32"/>
      <c r="E961" s="46"/>
      <c r="F961" s="43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23.25" customHeight="1">
      <c r="A962" s="29"/>
      <c r="B962" s="19"/>
      <c r="C962" s="31"/>
      <c r="D962" s="32"/>
      <c r="E962" s="46"/>
      <c r="F962" s="43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23.25" customHeight="1">
      <c r="A963" s="29"/>
      <c r="B963" s="19"/>
      <c r="C963" s="31"/>
      <c r="D963" s="32"/>
      <c r="E963" s="46"/>
      <c r="F963" s="43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23.25" customHeight="1">
      <c r="A964" s="29"/>
      <c r="B964" s="19"/>
      <c r="C964" s="31"/>
      <c r="D964" s="32"/>
      <c r="E964" s="46"/>
      <c r="F964" s="43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23.25" customHeight="1">
      <c r="A965" s="29"/>
      <c r="B965" s="19"/>
      <c r="C965" s="31"/>
      <c r="D965" s="32"/>
      <c r="E965" s="46"/>
      <c r="F965" s="43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23.25" customHeight="1">
      <c r="A966" s="29"/>
      <c r="B966" s="19"/>
      <c r="C966" s="31"/>
      <c r="D966" s="32"/>
      <c r="E966" s="46"/>
      <c r="F966" s="43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23.25" customHeight="1">
      <c r="A967" s="29"/>
      <c r="B967" s="19"/>
      <c r="C967" s="31"/>
      <c r="D967" s="32"/>
      <c r="E967" s="46"/>
      <c r="F967" s="43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23.25" customHeight="1">
      <c r="A968" s="29"/>
      <c r="B968" s="19"/>
      <c r="C968" s="31"/>
      <c r="D968" s="32"/>
      <c r="E968" s="46"/>
      <c r="F968" s="43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23.25" customHeight="1">
      <c r="A969" s="29"/>
      <c r="B969" s="19"/>
      <c r="C969" s="31"/>
      <c r="D969" s="32"/>
      <c r="E969" s="46"/>
      <c r="F969" s="43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23.25" customHeight="1">
      <c r="A970" s="29"/>
      <c r="B970" s="19"/>
      <c r="C970" s="31"/>
      <c r="D970" s="32"/>
      <c r="E970" s="46"/>
      <c r="F970" s="43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23.25" customHeight="1">
      <c r="A971" s="29"/>
      <c r="B971" s="19"/>
      <c r="C971" s="31"/>
      <c r="D971" s="32"/>
      <c r="E971" s="46"/>
      <c r="F971" s="43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23.25" customHeight="1">
      <c r="A972" s="29"/>
      <c r="B972" s="19"/>
      <c r="C972" s="31"/>
      <c r="D972" s="32"/>
      <c r="E972" s="46"/>
      <c r="F972" s="43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23.25" customHeight="1">
      <c r="A973" s="29"/>
      <c r="B973" s="19"/>
      <c r="C973" s="31"/>
      <c r="D973" s="32"/>
      <c r="E973" s="46"/>
      <c r="F973" s="43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23.25" customHeight="1">
      <c r="A974" s="29"/>
      <c r="B974" s="19"/>
      <c r="C974" s="31"/>
      <c r="D974" s="32"/>
      <c r="E974" s="46"/>
      <c r="F974" s="43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23.25" customHeight="1">
      <c r="A975" s="29"/>
      <c r="B975" s="19"/>
      <c r="C975" s="31"/>
      <c r="D975" s="32"/>
      <c r="E975" s="46"/>
      <c r="F975" s="43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23.25" customHeight="1">
      <c r="A976" s="29"/>
      <c r="B976" s="19"/>
      <c r="C976" s="31"/>
      <c r="D976" s="32"/>
      <c r="E976" s="46"/>
      <c r="F976" s="43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23.25" customHeight="1">
      <c r="A977" s="29"/>
      <c r="B977" s="19"/>
      <c r="C977" s="31"/>
      <c r="D977" s="32"/>
      <c r="E977" s="46"/>
      <c r="F977" s="43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23.25" customHeight="1">
      <c r="A978" s="29"/>
      <c r="B978" s="19"/>
      <c r="C978" s="31"/>
      <c r="D978" s="32"/>
      <c r="E978" s="46"/>
      <c r="F978" s="43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23.25" customHeight="1">
      <c r="A979" s="29"/>
      <c r="B979" s="19"/>
      <c r="C979" s="31"/>
      <c r="D979" s="32"/>
      <c r="E979" s="46"/>
      <c r="F979" s="43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23.25" customHeight="1">
      <c r="A980" s="29"/>
      <c r="B980" s="19"/>
      <c r="C980" s="31"/>
      <c r="D980" s="32"/>
      <c r="E980" s="46"/>
      <c r="F980" s="43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23.25" customHeight="1">
      <c r="A981" s="29"/>
      <c r="B981" s="19"/>
      <c r="C981" s="31"/>
      <c r="D981" s="32"/>
      <c r="E981" s="46"/>
      <c r="F981" s="43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23.25" customHeight="1">
      <c r="A982" s="29"/>
      <c r="B982" s="19"/>
      <c r="C982" s="31"/>
      <c r="D982" s="32"/>
      <c r="E982" s="46"/>
      <c r="F982" s="43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23.25" customHeight="1">
      <c r="A983" s="29"/>
      <c r="B983" s="19"/>
      <c r="C983" s="31"/>
      <c r="D983" s="32"/>
      <c r="E983" s="46"/>
      <c r="F983" s="43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23.25" customHeight="1">
      <c r="A984" s="29"/>
      <c r="B984" s="19"/>
      <c r="C984" s="31"/>
      <c r="D984" s="32"/>
      <c r="E984" s="46"/>
      <c r="F984" s="43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23.25" customHeight="1">
      <c r="A985" s="29"/>
      <c r="B985" s="19"/>
      <c r="C985" s="31"/>
      <c r="D985" s="32"/>
      <c r="E985" s="46"/>
      <c r="F985" s="43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23.25" customHeight="1">
      <c r="A986" s="29"/>
      <c r="B986" s="19"/>
      <c r="C986" s="31"/>
      <c r="D986" s="32"/>
      <c r="E986" s="46"/>
      <c r="F986" s="43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23.25" customHeight="1">
      <c r="A987" s="29"/>
      <c r="B987" s="19"/>
      <c r="C987" s="31"/>
      <c r="D987" s="32"/>
      <c r="E987" s="46"/>
      <c r="F987" s="43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23.25" customHeight="1">
      <c r="A988" s="29"/>
      <c r="B988" s="19"/>
      <c r="C988" s="31"/>
      <c r="D988" s="32"/>
      <c r="E988" s="46"/>
      <c r="F988" s="43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23.25" customHeight="1">
      <c r="A989" s="29"/>
      <c r="B989" s="19"/>
      <c r="C989" s="31"/>
      <c r="D989" s="32"/>
      <c r="E989" s="46"/>
      <c r="F989" s="43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23.25" customHeight="1">
      <c r="A990" s="29"/>
      <c r="B990" s="19"/>
      <c r="C990" s="31"/>
      <c r="D990" s="32"/>
      <c r="E990" s="46"/>
      <c r="F990" s="43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23.25" customHeight="1">
      <c r="A991" s="29"/>
      <c r="B991" s="19"/>
      <c r="C991" s="31"/>
      <c r="D991" s="32"/>
      <c r="E991" s="46"/>
      <c r="F991" s="43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23.25" customHeight="1">
      <c r="A992" s="29"/>
      <c r="B992" s="19"/>
      <c r="C992" s="31"/>
      <c r="D992" s="32"/>
      <c r="E992" s="46"/>
      <c r="F992" s="43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23.25" customHeight="1">
      <c r="A993" s="29"/>
      <c r="B993" s="19"/>
      <c r="C993" s="31"/>
      <c r="D993" s="32"/>
      <c r="E993" s="46"/>
      <c r="F993" s="43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23.25" customHeight="1">
      <c r="A994" s="29"/>
      <c r="B994" s="19"/>
      <c r="C994" s="31"/>
      <c r="D994" s="32"/>
      <c r="E994" s="46"/>
      <c r="F994" s="43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23.25" customHeight="1">
      <c r="A995" s="29"/>
      <c r="B995" s="19"/>
      <c r="C995" s="31"/>
      <c r="D995" s="32"/>
      <c r="E995" s="46"/>
      <c r="F995" s="43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23.25" customHeight="1">
      <c r="A996" s="29"/>
      <c r="B996" s="19"/>
      <c r="C996" s="31"/>
      <c r="D996" s="32"/>
      <c r="E996" s="46"/>
      <c r="F996" s="43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23.25" customHeight="1">
      <c r="A997" s="29"/>
      <c r="B997" s="19"/>
      <c r="C997" s="31"/>
      <c r="D997" s="32"/>
      <c r="E997" s="46"/>
      <c r="F997" s="43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23.25" customHeight="1">
      <c r="A998" s="29"/>
      <c r="B998" s="19"/>
      <c r="C998" s="31"/>
      <c r="D998" s="32"/>
      <c r="E998" s="46"/>
      <c r="F998" s="43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23.25" customHeight="1">
      <c r="A999" s="29"/>
      <c r="B999" s="19"/>
      <c r="C999" s="31"/>
      <c r="D999" s="32"/>
      <c r="E999" s="46"/>
      <c r="F999" s="43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23.25" customHeight="1">
      <c r="A1000" s="29"/>
      <c r="B1000" s="19"/>
      <c r="C1000" s="31"/>
      <c r="D1000" s="32"/>
      <c r="E1000" s="46"/>
      <c r="F1000" s="43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 ht="23.25" customHeight="1">
      <c r="A1001" s="29"/>
      <c r="B1001" s="19"/>
      <c r="C1001" s="31"/>
      <c r="D1001" s="32"/>
      <c r="E1001" s="46"/>
      <c r="F1001" s="43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1:26" ht="23.25" customHeight="1">
      <c r="A1002" s="29"/>
      <c r="B1002" s="19"/>
      <c r="C1002" s="31"/>
      <c r="D1002" s="32"/>
      <c r="E1002" s="46"/>
      <c r="F1002" s="43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spans="1:26" ht="23.25" customHeight="1">
      <c r="A1003" s="29"/>
      <c r="B1003" s="19"/>
      <c r="C1003" s="31"/>
      <c r="D1003" s="32"/>
      <c r="E1003" s="46"/>
      <c r="F1003" s="43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 spans="1:26" ht="23.25" customHeight="1">
      <c r="A1004" s="29"/>
      <c r="B1004" s="19"/>
      <c r="C1004" s="31"/>
      <c r="D1004" s="32"/>
      <c r="E1004" s="46"/>
      <c r="F1004" s="43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 spans="1:26" ht="23.25" customHeight="1">
      <c r="A1005" s="29"/>
      <c r="B1005" s="19"/>
      <c r="C1005" s="31"/>
      <c r="D1005" s="32"/>
      <c r="E1005" s="46"/>
      <c r="F1005" s="43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 spans="1:26" ht="23.25" customHeight="1">
      <c r="A1006" s="29"/>
      <c r="B1006" s="19"/>
      <c r="C1006" s="31"/>
      <c r="D1006" s="32"/>
      <c r="E1006" s="46"/>
      <c r="F1006" s="43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 spans="1:26" ht="23.25" customHeight="1">
      <c r="A1007" s="29"/>
      <c r="B1007" s="19"/>
      <c r="C1007" s="31"/>
      <c r="D1007" s="32"/>
      <c r="E1007" s="46"/>
      <c r="F1007" s="43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 spans="1:26" ht="23.25" customHeight="1">
      <c r="A1008" s="29"/>
      <c r="B1008" s="19"/>
      <c r="C1008" s="31"/>
      <c r="D1008" s="32"/>
      <c r="E1008" s="46"/>
      <c r="F1008" s="43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 spans="1:26" ht="23.25" customHeight="1">
      <c r="A1009" s="29"/>
      <c r="B1009" s="19"/>
      <c r="C1009" s="31"/>
      <c r="D1009" s="32"/>
      <c r="E1009" s="46"/>
      <c r="F1009" s="43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 spans="1:26" ht="23.25" customHeight="1">
      <c r="A1010" s="29"/>
      <c r="B1010" s="19"/>
      <c r="C1010" s="31"/>
      <c r="D1010" s="32"/>
      <c r="E1010" s="46"/>
      <c r="F1010" s="43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 spans="1:26" ht="23.25" customHeight="1">
      <c r="A1011" s="29"/>
      <c r="B1011" s="19"/>
      <c r="C1011" s="31"/>
      <c r="D1011" s="32"/>
      <c r="E1011" s="46"/>
      <c r="F1011" s="43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 spans="1:26" ht="23.25" customHeight="1">
      <c r="A1012" s="29"/>
      <c r="B1012" s="19"/>
      <c r="C1012" s="31"/>
      <c r="D1012" s="32"/>
      <c r="E1012" s="46"/>
      <c r="F1012" s="43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 spans="1:26" ht="23.25" customHeight="1">
      <c r="A1013" s="29"/>
      <c r="B1013" s="19"/>
      <c r="C1013" s="31"/>
      <c r="D1013" s="32"/>
      <c r="E1013" s="46"/>
      <c r="F1013" s="43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 spans="1:26" ht="23.25" customHeight="1">
      <c r="A1014" s="29"/>
      <c r="B1014" s="19"/>
      <c r="C1014" s="31"/>
      <c r="D1014" s="32"/>
      <c r="E1014" s="46"/>
      <c r="F1014" s="43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 spans="1:26" ht="23.25" customHeight="1">
      <c r="A1015" s="29"/>
      <c r="B1015" s="19"/>
      <c r="C1015" s="31"/>
      <c r="D1015" s="32"/>
      <c r="E1015" s="46"/>
      <c r="F1015" s="43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 spans="1:26" ht="23.25" customHeight="1">
      <c r="A1016" s="29"/>
      <c r="B1016" s="19"/>
      <c r="C1016" s="31"/>
      <c r="D1016" s="32"/>
      <c r="E1016" s="46"/>
      <c r="F1016" s="43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</row>
    <row r="1017" spans="1:26" ht="23.25" customHeight="1">
      <c r="A1017" s="29"/>
      <c r="B1017" s="19"/>
      <c r="C1017" s="31"/>
      <c r="D1017" s="32"/>
      <c r="E1017" s="46"/>
      <c r="F1017" s="43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</row>
    <row r="1018" spans="1:26" ht="23.25" customHeight="1">
      <c r="A1018" s="29"/>
      <c r="B1018" s="19"/>
      <c r="C1018" s="31"/>
      <c r="D1018" s="32"/>
      <c r="E1018" s="46"/>
      <c r="F1018" s="43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</row>
    <row r="1019" spans="1:26" ht="23.25" customHeight="1">
      <c r="A1019" s="29"/>
      <c r="B1019" s="19"/>
      <c r="C1019" s="31"/>
      <c r="D1019" s="32"/>
      <c r="E1019" s="46"/>
      <c r="F1019" s="43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</row>
    <row r="1020" spans="1:26" ht="23.25" customHeight="1">
      <c r="A1020" s="29"/>
      <c r="B1020" s="19"/>
      <c r="C1020" s="31"/>
      <c r="D1020" s="32"/>
      <c r="E1020" s="46"/>
      <c r="F1020" s="43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</row>
    <row r="1021" spans="1:26" ht="23.25" customHeight="1">
      <c r="A1021" s="29"/>
      <c r="B1021" s="19"/>
      <c r="C1021" s="31"/>
      <c r="D1021" s="32"/>
      <c r="E1021" s="46"/>
      <c r="F1021" s="43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</row>
    <row r="1022" spans="1:26" ht="23.25" customHeight="1">
      <c r="A1022" s="29"/>
      <c r="B1022" s="19"/>
      <c r="C1022" s="31"/>
      <c r="D1022" s="32"/>
      <c r="E1022" s="46"/>
      <c r="F1022" s="43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</row>
    <row r="1023" spans="1:26" ht="23.25" customHeight="1">
      <c r="A1023" s="29"/>
      <c r="B1023" s="19"/>
      <c r="C1023" s="31"/>
      <c r="D1023" s="32"/>
      <c r="E1023" s="46"/>
      <c r="F1023" s="43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</row>
    <row r="1024" spans="1:26" ht="23.25" customHeight="1">
      <c r="A1024" s="29"/>
      <c r="B1024" s="19"/>
      <c r="C1024" s="31"/>
      <c r="D1024" s="32"/>
      <c r="E1024" s="46"/>
      <c r="F1024" s="43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</row>
    <row r="1025" spans="1:26" ht="23.25" customHeight="1">
      <c r="A1025" s="29"/>
      <c r="B1025" s="19"/>
      <c r="C1025" s="31"/>
      <c r="D1025" s="32"/>
      <c r="E1025" s="46"/>
      <c r="F1025" s="43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</row>
    <row r="1026" spans="1:26" ht="23.25" customHeight="1">
      <c r="A1026" s="29"/>
      <c r="B1026" s="19"/>
      <c r="C1026" s="31"/>
      <c r="D1026" s="32"/>
      <c r="E1026" s="46"/>
      <c r="F1026" s="43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</row>
    <row r="1027" spans="1:26" ht="23.25" customHeight="1">
      <c r="A1027" s="29"/>
      <c r="B1027" s="19"/>
      <c r="C1027" s="31"/>
      <c r="D1027" s="32"/>
      <c r="E1027" s="46"/>
      <c r="F1027" s="43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</row>
    <row r="1028" spans="1:26" ht="23.25" customHeight="1">
      <c r="A1028" s="29"/>
      <c r="B1028" s="19"/>
      <c r="C1028" s="31"/>
      <c r="D1028" s="32"/>
      <c r="E1028" s="46"/>
      <c r="F1028" s="43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</row>
    <row r="1029" spans="1:26" ht="23.25" customHeight="1">
      <c r="A1029" s="29"/>
      <c r="B1029" s="19"/>
      <c r="C1029" s="31"/>
      <c r="D1029" s="32"/>
      <c r="E1029" s="46"/>
      <c r="F1029" s="43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</row>
    <row r="1030" spans="1:26" ht="23.25" customHeight="1">
      <c r="A1030" s="29"/>
      <c r="B1030" s="19"/>
      <c r="C1030" s="31"/>
      <c r="D1030" s="32"/>
      <c r="E1030" s="46"/>
      <c r="F1030" s="43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</row>
    <row r="1031" spans="1:26" ht="23.25" customHeight="1">
      <c r="A1031" s="29"/>
      <c r="B1031" s="19"/>
      <c r="C1031" s="31"/>
      <c r="D1031" s="32"/>
      <c r="E1031" s="46"/>
      <c r="F1031" s="43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</row>
    <row r="1032" spans="1:26" ht="23.25" customHeight="1">
      <c r="A1032" s="29"/>
      <c r="B1032" s="19"/>
      <c r="C1032" s="31"/>
      <c r="D1032" s="32"/>
      <c r="E1032" s="46"/>
      <c r="F1032" s="43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</row>
    <row r="1033" spans="1:26" ht="23.25" customHeight="1">
      <c r="A1033" s="29"/>
      <c r="B1033" s="19"/>
      <c r="C1033" s="31"/>
      <c r="D1033" s="32"/>
      <c r="E1033" s="46"/>
      <c r="F1033" s="43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</row>
    <row r="1034" spans="1:26" ht="23.25" customHeight="1">
      <c r="A1034" s="29"/>
      <c r="B1034" s="19"/>
      <c r="C1034" s="31"/>
      <c r="D1034" s="32"/>
      <c r="E1034" s="46"/>
      <c r="F1034" s="43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</row>
    <row r="1035" spans="1:26" ht="23.25" customHeight="1">
      <c r="A1035" s="29"/>
      <c r="B1035" s="19"/>
      <c r="C1035" s="31"/>
      <c r="D1035" s="32"/>
      <c r="E1035" s="46"/>
      <c r="F1035" s="43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</row>
    <row r="1036" spans="1:26" ht="23.25" customHeight="1">
      <c r="A1036" s="29"/>
      <c r="B1036" s="19"/>
      <c r="C1036" s="31"/>
      <c r="D1036" s="32"/>
      <c r="E1036" s="46"/>
      <c r="F1036" s="43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</row>
    <row r="1037" spans="1:26" ht="23.25" customHeight="1">
      <c r="A1037" s="29"/>
      <c r="B1037" s="19"/>
      <c r="C1037" s="31"/>
      <c r="D1037" s="32"/>
      <c r="E1037" s="46"/>
      <c r="F1037" s="43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</row>
    <row r="1038" spans="1:26" ht="23.25" customHeight="1">
      <c r="A1038" s="29"/>
      <c r="B1038" s="19"/>
      <c r="C1038" s="31"/>
      <c r="D1038" s="32"/>
      <c r="E1038" s="46"/>
      <c r="F1038" s="43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</row>
    <row r="1039" spans="1:26" ht="23.25" customHeight="1">
      <c r="A1039" s="29"/>
      <c r="B1039" s="19"/>
      <c r="C1039" s="31"/>
      <c r="D1039" s="32"/>
      <c r="E1039" s="46"/>
      <c r="F1039" s="43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</row>
    <row r="1040" spans="1:26" ht="23.25" customHeight="1">
      <c r="A1040" s="29"/>
      <c r="B1040" s="19"/>
      <c r="C1040" s="31"/>
      <c r="D1040" s="32"/>
      <c r="E1040" s="46"/>
      <c r="F1040" s="43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</row>
    <row r="1041" spans="1:26" ht="23.25" customHeight="1">
      <c r="A1041" s="29"/>
      <c r="B1041" s="19"/>
      <c r="C1041" s="31"/>
      <c r="D1041" s="32"/>
      <c r="E1041" s="46"/>
      <c r="F1041" s="43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</row>
    <row r="1042" spans="1:26" ht="23.25" customHeight="1">
      <c r="A1042" s="29"/>
      <c r="B1042" s="19"/>
      <c r="C1042" s="31"/>
      <c r="D1042" s="32"/>
      <c r="E1042" s="46"/>
      <c r="F1042" s="43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</row>
    <row r="1043" spans="1:26" ht="23.25" customHeight="1">
      <c r="A1043" s="29"/>
      <c r="B1043" s="19"/>
      <c r="C1043" s="31"/>
      <c r="D1043" s="32"/>
      <c r="E1043" s="46"/>
      <c r="F1043" s="43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</row>
    <row r="1044" spans="1:26" ht="23.25" customHeight="1">
      <c r="A1044" s="29"/>
      <c r="B1044" s="19"/>
      <c r="C1044" s="31"/>
      <c r="D1044" s="32"/>
      <c r="E1044" s="46"/>
      <c r="F1044" s="43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</row>
    <row r="1045" spans="1:26" ht="23.25" customHeight="1">
      <c r="A1045" s="29"/>
      <c r="B1045" s="19"/>
      <c r="C1045" s="31"/>
      <c r="D1045" s="32"/>
      <c r="E1045" s="46"/>
      <c r="F1045" s="43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</row>
    <row r="1046" spans="1:26" ht="23.25" customHeight="1">
      <c r="A1046" s="29"/>
      <c r="B1046" s="19"/>
      <c r="C1046" s="31"/>
      <c r="D1046" s="32"/>
      <c r="E1046" s="46"/>
      <c r="F1046" s="43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</row>
    <row r="1047" spans="1:26" ht="23.25" customHeight="1">
      <c r="A1047" s="29"/>
      <c r="B1047" s="19"/>
      <c r="C1047" s="31"/>
      <c r="D1047" s="32"/>
      <c r="E1047" s="46"/>
      <c r="F1047" s="43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</row>
    <row r="1048" spans="1:26" ht="23.25" customHeight="1">
      <c r="A1048" s="29"/>
      <c r="B1048" s="19"/>
      <c r="C1048" s="31"/>
      <c r="D1048" s="32"/>
      <c r="E1048" s="46"/>
      <c r="F1048" s="43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</row>
    <row r="1049" spans="1:26" ht="23.25" customHeight="1">
      <c r="A1049" s="29"/>
      <c r="B1049" s="19"/>
      <c r="C1049" s="31"/>
      <c r="D1049" s="32"/>
      <c r="E1049" s="46"/>
      <c r="F1049" s="43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</row>
    <row r="1050" spans="1:26" ht="23.25" customHeight="1">
      <c r="A1050" s="29"/>
      <c r="B1050" s="19"/>
      <c r="C1050" s="31"/>
      <c r="D1050" s="32"/>
      <c r="E1050" s="46"/>
      <c r="F1050" s="43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</row>
    <row r="1051" spans="1:26" ht="23.25" customHeight="1">
      <c r="A1051" s="29"/>
      <c r="B1051" s="19"/>
      <c r="C1051" s="31"/>
      <c r="D1051" s="32"/>
      <c r="E1051" s="46"/>
      <c r="F1051" s="43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</row>
    <row r="1052" spans="1:26" ht="23.25" customHeight="1">
      <c r="A1052" s="29"/>
      <c r="B1052" s="19"/>
      <c r="C1052" s="31"/>
      <c r="D1052" s="32"/>
      <c r="E1052" s="46"/>
      <c r="F1052" s="43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</row>
    <row r="1053" spans="1:26" ht="23.25" customHeight="1">
      <c r="A1053" s="29"/>
      <c r="B1053" s="19"/>
      <c r="C1053" s="31"/>
      <c r="D1053" s="32"/>
      <c r="E1053" s="46"/>
      <c r="F1053" s="43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</row>
    <row r="1054" spans="1:26" ht="23.25" customHeight="1">
      <c r="A1054" s="29"/>
      <c r="B1054" s="19"/>
      <c r="C1054" s="31"/>
      <c r="D1054" s="32"/>
      <c r="E1054" s="46"/>
      <c r="F1054" s="43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</row>
    <row r="1055" spans="1:26" ht="23.25" customHeight="1">
      <c r="A1055" s="29"/>
      <c r="B1055" s="19"/>
      <c r="C1055" s="31"/>
      <c r="D1055" s="32"/>
      <c r="E1055" s="46"/>
      <c r="F1055" s="43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</row>
    <row r="1056" spans="1:26" ht="23.25" customHeight="1">
      <c r="A1056" s="29"/>
      <c r="B1056" s="19"/>
      <c r="C1056" s="31"/>
      <c r="D1056" s="32"/>
      <c r="E1056" s="46"/>
      <c r="F1056" s="43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</row>
    <row r="1057" spans="1:26" ht="23.25" customHeight="1">
      <c r="A1057" s="29"/>
      <c r="B1057" s="19"/>
      <c r="C1057" s="31"/>
      <c r="D1057" s="32"/>
      <c r="E1057" s="46"/>
      <c r="F1057" s="43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</row>
    <row r="1058" spans="1:26" ht="23.25" customHeight="1">
      <c r="A1058" s="29"/>
      <c r="B1058" s="19"/>
      <c r="C1058" s="31"/>
      <c r="D1058" s="32"/>
      <c r="E1058" s="46"/>
      <c r="F1058" s="43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</row>
    <row r="1059" spans="1:26" ht="23.25" customHeight="1">
      <c r="A1059" s="29"/>
      <c r="B1059" s="19"/>
      <c r="C1059" s="31"/>
      <c r="D1059" s="32"/>
      <c r="E1059" s="46"/>
      <c r="F1059" s="43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</row>
    <row r="1060" spans="1:26" ht="23.25" customHeight="1">
      <c r="A1060" s="29"/>
      <c r="B1060" s="19"/>
      <c r="C1060" s="31"/>
      <c r="D1060" s="32"/>
      <c r="E1060" s="46"/>
      <c r="F1060" s="43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</row>
    <row r="1061" spans="1:26" ht="23.25" customHeight="1">
      <c r="A1061" s="29"/>
      <c r="B1061" s="19"/>
      <c r="C1061" s="31"/>
      <c r="D1061" s="32"/>
      <c r="E1061" s="46"/>
      <c r="F1061" s="43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</row>
    <row r="1062" spans="1:26" ht="23.25" customHeight="1">
      <c r="A1062" s="29"/>
      <c r="B1062" s="19"/>
      <c r="C1062" s="31"/>
      <c r="D1062" s="32"/>
      <c r="E1062" s="46"/>
      <c r="F1062" s="43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</row>
    <row r="1063" spans="1:26" ht="23.25" customHeight="1">
      <c r="A1063" s="29"/>
      <c r="B1063" s="19"/>
      <c r="C1063" s="31"/>
      <c r="D1063" s="32"/>
      <c r="E1063" s="46"/>
      <c r="F1063" s="43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</row>
    <row r="1064" spans="1:26" ht="23.25" customHeight="1">
      <c r="A1064" s="29"/>
      <c r="B1064" s="19"/>
      <c r="C1064" s="31"/>
      <c r="D1064" s="32"/>
      <c r="E1064" s="46"/>
      <c r="F1064" s="43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</row>
    <row r="1065" spans="1:26" ht="23.25" customHeight="1">
      <c r="A1065" s="29"/>
      <c r="B1065" s="19"/>
      <c r="C1065" s="31"/>
      <c r="D1065" s="32"/>
      <c r="E1065" s="46"/>
      <c r="F1065" s="43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</row>
    <row r="1066" spans="1:26" ht="23.25" customHeight="1">
      <c r="A1066" s="29"/>
      <c r="B1066" s="19"/>
      <c r="C1066" s="31"/>
      <c r="D1066" s="32"/>
      <c r="E1066" s="46"/>
      <c r="F1066" s="43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</row>
    <row r="1067" spans="1:26" ht="23.25" customHeight="1">
      <c r="A1067" s="29"/>
      <c r="B1067" s="19"/>
      <c r="C1067" s="31"/>
      <c r="D1067" s="32"/>
      <c r="E1067" s="46"/>
      <c r="F1067" s="43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</row>
    <row r="1068" spans="1:26" ht="23.25" customHeight="1">
      <c r="A1068" s="29"/>
      <c r="B1068" s="19"/>
      <c r="C1068" s="31"/>
      <c r="D1068" s="32"/>
      <c r="E1068" s="46"/>
      <c r="F1068" s="43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</row>
    <row r="1069" spans="1:26" ht="23.25" customHeight="1">
      <c r="A1069" s="29"/>
      <c r="B1069" s="19"/>
      <c r="C1069" s="31"/>
      <c r="D1069" s="32"/>
      <c r="E1069" s="46"/>
      <c r="F1069" s="43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</row>
    <row r="1070" spans="1:26" ht="23.25" customHeight="1">
      <c r="A1070" s="29"/>
      <c r="B1070" s="19"/>
      <c r="C1070" s="31"/>
      <c r="D1070" s="32"/>
      <c r="E1070" s="46"/>
      <c r="F1070" s="43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</row>
    <row r="1071" spans="1:26" ht="23.25" customHeight="1">
      <c r="A1071" s="29"/>
      <c r="B1071" s="19"/>
      <c r="C1071" s="31"/>
      <c r="D1071" s="32"/>
      <c r="E1071" s="46"/>
      <c r="F1071" s="43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</row>
    <row r="1072" spans="1:26" ht="23.25" customHeight="1">
      <c r="A1072" s="29"/>
      <c r="B1072" s="19"/>
      <c r="C1072" s="31"/>
      <c r="D1072" s="32"/>
      <c r="E1072" s="46"/>
      <c r="F1072" s="43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</row>
    <row r="1073" spans="1:26" ht="23.25" customHeight="1">
      <c r="A1073" s="29"/>
      <c r="B1073" s="19"/>
      <c r="C1073" s="31"/>
      <c r="D1073" s="32"/>
      <c r="E1073" s="46"/>
      <c r="F1073" s="43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</row>
    <row r="1074" spans="1:26" ht="23.25" customHeight="1">
      <c r="A1074" s="29"/>
      <c r="B1074" s="19"/>
      <c r="C1074" s="31"/>
      <c r="D1074" s="32"/>
      <c r="E1074" s="46"/>
      <c r="F1074" s="43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</row>
    <row r="1075" spans="1:26" ht="23.25" customHeight="1">
      <c r="A1075" s="29"/>
      <c r="B1075" s="19"/>
      <c r="C1075" s="31"/>
      <c r="D1075" s="32"/>
      <c r="E1075" s="46"/>
      <c r="F1075" s="43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</row>
    <row r="1076" spans="1:26" ht="23.25" customHeight="1">
      <c r="A1076" s="29"/>
      <c r="B1076" s="19"/>
      <c r="C1076" s="31"/>
      <c r="D1076" s="32"/>
      <c r="E1076" s="46"/>
      <c r="F1076" s="43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</row>
    <row r="1077" spans="1:26" ht="23.25" customHeight="1">
      <c r="A1077" s="29"/>
      <c r="B1077" s="19"/>
      <c r="C1077" s="31"/>
      <c r="D1077" s="32"/>
      <c r="E1077" s="46"/>
      <c r="F1077" s="43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</row>
    <row r="1078" spans="1:26" ht="23.25" customHeight="1">
      <c r="A1078" s="29"/>
      <c r="B1078" s="19"/>
      <c r="C1078" s="31"/>
      <c r="D1078" s="32"/>
      <c r="E1078" s="46"/>
      <c r="F1078" s="43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</row>
    <row r="1079" spans="1:26" ht="23.25" customHeight="1">
      <c r="A1079" s="29"/>
      <c r="B1079" s="19"/>
      <c r="C1079" s="31"/>
      <c r="D1079" s="32"/>
      <c r="E1079" s="46"/>
      <c r="F1079" s="43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</row>
    <row r="1080" spans="1:26" ht="23.25" customHeight="1">
      <c r="A1080" s="29"/>
      <c r="B1080" s="19"/>
      <c r="C1080" s="31"/>
      <c r="D1080" s="32"/>
      <c r="E1080" s="46"/>
      <c r="F1080" s="43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</row>
    <row r="1081" spans="1:26" ht="23.25" customHeight="1">
      <c r="A1081" s="29"/>
      <c r="B1081" s="19"/>
      <c r="C1081" s="31"/>
      <c r="D1081" s="32"/>
      <c r="E1081" s="46"/>
      <c r="F1081" s="43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</row>
    <row r="1082" spans="1:26" ht="23.25" customHeight="1">
      <c r="A1082" s="29"/>
      <c r="B1082" s="19"/>
      <c r="C1082" s="31"/>
      <c r="D1082" s="32"/>
      <c r="E1082" s="46"/>
      <c r="F1082" s="43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</row>
    <row r="1083" spans="1:26" ht="23.25" customHeight="1">
      <c r="A1083" s="29"/>
      <c r="B1083" s="19"/>
      <c r="C1083" s="31"/>
      <c r="D1083" s="32"/>
      <c r="E1083" s="46"/>
      <c r="F1083" s="43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</row>
    <row r="1084" spans="1:26" ht="23.25" customHeight="1">
      <c r="A1084" s="29"/>
      <c r="B1084" s="19"/>
      <c r="C1084" s="31"/>
      <c r="D1084" s="32"/>
      <c r="E1084" s="46"/>
      <c r="F1084" s="43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</row>
    <row r="1085" spans="1:26" ht="23.25" customHeight="1">
      <c r="A1085" s="29"/>
      <c r="B1085" s="19"/>
      <c r="C1085" s="31"/>
      <c r="D1085" s="32"/>
      <c r="E1085" s="46"/>
      <c r="F1085" s="43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</row>
    <row r="1086" spans="1:26" ht="23.25" customHeight="1">
      <c r="A1086" s="29"/>
      <c r="B1086" s="19"/>
      <c r="C1086" s="31"/>
      <c r="D1086" s="32"/>
      <c r="E1086" s="46"/>
      <c r="F1086" s="43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</row>
    <row r="1087" spans="1:26" ht="23.25" customHeight="1">
      <c r="A1087" s="29"/>
      <c r="B1087" s="19"/>
      <c r="C1087" s="31"/>
      <c r="D1087" s="32"/>
      <c r="E1087" s="46"/>
      <c r="F1087" s="43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</row>
    <row r="1088" spans="1:26" ht="23.25" customHeight="1">
      <c r="A1088" s="29"/>
      <c r="B1088" s="19"/>
      <c r="C1088" s="31"/>
      <c r="D1088" s="32"/>
      <c r="E1088" s="46"/>
      <c r="F1088" s="43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</row>
    <row r="1089" spans="1:26" ht="23.25" customHeight="1">
      <c r="A1089" s="29"/>
      <c r="B1089" s="19"/>
      <c r="C1089" s="31"/>
      <c r="D1089" s="32"/>
      <c r="E1089" s="46"/>
      <c r="F1089" s="43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</row>
    <row r="1090" spans="1:26" ht="23.25" customHeight="1">
      <c r="A1090" s="29"/>
      <c r="B1090" s="19"/>
      <c r="C1090" s="31"/>
      <c r="D1090" s="32"/>
      <c r="E1090" s="46"/>
      <c r="F1090" s="43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</row>
    <row r="1091" spans="1:26" ht="23.25" customHeight="1">
      <c r="A1091" s="29"/>
      <c r="B1091" s="19"/>
      <c r="C1091" s="31"/>
      <c r="D1091" s="32"/>
      <c r="E1091" s="46"/>
      <c r="F1091" s="43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</row>
    <row r="1092" spans="1:26" ht="23.25" customHeight="1">
      <c r="A1092" s="29"/>
      <c r="B1092" s="19"/>
      <c r="C1092" s="31"/>
      <c r="D1092" s="32"/>
      <c r="E1092" s="46"/>
      <c r="F1092" s="43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</row>
    <row r="1093" spans="1:26" ht="23.25" customHeight="1">
      <c r="A1093" s="29"/>
      <c r="B1093" s="19"/>
      <c r="C1093" s="31"/>
      <c r="D1093" s="32"/>
      <c r="E1093" s="46"/>
      <c r="F1093" s="43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</row>
    <row r="1094" spans="1:26" ht="23.25" customHeight="1">
      <c r="A1094" s="29"/>
      <c r="B1094" s="19"/>
      <c r="C1094" s="31"/>
      <c r="D1094" s="32"/>
      <c r="E1094" s="46"/>
      <c r="F1094" s="43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</row>
    <row r="1095" spans="1:26" ht="23.25" customHeight="1">
      <c r="A1095" s="29"/>
      <c r="B1095" s="19"/>
      <c r="C1095" s="31"/>
      <c r="D1095" s="32"/>
      <c r="E1095" s="46"/>
      <c r="F1095" s="43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</row>
    <row r="1096" spans="1:26" ht="23.25" customHeight="1">
      <c r="A1096" s="29"/>
      <c r="B1096" s="19"/>
      <c r="C1096" s="31"/>
      <c r="D1096" s="32"/>
      <c r="E1096" s="46"/>
      <c r="F1096" s="43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</row>
    <row r="1097" spans="1:26" ht="23.25" customHeight="1">
      <c r="A1097" s="29"/>
      <c r="B1097" s="19"/>
      <c r="C1097" s="31"/>
      <c r="D1097" s="32"/>
      <c r="E1097" s="46"/>
      <c r="F1097" s="43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</row>
    <row r="1098" spans="1:26" ht="23.25" customHeight="1">
      <c r="A1098" s="29"/>
      <c r="B1098" s="19"/>
      <c r="C1098" s="31"/>
      <c r="D1098" s="32"/>
      <c r="E1098" s="46"/>
      <c r="F1098" s="43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</row>
    <row r="1099" spans="1:26" ht="23.25" customHeight="1">
      <c r="A1099" s="29"/>
      <c r="B1099" s="19"/>
      <c r="C1099" s="31"/>
      <c r="D1099" s="32"/>
      <c r="E1099" s="46"/>
      <c r="F1099" s="43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</row>
    <row r="1100" spans="1:26" ht="23.25" customHeight="1">
      <c r="A1100" s="29"/>
      <c r="B1100" s="19"/>
      <c r="C1100" s="31"/>
      <c r="D1100" s="32"/>
      <c r="E1100" s="46"/>
      <c r="F1100" s="43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</row>
    <row r="1101" spans="1:26" ht="23.25" customHeight="1">
      <c r="A1101" s="29"/>
      <c r="B1101" s="19"/>
      <c r="C1101" s="31"/>
      <c r="D1101" s="32"/>
      <c r="E1101" s="46"/>
      <c r="F1101" s="43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</row>
    <row r="1102" spans="1:26" ht="23.25" customHeight="1">
      <c r="A1102" s="29"/>
      <c r="B1102" s="19"/>
      <c r="C1102" s="31"/>
      <c r="D1102" s="32"/>
      <c r="E1102" s="46"/>
      <c r="F1102" s="43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</row>
    <row r="1103" spans="1:26" ht="23.25" customHeight="1">
      <c r="A1103" s="29"/>
      <c r="B1103" s="19"/>
      <c r="C1103" s="31"/>
      <c r="D1103" s="32"/>
      <c r="E1103" s="46"/>
      <c r="F1103" s="43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</row>
    <row r="1104" spans="1:26" ht="23.25" customHeight="1">
      <c r="A1104" s="29"/>
      <c r="B1104" s="19"/>
      <c r="C1104" s="31"/>
      <c r="D1104" s="32"/>
      <c r="E1104" s="46"/>
      <c r="F1104" s="43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</row>
    <row r="1105" spans="1:26" ht="23.25" customHeight="1">
      <c r="A1105" s="29"/>
      <c r="B1105" s="19"/>
      <c r="C1105" s="31"/>
      <c r="D1105" s="32"/>
      <c r="E1105" s="46"/>
      <c r="F1105" s="43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</row>
    <row r="1106" spans="1:26" ht="23.25" customHeight="1">
      <c r="A1106" s="29"/>
      <c r="B1106" s="19"/>
      <c r="C1106" s="31"/>
      <c r="D1106" s="32"/>
      <c r="E1106" s="46"/>
      <c r="F1106" s="43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</row>
    <row r="1107" spans="1:26" ht="23.25" customHeight="1">
      <c r="A1107" s="29"/>
      <c r="B1107" s="19"/>
      <c r="C1107" s="31"/>
      <c r="D1107" s="32"/>
      <c r="E1107" s="46"/>
      <c r="F1107" s="43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</row>
    <row r="1108" spans="1:26" ht="23.25" customHeight="1">
      <c r="A1108" s="29"/>
      <c r="B1108" s="19"/>
      <c r="C1108" s="31"/>
      <c r="D1108" s="32"/>
      <c r="E1108" s="46"/>
      <c r="F1108" s="43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</row>
    <row r="1109" spans="1:26" ht="23.25" customHeight="1">
      <c r="A1109" s="29"/>
      <c r="B1109" s="19"/>
      <c r="C1109" s="31"/>
      <c r="D1109" s="32"/>
      <c r="E1109" s="46"/>
      <c r="F1109" s="43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</row>
    <row r="1110" spans="1:26" ht="23.25" customHeight="1">
      <c r="A1110" s="29"/>
      <c r="B1110" s="19"/>
      <c r="C1110" s="31"/>
      <c r="D1110" s="32"/>
      <c r="E1110" s="46"/>
      <c r="F1110" s="43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</row>
    <row r="1111" spans="1:26" ht="23.25" customHeight="1">
      <c r="A1111" s="29"/>
      <c r="B1111" s="19"/>
      <c r="C1111" s="31"/>
      <c r="D1111" s="32"/>
      <c r="E1111" s="46"/>
      <c r="F1111" s="43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</row>
    <row r="1112" spans="1:26" ht="23.25" customHeight="1">
      <c r="A1112" s="29"/>
      <c r="B1112" s="19"/>
      <c r="C1112" s="31"/>
      <c r="D1112" s="32"/>
      <c r="E1112" s="46"/>
      <c r="F1112" s="43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</row>
    <row r="1113" spans="1:26" ht="23.25" customHeight="1">
      <c r="A1113" s="29"/>
      <c r="B1113" s="19"/>
      <c r="C1113" s="31"/>
      <c r="D1113" s="32"/>
      <c r="E1113" s="46"/>
      <c r="F1113" s="43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</row>
    <row r="1114" spans="1:26" ht="23.25" customHeight="1">
      <c r="A1114" s="29"/>
      <c r="B1114" s="19"/>
      <c r="C1114" s="31"/>
      <c r="D1114" s="32"/>
      <c r="E1114" s="46"/>
      <c r="F1114" s="43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</row>
    <row r="1115" spans="1:26" ht="23.25" customHeight="1">
      <c r="A1115" s="29"/>
      <c r="B1115" s="19"/>
      <c r="C1115" s="31"/>
      <c r="D1115" s="32"/>
      <c r="E1115" s="46"/>
      <c r="F1115" s="43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</row>
    <row r="1116" spans="1:26" ht="23.25" customHeight="1">
      <c r="A1116" s="29"/>
      <c r="B1116" s="19"/>
      <c r="C1116" s="31"/>
      <c r="D1116" s="32"/>
      <c r="E1116" s="46"/>
      <c r="F1116" s="43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</row>
    <row r="1117" spans="1:26" ht="23.25" customHeight="1">
      <c r="A1117" s="29"/>
      <c r="B1117" s="19"/>
      <c r="C1117" s="31"/>
      <c r="D1117" s="32"/>
      <c r="E1117" s="46"/>
      <c r="F1117" s="43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</row>
    <row r="1118" spans="1:26" ht="23.25" customHeight="1">
      <c r="A1118" s="29"/>
      <c r="B1118" s="19"/>
      <c r="C1118" s="31"/>
      <c r="D1118" s="32"/>
      <c r="E1118" s="46"/>
      <c r="F1118" s="43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</row>
    <row r="1119" spans="1:26" ht="23.25" customHeight="1">
      <c r="A1119" s="29"/>
      <c r="B1119" s="19"/>
      <c r="C1119" s="31"/>
      <c r="D1119" s="32"/>
      <c r="E1119" s="46"/>
      <c r="F1119" s="43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</row>
    <row r="1120" spans="1:26" ht="23.25" customHeight="1">
      <c r="A1120" s="29"/>
      <c r="B1120" s="19"/>
      <c r="C1120" s="31"/>
      <c r="D1120" s="32"/>
      <c r="E1120" s="46"/>
      <c r="F1120" s="43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</row>
    <row r="1121" spans="1:26" ht="23.25" customHeight="1">
      <c r="A1121" s="29"/>
      <c r="B1121" s="19"/>
      <c r="C1121" s="31"/>
      <c r="D1121" s="32"/>
      <c r="E1121" s="46"/>
      <c r="F1121" s="43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</row>
    <row r="1122" spans="1:26" ht="23.25" customHeight="1">
      <c r="A1122" s="29"/>
      <c r="B1122" s="19"/>
      <c r="C1122" s="31"/>
      <c r="D1122" s="32"/>
      <c r="E1122" s="46"/>
      <c r="F1122" s="43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</row>
    <row r="1123" spans="1:26" ht="23.25" customHeight="1">
      <c r="A1123" s="29"/>
      <c r="B1123" s="19"/>
      <c r="C1123" s="31"/>
      <c r="D1123" s="32"/>
      <c r="E1123" s="46"/>
      <c r="F1123" s="43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</row>
    <row r="1124" spans="1:26" ht="23.25" customHeight="1">
      <c r="A1124" s="29"/>
      <c r="B1124" s="19"/>
      <c r="C1124" s="31"/>
      <c r="D1124" s="32"/>
      <c r="E1124" s="46"/>
      <c r="F1124" s="43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</row>
    <row r="1125" spans="1:26" ht="23.25" customHeight="1">
      <c r="A1125" s="29"/>
      <c r="B1125" s="19"/>
      <c r="C1125" s="31"/>
      <c r="D1125" s="32"/>
      <c r="E1125" s="46"/>
      <c r="F1125" s="43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</row>
    <row r="1126" spans="1:26" ht="23.25" customHeight="1">
      <c r="A1126" s="29"/>
      <c r="B1126" s="19"/>
      <c r="C1126" s="31"/>
      <c r="D1126" s="32"/>
      <c r="E1126" s="46"/>
      <c r="F1126" s="43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</row>
    <row r="1127" spans="1:26" ht="23.25" customHeight="1">
      <c r="A1127" s="29"/>
      <c r="B1127" s="19"/>
      <c r="C1127" s="31"/>
      <c r="D1127" s="32"/>
      <c r="E1127" s="46"/>
      <c r="F1127" s="43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</row>
    <row r="1128" spans="1:26" ht="23.25" customHeight="1">
      <c r="A1128" s="29"/>
      <c r="B1128" s="19"/>
      <c r="C1128" s="31"/>
      <c r="D1128" s="32"/>
      <c r="E1128" s="46"/>
      <c r="F1128" s="43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</row>
    <row r="1129" spans="1:26" ht="23.25" customHeight="1">
      <c r="A1129" s="29"/>
      <c r="B1129" s="19"/>
      <c r="C1129" s="31"/>
      <c r="D1129" s="32"/>
      <c r="E1129" s="46"/>
      <c r="F1129" s="43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</row>
    <row r="1130" spans="1:26" ht="23.25" customHeight="1">
      <c r="A1130" s="29"/>
      <c r="B1130" s="19"/>
      <c r="C1130" s="31"/>
      <c r="D1130" s="32"/>
      <c r="E1130" s="46"/>
      <c r="F1130" s="43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</row>
    <row r="1131" spans="1:26" ht="23.25" customHeight="1">
      <c r="A1131" s="29"/>
      <c r="B1131" s="19"/>
      <c r="C1131" s="31"/>
      <c r="D1131" s="32"/>
      <c r="E1131" s="46"/>
      <c r="F1131" s="43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</row>
    <row r="1132" spans="1:26" ht="23.25" customHeight="1">
      <c r="A1132" s="29"/>
      <c r="B1132" s="19"/>
      <c r="C1132" s="31"/>
      <c r="D1132" s="32"/>
      <c r="E1132" s="46"/>
      <c r="F1132" s="43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</row>
    <row r="1133" spans="1:26" ht="23.25" customHeight="1">
      <c r="A1133" s="29"/>
      <c r="B1133" s="19"/>
      <c r="C1133" s="31"/>
      <c r="D1133" s="32"/>
      <c r="E1133" s="46"/>
      <c r="F1133" s="43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</row>
    <row r="1134" spans="1:26" ht="23.25" customHeight="1">
      <c r="A1134" s="29"/>
      <c r="B1134" s="19"/>
      <c r="C1134" s="31"/>
      <c r="D1134" s="32"/>
      <c r="E1134" s="46"/>
      <c r="F1134" s="43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</row>
    <row r="1135" spans="1:26" ht="23.25" customHeight="1">
      <c r="A1135" s="29"/>
      <c r="B1135" s="19"/>
      <c r="C1135" s="31"/>
      <c r="D1135" s="32"/>
      <c r="E1135" s="46"/>
      <c r="F1135" s="43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</row>
    <row r="1136" spans="1:26" ht="23.25" customHeight="1">
      <c r="A1136" s="29"/>
      <c r="B1136" s="19"/>
      <c r="C1136" s="31"/>
      <c r="D1136" s="32"/>
      <c r="E1136" s="46"/>
      <c r="F1136" s="43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</row>
    <row r="1137" spans="1:26" ht="23.25" customHeight="1">
      <c r="A1137" s="29"/>
      <c r="B1137" s="19"/>
      <c r="C1137" s="31"/>
      <c r="D1137" s="32"/>
      <c r="E1137" s="46"/>
      <c r="F1137" s="43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</row>
    <row r="1138" spans="1:26" ht="23.25" customHeight="1">
      <c r="A1138" s="29"/>
      <c r="B1138" s="19"/>
      <c r="C1138" s="31"/>
      <c r="D1138" s="32"/>
      <c r="E1138" s="46"/>
      <c r="F1138" s="43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</row>
    <row r="1139" spans="1:26" ht="23.25" customHeight="1">
      <c r="A1139" s="29"/>
      <c r="B1139" s="19"/>
      <c r="C1139" s="31"/>
      <c r="D1139" s="32"/>
      <c r="E1139" s="46"/>
      <c r="F1139" s="43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</row>
    <row r="1140" spans="1:26" ht="23.25" customHeight="1">
      <c r="A1140" s="29"/>
      <c r="B1140" s="19"/>
      <c r="C1140" s="31"/>
      <c r="D1140" s="32"/>
      <c r="E1140" s="46"/>
      <c r="F1140" s="43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</row>
    <row r="1141" spans="1:26" ht="23.25" customHeight="1">
      <c r="A1141" s="29"/>
      <c r="B1141" s="19"/>
      <c r="C1141" s="31"/>
      <c r="D1141" s="32"/>
      <c r="E1141" s="46"/>
      <c r="F1141" s="43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</row>
    <row r="1142" spans="1:26" ht="23.25" customHeight="1">
      <c r="A1142" s="29"/>
      <c r="B1142" s="19"/>
      <c r="C1142" s="31"/>
      <c r="D1142" s="32"/>
      <c r="E1142" s="46"/>
      <c r="F1142" s="43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</row>
    <row r="1143" spans="1:26" ht="23.25" customHeight="1">
      <c r="A1143" s="29"/>
      <c r="B1143" s="19"/>
      <c r="C1143" s="31"/>
      <c r="D1143" s="32"/>
      <c r="E1143" s="46"/>
      <c r="F1143" s="43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</row>
    <row r="1144" spans="1:26" ht="23.25" customHeight="1">
      <c r="A1144" s="29"/>
      <c r="B1144" s="19"/>
      <c r="C1144" s="31"/>
      <c r="D1144" s="32"/>
      <c r="E1144" s="46"/>
      <c r="F1144" s="43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</row>
    <row r="1145" spans="1:26" ht="23.25" customHeight="1">
      <c r="A1145" s="29"/>
      <c r="B1145" s="19"/>
      <c r="C1145" s="31"/>
      <c r="D1145" s="32"/>
      <c r="E1145" s="46"/>
      <c r="F1145" s="43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</row>
    <row r="1146" spans="1:26" ht="23.25" customHeight="1">
      <c r="A1146" s="29"/>
      <c r="B1146" s="19"/>
      <c r="C1146" s="31"/>
      <c r="D1146" s="32"/>
      <c r="E1146" s="46"/>
      <c r="F1146" s="43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</row>
    <row r="1147" spans="1:26" ht="23.25" customHeight="1">
      <c r="A1147" s="29"/>
      <c r="B1147" s="19"/>
      <c r="C1147" s="31"/>
      <c r="D1147" s="32"/>
      <c r="E1147" s="46"/>
      <c r="F1147" s="43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</row>
    <row r="1148" spans="1:26" ht="23.25" customHeight="1">
      <c r="A1148" s="29"/>
      <c r="B1148" s="19"/>
      <c r="C1148" s="31"/>
      <c r="D1148" s="32"/>
      <c r="E1148" s="46"/>
      <c r="F1148" s="43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</row>
    <row r="1149" spans="1:26" ht="23.25" customHeight="1">
      <c r="A1149" s="29"/>
      <c r="B1149" s="19"/>
      <c r="C1149" s="31"/>
      <c r="D1149" s="32"/>
      <c r="E1149" s="46"/>
      <c r="F1149" s="43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</row>
    <row r="1150" spans="1:26" ht="23.25" customHeight="1">
      <c r="A1150" s="29"/>
      <c r="B1150" s="19"/>
      <c r="C1150" s="31"/>
      <c r="D1150" s="32"/>
      <c r="E1150" s="46"/>
      <c r="F1150" s="43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</row>
    <row r="1151" spans="1:26" ht="23.25" customHeight="1">
      <c r="A1151" s="29"/>
      <c r="B1151" s="19"/>
      <c r="C1151" s="31"/>
      <c r="D1151" s="32"/>
      <c r="E1151" s="46"/>
      <c r="F1151" s="43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</row>
    <row r="1152" spans="1:26" ht="23.25" customHeight="1">
      <c r="A1152" s="29"/>
      <c r="B1152" s="19"/>
      <c r="C1152" s="31"/>
      <c r="D1152" s="32"/>
      <c r="E1152" s="46"/>
      <c r="F1152" s="43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</row>
    <row r="1153" spans="1:26" ht="23.25" customHeight="1">
      <c r="A1153" s="29"/>
      <c r="B1153" s="19"/>
      <c r="C1153" s="31"/>
      <c r="D1153" s="32"/>
      <c r="E1153" s="46"/>
      <c r="F1153" s="43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4"/>
      <c r="T1153" s="34"/>
      <c r="U1153" s="34"/>
      <c r="V1153" s="34"/>
      <c r="W1153" s="34"/>
      <c r="X1153" s="34"/>
      <c r="Y1153" s="34"/>
      <c r="Z1153" s="34"/>
    </row>
    <row r="1154" spans="1:26" ht="23.25" customHeight="1">
      <c r="A1154" s="29"/>
      <c r="B1154" s="19"/>
      <c r="C1154" s="31"/>
      <c r="D1154" s="32"/>
      <c r="E1154" s="46"/>
      <c r="F1154" s="43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</row>
    <row r="1155" spans="1:26" ht="23.25" customHeight="1">
      <c r="A1155" s="29"/>
      <c r="B1155" s="19"/>
      <c r="C1155" s="31"/>
      <c r="D1155" s="32"/>
      <c r="E1155" s="46"/>
      <c r="F1155" s="43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4"/>
      <c r="T1155" s="34"/>
      <c r="U1155" s="34"/>
      <c r="V1155" s="34"/>
      <c r="W1155" s="34"/>
      <c r="X1155" s="34"/>
      <c r="Y1155" s="34"/>
      <c r="Z1155" s="34"/>
    </row>
    <row r="1156" spans="1:26" ht="23.25" customHeight="1">
      <c r="A1156" s="29"/>
      <c r="B1156" s="19"/>
      <c r="C1156" s="31"/>
      <c r="D1156" s="32"/>
      <c r="E1156" s="46"/>
      <c r="F1156" s="43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</row>
    <row r="1157" spans="1:26" ht="23.25" customHeight="1">
      <c r="A1157" s="29"/>
      <c r="B1157" s="19"/>
      <c r="C1157" s="31"/>
      <c r="D1157" s="32"/>
      <c r="E1157" s="46"/>
      <c r="F1157" s="43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</row>
    <row r="1158" spans="1:26" ht="23.25" customHeight="1">
      <c r="A1158" s="29"/>
      <c r="B1158" s="19"/>
      <c r="C1158" s="31"/>
      <c r="D1158" s="32"/>
      <c r="E1158" s="46"/>
      <c r="F1158" s="43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</row>
    <row r="1159" spans="1:26" ht="23.25" customHeight="1">
      <c r="A1159" s="29"/>
      <c r="B1159" s="19"/>
      <c r="C1159" s="31"/>
      <c r="D1159" s="32"/>
      <c r="E1159" s="46"/>
      <c r="F1159" s="43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4"/>
      <c r="T1159" s="34"/>
      <c r="U1159" s="34"/>
      <c r="V1159" s="34"/>
      <c r="W1159" s="34"/>
      <c r="X1159" s="34"/>
      <c r="Y1159" s="34"/>
      <c r="Z1159" s="34"/>
    </row>
    <row r="1160" spans="1:26" ht="23.25" customHeight="1">
      <c r="A1160" s="29"/>
      <c r="B1160" s="19"/>
      <c r="C1160" s="31"/>
      <c r="D1160" s="32"/>
      <c r="E1160" s="46"/>
      <c r="F1160" s="43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</row>
    <row r="1161" spans="1:26" ht="23.25" customHeight="1">
      <c r="A1161" s="29"/>
      <c r="B1161" s="19"/>
      <c r="C1161" s="31"/>
      <c r="D1161" s="32"/>
      <c r="E1161" s="46"/>
      <c r="F1161" s="43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4"/>
      <c r="T1161" s="34"/>
      <c r="U1161" s="34"/>
      <c r="V1161" s="34"/>
      <c r="W1161" s="34"/>
      <c r="X1161" s="34"/>
      <c r="Y1161" s="34"/>
      <c r="Z1161" s="34"/>
    </row>
    <row r="1162" spans="1:26" ht="23.25" customHeight="1">
      <c r="A1162" s="29"/>
      <c r="B1162" s="19"/>
      <c r="C1162" s="31"/>
      <c r="D1162" s="32"/>
      <c r="E1162" s="46"/>
      <c r="F1162" s="43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</row>
    <row r="1163" spans="1:26" ht="23.25" customHeight="1">
      <c r="A1163" s="29"/>
      <c r="B1163" s="19"/>
      <c r="C1163" s="31"/>
      <c r="D1163" s="32"/>
      <c r="E1163" s="46"/>
      <c r="F1163" s="43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</row>
    <row r="1164" spans="1:26" ht="23.25" customHeight="1">
      <c r="A1164" s="29"/>
      <c r="B1164" s="19"/>
      <c r="C1164" s="31"/>
      <c r="D1164" s="32"/>
      <c r="E1164" s="46"/>
      <c r="F1164" s="43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</row>
    <row r="1165" spans="1:26" ht="23.25" customHeight="1">
      <c r="A1165" s="29"/>
      <c r="B1165" s="19"/>
      <c r="C1165" s="31"/>
      <c r="D1165" s="32"/>
      <c r="E1165" s="46"/>
      <c r="F1165" s="43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</row>
    <row r="1166" spans="1:26" ht="23.25" customHeight="1">
      <c r="A1166" s="29"/>
      <c r="B1166" s="19"/>
      <c r="C1166" s="31"/>
      <c r="D1166" s="32"/>
      <c r="E1166" s="46"/>
      <c r="F1166" s="43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</row>
    <row r="1167" spans="1:26" ht="23.25" customHeight="1">
      <c r="A1167" s="29"/>
      <c r="B1167" s="19"/>
      <c r="C1167" s="31"/>
      <c r="D1167" s="32"/>
      <c r="E1167" s="46"/>
      <c r="F1167" s="43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</row>
    <row r="1168" spans="1:26" ht="23.25" customHeight="1">
      <c r="A1168" s="29"/>
      <c r="B1168" s="19"/>
      <c r="C1168" s="31"/>
      <c r="D1168" s="32"/>
      <c r="E1168" s="46"/>
      <c r="F1168" s="43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</row>
    <row r="1169" spans="1:26" ht="23.25" customHeight="1">
      <c r="A1169" s="29"/>
      <c r="B1169" s="19"/>
      <c r="C1169" s="31"/>
      <c r="D1169" s="32"/>
      <c r="E1169" s="46"/>
      <c r="F1169" s="43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4"/>
      <c r="T1169" s="34"/>
      <c r="U1169" s="34"/>
      <c r="V1169" s="34"/>
      <c r="W1169" s="34"/>
      <c r="X1169" s="34"/>
      <c r="Y1169" s="34"/>
      <c r="Z1169" s="34"/>
    </row>
    <row r="1170" spans="1:26" ht="23.25" customHeight="1">
      <c r="A1170" s="29"/>
      <c r="B1170" s="19"/>
      <c r="C1170" s="31"/>
      <c r="D1170" s="32"/>
      <c r="E1170" s="46"/>
      <c r="F1170" s="43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</row>
    <row r="1171" spans="1:26" ht="23.25" customHeight="1">
      <c r="A1171" s="29"/>
      <c r="B1171" s="19"/>
      <c r="C1171" s="31"/>
      <c r="D1171" s="32"/>
      <c r="E1171" s="46"/>
      <c r="F1171" s="43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</row>
    <row r="1172" spans="1:26" ht="23.25" customHeight="1">
      <c r="A1172" s="29"/>
      <c r="B1172" s="19"/>
      <c r="C1172" s="31"/>
      <c r="D1172" s="32"/>
      <c r="E1172" s="46"/>
      <c r="F1172" s="43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</row>
    <row r="1173" spans="1:26" ht="23.25" customHeight="1">
      <c r="A1173" s="29"/>
      <c r="B1173" s="19"/>
      <c r="C1173" s="31"/>
      <c r="D1173" s="32"/>
      <c r="E1173" s="46"/>
      <c r="F1173" s="43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</row>
    <row r="1174" spans="1:26" ht="23.25" customHeight="1">
      <c r="A1174" s="29"/>
      <c r="B1174" s="19"/>
      <c r="C1174" s="31"/>
      <c r="D1174" s="32"/>
      <c r="E1174" s="46"/>
      <c r="F1174" s="43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</row>
    <row r="1175" spans="1:26" ht="23.25" customHeight="1">
      <c r="A1175" s="29"/>
      <c r="B1175" s="19"/>
      <c r="C1175" s="31"/>
      <c r="D1175" s="32"/>
      <c r="E1175" s="46"/>
      <c r="F1175" s="43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</row>
    <row r="1176" spans="1:26" ht="23.25" customHeight="1">
      <c r="A1176" s="29"/>
      <c r="B1176" s="19"/>
      <c r="C1176" s="31"/>
      <c r="D1176" s="32"/>
      <c r="E1176" s="46"/>
      <c r="F1176" s="43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</row>
    <row r="1177" spans="1:26" ht="23.25" customHeight="1">
      <c r="A1177" s="29"/>
      <c r="B1177" s="19"/>
      <c r="C1177" s="31"/>
      <c r="D1177" s="32"/>
      <c r="E1177" s="46"/>
      <c r="F1177" s="43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4"/>
      <c r="T1177" s="34"/>
      <c r="U1177" s="34"/>
      <c r="V1177" s="34"/>
      <c r="W1177" s="34"/>
      <c r="X1177" s="34"/>
      <c r="Y1177" s="34"/>
      <c r="Z1177" s="34"/>
    </row>
    <row r="1178" spans="1:26" ht="23.25" customHeight="1">
      <c r="A1178" s="29"/>
      <c r="B1178" s="19"/>
      <c r="C1178" s="31"/>
      <c r="D1178" s="32"/>
      <c r="E1178" s="46"/>
      <c r="F1178" s="43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</row>
    <row r="1179" spans="1:26" ht="23.25" customHeight="1">
      <c r="A1179" s="29"/>
      <c r="B1179" s="19"/>
      <c r="C1179" s="31"/>
      <c r="D1179" s="32"/>
      <c r="E1179" s="46"/>
      <c r="F1179" s="43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</row>
    <row r="1180" spans="1:26" ht="23.25" customHeight="1">
      <c r="A1180" s="29"/>
      <c r="B1180" s="19"/>
      <c r="C1180" s="31"/>
      <c r="D1180" s="32"/>
      <c r="E1180" s="46"/>
      <c r="F1180" s="43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</row>
    <row r="1181" spans="1:26" ht="23.25" customHeight="1">
      <c r="A1181" s="29"/>
      <c r="B1181" s="19"/>
      <c r="C1181" s="31"/>
      <c r="D1181" s="32"/>
      <c r="E1181" s="46"/>
      <c r="F1181" s="43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4"/>
      <c r="T1181" s="34"/>
      <c r="U1181" s="34"/>
      <c r="V1181" s="34"/>
      <c r="W1181" s="34"/>
      <c r="X1181" s="34"/>
      <c r="Y1181" s="34"/>
      <c r="Z1181" s="34"/>
    </row>
    <row r="1182" spans="1:26" ht="23.25" customHeight="1">
      <c r="A1182" s="29"/>
      <c r="B1182" s="19"/>
      <c r="C1182" s="31"/>
      <c r="D1182" s="32"/>
      <c r="E1182" s="46"/>
      <c r="F1182" s="43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</row>
    <row r="1183" spans="1:26" ht="23.25" customHeight="1">
      <c r="A1183" s="29"/>
      <c r="B1183" s="19"/>
      <c r="C1183" s="31"/>
      <c r="D1183" s="32"/>
      <c r="E1183" s="46"/>
      <c r="F1183" s="43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</row>
    <row r="1184" spans="1:26" ht="23.25" customHeight="1">
      <c r="A1184" s="29"/>
      <c r="B1184" s="19"/>
      <c r="C1184" s="31"/>
      <c r="D1184" s="32"/>
      <c r="E1184" s="46"/>
      <c r="F1184" s="43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</row>
    <row r="1185" spans="1:26" ht="23.25" customHeight="1">
      <c r="A1185" s="29"/>
      <c r="B1185" s="19"/>
      <c r="C1185" s="31"/>
      <c r="D1185" s="32"/>
      <c r="E1185" s="46"/>
      <c r="F1185" s="43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4"/>
      <c r="T1185" s="34"/>
      <c r="U1185" s="34"/>
      <c r="V1185" s="34"/>
      <c r="W1185" s="34"/>
      <c r="X1185" s="34"/>
      <c r="Y1185" s="34"/>
      <c r="Z1185" s="34"/>
    </row>
    <row r="1186" spans="1:26" ht="23.25" customHeight="1">
      <c r="A1186" s="29"/>
      <c r="B1186" s="19"/>
      <c r="C1186" s="31"/>
      <c r="D1186" s="32"/>
      <c r="E1186" s="46"/>
      <c r="F1186" s="43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</row>
    <row r="1187" spans="1:26" ht="23.25" customHeight="1">
      <c r="A1187" s="29"/>
      <c r="B1187" s="19"/>
      <c r="C1187" s="31"/>
      <c r="D1187" s="32"/>
      <c r="E1187" s="46"/>
      <c r="F1187" s="43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4"/>
      <c r="T1187" s="34"/>
      <c r="U1187" s="34"/>
      <c r="V1187" s="34"/>
      <c r="W1187" s="34"/>
      <c r="X1187" s="34"/>
      <c r="Y1187" s="34"/>
      <c r="Z1187" s="34"/>
    </row>
    <row r="1188" spans="1:26" ht="23.25" customHeight="1">
      <c r="A1188" s="29"/>
      <c r="B1188" s="19"/>
      <c r="C1188" s="31"/>
      <c r="D1188" s="32"/>
      <c r="E1188" s="46"/>
      <c r="F1188" s="43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</row>
    <row r="1189" spans="1:26" ht="23.25" customHeight="1">
      <c r="A1189" s="29"/>
      <c r="B1189" s="19"/>
      <c r="C1189" s="31"/>
      <c r="D1189" s="32"/>
      <c r="E1189" s="46"/>
      <c r="F1189" s="43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4"/>
      <c r="T1189" s="34"/>
      <c r="U1189" s="34"/>
      <c r="V1189" s="34"/>
      <c r="W1189" s="34"/>
      <c r="X1189" s="34"/>
      <c r="Y1189" s="34"/>
      <c r="Z1189" s="34"/>
    </row>
    <row r="1190" spans="1:26" ht="23.25" customHeight="1">
      <c r="A1190" s="29"/>
      <c r="B1190" s="19"/>
      <c r="C1190" s="31"/>
      <c r="D1190" s="32"/>
      <c r="E1190" s="46"/>
      <c r="F1190" s="43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</row>
    <row r="1191" spans="1:26" ht="23.25" customHeight="1">
      <c r="A1191" s="29"/>
      <c r="B1191" s="19"/>
      <c r="C1191" s="31"/>
      <c r="D1191" s="32"/>
      <c r="E1191" s="46"/>
      <c r="F1191" s="43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4"/>
      <c r="T1191" s="34"/>
      <c r="U1191" s="34"/>
      <c r="V1191" s="34"/>
      <c r="W1191" s="34"/>
      <c r="X1191" s="34"/>
      <c r="Y1191" s="34"/>
      <c r="Z1191" s="34"/>
    </row>
    <row r="1192" spans="1:26" ht="23.25" customHeight="1">
      <c r="A1192" s="29"/>
      <c r="B1192" s="19"/>
      <c r="C1192" s="31"/>
      <c r="D1192" s="32"/>
      <c r="E1192" s="46"/>
      <c r="F1192" s="43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</row>
    <row r="1193" spans="1:26" ht="23.25" customHeight="1">
      <c r="A1193" s="29"/>
      <c r="B1193" s="19"/>
      <c r="C1193" s="31"/>
      <c r="D1193" s="32"/>
      <c r="E1193" s="46"/>
      <c r="F1193" s="43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</row>
    <row r="1194" spans="1:26" ht="23.25" customHeight="1">
      <c r="A1194" s="29"/>
      <c r="B1194" s="19"/>
      <c r="C1194" s="31"/>
      <c r="D1194" s="32"/>
      <c r="E1194" s="46"/>
      <c r="F1194" s="43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</row>
    <row r="1195" spans="1:26" ht="23.25" customHeight="1">
      <c r="A1195" s="29"/>
      <c r="B1195" s="19"/>
      <c r="C1195" s="31"/>
      <c r="D1195" s="32"/>
      <c r="E1195" s="46"/>
      <c r="F1195" s="43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</row>
    <row r="1196" spans="1:26" ht="23.25" customHeight="1">
      <c r="A1196" s="29"/>
      <c r="B1196" s="19"/>
      <c r="C1196" s="31"/>
      <c r="D1196" s="32"/>
      <c r="E1196" s="46"/>
      <c r="F1196" s="43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</row>
    <row r="1197" spans="1:26" ht="23.25" customHeight="1">
      <c r="A1197" s="29"/>
      <c r="B1197" s="19"/>
      <c r="C1197" s="31"/>
      <c r="D1197" s="32"/>
      <c r="E1197" s="46"/>
      <c r="F1197" s="43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4"/>
      <c r="T1197" s="34"/>
      <c r="U1197" s="34"/>
      <c r="V1197" s="34"/>
      <c r="W1197" s="34"/>
      <c r="X1197" s="34"/>
      <c r="Y1197" s="34"/>
      <c r="Z1197" s="34"/>
    </row>
    <row r="1198" spans="1:26" ht="23.25" customHeight="1">
      <c r="A1198" s="29"/>
      <c r="B1198" s="19"/>
      <c r="C1198" s="31"/>
      <c r="D1198" s="32"/>
      <c r="E1198" s="46"/>
      <c r="F1198" s="43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</row>
    <row r="1199" spans="1:26" ht="23.25" customHeight="1">
      <c r="A1199" s="29"/>
      <c r="B1199" s="19"/>
      <c r="C1199" s="31"/>
      <c r="D1199" s="32"/>
      <c r="E1199" s="46"/>
      <c r="F1199" s="43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</row>
    <row r="1200" spans="1:26" ht="23.25" customHeight="1">
      <c r="A1200" s="29"/>
      <c r="B1200" s="19"/>
      <c r="C1200" s="31"/>
      <c r="D1200" s="32"/>
      <c r="E1200" s="46"/>
      <c r="F1200" s="43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</row>
    <row r="1201" spans="1:26" ht="23.25" customHeight="1">
      <c r="A1201" s="29"/>
      <c r="B1201" s="19"/>
      <c r="C1201" s="31"/>
      <c r="D1201" s="32"/>
      <c r="E1201" s="46"/>
      <c r="F1201" s="43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</row>
    <row r="1202" spans="1:26" ht="23.25" customHeight="1">
      <c r="A1202" s="29"/>
      <c r="B1202" s="19"/>
      <c r="C1202" s="31"/>
      <c r="D1202" s="32"/>
      <c r="E1202" s="46"/>
      <c r="F1202" s="43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</row>
    <row r="1203" spans="1:26" ht="23.25" customHeight="1">
      <c r="A1203" s="29"/>
      <c r="B1203" s="19"/>
      <c r="C1203" s="31"/>
      <c r="D1203" s="32"/>
      <c r="E1203" s="46"/>
      <c r="F1203" s="43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</row>
    <row r="1204" spans="1:26" ht="23.25" customHeight="1">
      <c r="A1204" s="29"/>
      <c r="B1204" s="19"/>
      <c r="C1204" s="31"/>
      <c r="D1204" s="32"/>
      <c r="E1204" s="46"/>
      <c r="F1204" s="43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</row>
    <row r="1205" spans="1:26" ht="23.25" customHeight="1">
      <c r="A1205" s="29"/>
      <c r="B1205" s="19"/>
      <c r="C1205" s="31"/>
      <c r="D1205" s="32"/>
      <c r="E1205" s="46"/>
      <c r="F1205" s="43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</row>
    <row r="1206" spans="1:26" ht="23.25" customHeight="1">
      <c r="A1206" s="29"/>
      <c r="B1206" s="19"/>
      <c r="C1206" s="31"/>
      <c r="D1206" s="32"/>
      <c r="E1206" s="46"/>
      <c r="F1206" s="43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</row>
    <row r="1207" spans="1:26" ht="23.25" customHeight="1">
      <c r="A1207" s="29"/>
      <c r="B1207" s="19"/>
      <c r="C1207" s="31"/>
      <c r="D1207" s="32"/>
      <c r="E1207" s="46"/>
      <c r="F1207" s="43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</row>
    <row r="1208" spans="1:26" ht="23.25" customHeight="1">
      <c r="A1208" s="29"/>
      <c r="B1208" s="19"/>
      <c r="C1208" s="31"/>
      <c r="D1208" s="32"/>
      <c r="E1208" s="46"/>
      <c r="F1208" s="43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</row>
    <row r="1209" spans="1:26" ht="23.25" customHeight="1">
      <c r="A1209" s="29"/>
      <c r="B1209" s="19"/>
      <c r="C1209" s="31"/>
      <c r="D1209" s="32"/>
      <c r="E1209" s="46"/>
      <c r="F1209" s="43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</row>
    <row r="1210" spans="1:26" ht="23.25" customHeight="1">
      <c r="A1210" s="29"/>
      <c r="B1210" s="19"/>
      <c r="C1210" s="31"/>
      <c r="D1210" s="32"/>
      <c r="E1210" s="46"/>
      <c r="F1210" s="43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</row>
    <row r="1211" spans="1:26" ht="23.25" customHeight="1">
      <c r="A1211" s="29"/>
      <c r="B1211" s="19"/>
      <c r="C1211" s="31"/>
      <c r="D1211" s="32"/>
      <c r="E1211" s="46"/>
      <c r="F1211" s="43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</row>
    <row r="1212" spans="1:26" ht="23.25" customHeight="1">
      <c r="A1212" s="29"/>
      <c r="B1212" s="19"/>
      <c r="C1212" s="31"/>
      <c r="D1212" s="32"/>
      <c r="E1212" s="46"/>
      <c r="F1212" s="43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</row>
    <row r="1213" spans="1:26" ht="23.25" customHeight="1">
      <c r="A1213" s="29"/>
      <c r="B1213" s="19"/>
      <c r="C1213" s="31"/>
      <c r="D1213" s="32"/>
      <c r="E1213" s="46"/>
      <c r="F1213" s="43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</row>
    <row r="1214" spans="1:26" ht="23.25" customHeight="1">
      <c r="A1214" s="29"/>
      <c r="B1214" s="19"/>
      <c r="C1214" s="31"/>
      <c r="D1214" s="32"/>
      <c r="E1214" s="46"/>
      <c r="F1214" s="43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</row>
    <row r="1215" spans="1:26" ht="23.25" customHeight="1">
      <c r="A1215" s="29"/>
      <c r="B1215" s="19"/>
      <c r="C1215" s="31"/>
      <c r="D1215" s="32"/>
      <c r="E1215" s="46"/>
      <c r="F1215" s="43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</row>
    <row r="1216" spans="1:26" ht="23.25" customHeight="1">
      <c r="A1216" s="29"/>
      <c r="B1216" s="19"/>
      <c r="C1216" s="31"/>
      <c r="D1216" s="32"/>
      <c r="E1216" s="46"/>
      <c r="F1216" s="43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</row>
    <row r="1217" spans="1:26" ht="23.25" customHeight="1">
      <c r="A1217" s="29"/>
      <c r="B1217" s="19"/>
      <c r="C1217" s="31"/>
      <c r="D1217" s="32"/>
      <c r="E1217" s="46"/>
      <c r="F1217" s="43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4"/>
      <c r="T1217" s="34"/>
      <c r="U1217" s="34"/>
      <c r="V1217" s="34"/>
      <c r="W1217" s="34"/>
      <c r="X1217" s="34"/>
      <c r="Y1217" s="34"/>
      <c r="Z1217" s="34"/>
    </row>
    <row r="1218" spans="1:26" ht="23.25" customHeight="1">
      <c r="A1218" s="29"/>
      <c r="B1218" s="19"/>
      <c r="C1218" s="31"/>
      <c r="D1218" s="32"/>
      <c r="E1218" s="46"/>
      <c r="F1218" s="43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</row>
    <row r="1219" spans="1:26" ht="23.25" customHeight="1">
      <c r="A1219" s="29"/>
      <c r="B1219" s="19"/>
      <c r="C1219" s="31"/>
      <c r="D1219" s="32"/>
      <c r="E1219" s="46"/>
      <c r="F1219" s="43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</row>
    <row r="1220" spans="1:26" ht="23.25" customHeight="1">
      <c r="A1220" s="29"/>
      <c r="B1220" s="19"/>
      <c r="C1220" s="31"/>
      <c r="D1220" s="32"/>
      <c r="E1220" s="46"/>
      <c r="F1220" s="43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</row>
    <row r="1221" spans="1:26" ht="23.25" customHeight="1">
      <c r="A1221" s="29"/>
      <c r="B1221" s="19"/>
      <c r="C1221" s="31"/>
      <c r="D1221" s="32"/>
      <c r="E1221" s="46"/>
      <c r="F1221" s="43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4"/>
      <c r="T1221" s="34"/>
      <c r="U1221" s="34"/>
      <c r="V1221" s="34"/>
      <c r="W1221" s="34"/>
      <c r="X1221" s="34"/>
      <c r="Y1221" s="34"/>
      <c r="Z1221" s="34"/>
    </row>
    <row r="1222" spans="1:26" ht="23.25" customHeight="1">
      <c r="A1222" s="29"/>
      <c r="B1222" s="19"/>
      <c r="C1222" s="31"/>
      <c r="D1222" s="32"/>
      <c r="E1222" s="46"/>
      <c r="F1222" s="43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</row>
    <row r="1223" spans="1:26" ht="23.25" customHeight="1">
      <c r="A1223" s="29"/>
      <c r="B1223" s="19"/>
      <c r="C1223" s="31"/>
      <c r="D1223" s="32"/>
      <c r="E1223" s="46"/>
      <c r="F1223" s="43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</row>
    <row r="1224" spans="1:26" ht="23.25" customHeight="1">
      <c r="A1224" s="29"/>
      <c r="B1224" s="19"/>
      <c r="C1224" s="31"/>
      <c r="D1224" s="32"/>
      <c r="E1224" s="46"/>
      <c r="F1224" s="43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</row>
    <row r="1225" spans="1:26" ht="23.25" customHeight="1">
      <c r="A1225" s="29"/>
      <c r="B1225" s="19"/>
      <c r="C1225" s="31"/>
      <c r="D1225" s="32"/>
      <c r="E1225" s="46"/>
      <c r="F1225" s="43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4"/>
      <c r="T1225" s="34"/>
      <c r="U1225" s="34"/>
      <c r="V1225" s="34"/>
      <c r="W1225" s="34"/>
      <c r="X1225" s="34"/>
      <c r="Y1225" s="34"/>
      <c r="Z1225" s="34"/>
    </row>
    <row r="1226" spans="1:26" ht="23.25" customHeight="1">
      <c r="A1226" s="29"/>
      <c r="B1226" s="19"/>
      <c r="C1226" s="31"/>
      <c r="D1226" s="32"/>
      <c r="E1226" s="46"/>
      <c r="F1226" s="43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</row>
    <row r="1227" spans="1:26" ht="23.25" customHeight="1">
      <c r="A1227" s="29"/>
      <c r="B1227" s="19"/>
      <c r="C1227" s="31"/>
      <c r="D1227" s="32"/>
      <c r="E1227" s="46"/>
      <c r="F1227" s="43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4"/>
      <c r="T1227" s="34"/>
      <c r="U1227" s="34"/>
      <c r="V1227" s="34"/>
      <c r="W1227" s="34"/>
      <c r="X1227" s="34"/>
      <c r="Y1227" s="34"/>
      <c r="Z1227" s="34"/>
    </row>
    <row r="1228" spans="1:26" ht="23.25" customHeight="1">
      <c r="A1228" s="29"/>
      <c r="B1228" s="19"/>
      <c r="C1228" s="31"/>
      <c r="D1228" s="32"/>
      <c r="E1228" s="46"/>
      <c r="F1228" s="43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</row>
    <row r="1229" spans="1:26" ht="23.25" customHeight="1">
      <c r="A1229" s="29"/>
      <c r="B1229" s="19"/>
      <c r="C1229" s="31"/>
      <c r="D1229" s="32"/>
      <c r="E1229" s="46"/>
      <c r="F1229" s="43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4"/>
      <c r="T1229" s="34"/>
      <c r="U1229" s="34"/>
      <c r="V1229" s="34"/>
      <c r="W1229" s="34"/>
      <c r="X1229" s="34"/>
      <c r="Y1229" s="34"/>
      <c r="Z1229" s="34"/>
    </row>
    <row r="1230" spans="1:26" ht="23.25" customHeight="1">
      <c r="A1230" s="29"/>
      <c r="B1230" s="19"/>
      <c r="C1230" s="31"/>
      <c r="D1230" s="32"/>
      <c r="E1230" s="46"/>
      <c r="F1230" s="43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</row>
    <row r="1231" spans="1:26" ht="23.25" customHeight="1">
      <c r="A1231" s="29"/>
      <c r="B1231" s="19"/>
      <c r="C1231" s="31"/>
      <c r="D1231" s="32"/>
      <c r="E1231" s="46"/>
      <c r="F1231" s="43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</row>
    <row r="1232" spans="1:26" ht="23.25" customHeight="1">
      <c r="A1232" s="29"/>
      <c r="B1232" s="19"/>
      <c r="C1232" s="31"/>
      <c r="D1232" s="32"/>
      <c r="E1232" s="46"/>
      <c r="F1232" s="43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</row>
    <row r="1233" spans="1:26" ht="23.25" customHeight="1">
      <c r="A1233" s="29"/>
      <c r="B1233" s="19"/>
      <c r="C1233" s="31"/>
      <c r="D1233" s="32"/>
      <c r="E1233" s="46"/>
      <c r="F1233" s="43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</row>
    <row r="1234" spans="1:26" ht="23.25" customHeight="1">
      <c r="A1234" s="29"/>
      <c r="B1234" s="19"/>
      <c r="C1234" s="31"/>
      <c r="D1234" s="32"/>
      <c r="E1234" s="46"/>
      <c r="F1234" s="43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</row>
    <row r="1235" spans="1:26" ht="23.25" customHeight="1">
      <c r="A1235" s="29"/>
      <c r="B1235" s="19"/>
      <c r="C1235" s="31"/>
      <c r="D1235" s="32"/>
      <c r="E1235" s="46"/>
      <c r="F1235" s="43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</row>
    <row r="1236" spans="1:26" ht="23.25" customHeight="1">
      <c r="A1236" s="29"/>
      <c r="B1236" s="19"/>
      <c r="C1236" s="31"/>
      <c r="D1236" s="32"/>
      <c r="E1236" s="46"/>
      <c r="F1236" s="43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</row>
    <row r="1237" spans="1:26" ht="23.25" customHeight="1">
      <c r="A1237" s="29"/>
      <c r="B1237" s="19"/>
      <c r="C1237" s="31"/>
      <c r="D1237" s="32"/>
      <c r="E1237" s="46"/>
      <c r="F1237" s="43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</row>
    <row r="1238" spans="1:26" ht="23.25" customHeight="1">
      <c r="A1238" s="29"/>
      <c r="B1238" s="19"/>
      <c r="C1238" s="31"/>
      <c r="D1238" s="32"/>
      <c r="E1238" s="46"/>
      <c r="F1238" s="43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</row>
    <row r="1239" spans="1:26" ht="23.25" customHeight="1">
      <c r="A1239" s="29"/>
      <c r="B1239" s="19"/>
      <c r="C1239" s="31"/>
      <c r="D1239" s="32"/>
      <c r="E1239" s="46"/>
      <c r="F1239" s="43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</row>
    <row r="1240" spans="1:26" ht="23.25" customHeight="1">
      <c r="A1240" s="29"/>
      <c r="B1240" s="19"/>
      <c r="C1240" s="31"/>
      <c r="D1240" s="32"/>
      <c r="E1240" s="46"/>
      <c r="F1240" s="43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</row>
    <row r="1241" spans="1:26" ht="23.25" customHeight="1">
      <c r="A1241" s="29"/>
      <c r="B1241" s="19"/>
      <c r="C1241" s="31"/>
      <c r="D1241" s="32"/>
      <c r="E1241" s="46"/>
      <c r="F1241" s="43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4"/>
      <c r="T1241" s="34"/>
      <c r="U1241" s="34"/>
      <c r="V1241" s="34"/>
      <c r="W1241" s="34"/>
      <c r="X1241" s="34"/>
      <c r="Y1241" s="34"/>
      <c r="Z1241" s="34"/>
    </row>
    <row r="1242" spans="1:26" ht="23.25" customHeight="1">
      <c r="A1242" s="29"/>
      <c r="B1242" s="19"/>
      <c r="C1242" s="31"/>
      <c r="D1242" s="32"/>
      <c r="E1242" s="46"/>
      <c r="F1242" s="43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</row>
    <row r="1243" spans="1:26" ht="23.25" customHeight="1">
      <c r="A1243" s="29"/>
      <c r="B1243" s="19"/>
      <c r="C1243" s="31"/>
      <c r="D1243" s="32"/>
      <c r="E1243" s="46"/>
      <c r="F1243" s="43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</row>
    <row r="1244" spans="1:26" ht="23.25" customHeight="1">
      <c r="A1244" s="29"/>
      <c r="B1244" s="19"/>
      <c r="C1244" s="31"/>
      <c r="D1244" s="32"/>
      <c r="E1244" s="46"/>
      <c r="F1244" s="43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</row>
    <row r="1245" spans="1:26" ht="23.25" customHeight="1">
      <c r="A1245" s="29"/>
      <c r="B1245" s="19"/>
      <c r="C1245" s="31"/>
      <c r="D1245" s="32"/>
      <c r="E1245" s="46"/>
      <c r="F1245" s="43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</row>
    <row r="1246" spans="1:26" ht="23.25" customHeight="1">
      <c r="A1246" s="29"/>
      <c r="B1246" s="19"/>
      <c r="C1246" s="31"/>
      <c r="D1246" s="32"/>
      <c r="E1246" s="46"/>
      <c r="F1246" s="43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</row>
    <row r="1247" spans="1:26" ht="23.25" customHeight="1">
      <c r="A1247" s="29"/>
      <c r="B1247" s="19"/>
      <c r="C1247" s="31"/>
      <c r="D1247" s="32"/>
      <c r="E1247" s="46"/>
      <c r="F1247" s="43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4"/>
      <c r="T1247" s="34"/>
      <c r="U1247" s="34"/>
      <c r="V1247" s="34"/>
      <c r="W1247" s="34"/>
      <c r="X1247" s="34"/>
      <c r="Y1247" s="34"/>
      <c r="Z1247" s="34"/>
    </row>
    <row r="1248" spans="1:26" ht="23.25" customHeight="1">
      <c r="A1248" s="29"/>
      <c r="B1248" s="19"/>
      <c r="C1248" s="31"/>
      <c r="D1248" s="32"/>
      <c r="E1248" s="46"/>
      <c r="F1248" s="43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</row>
    <row r="1249" spans="1:26" ht="23.25" customHeight="1">
      <c r="A1249" s="29"/>
      <c r="B1249" s="19"/>
      <c r="C1249" s="31"/>
      <c r="D1249" s="32"/>
      <c r="E1249" s="46"/>
      <c r="F1249" s="43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4"/>
      <c r="T1249" s="34"/>
      <c r="U1249" s="34"/>
      <c r="V1249" s="34"/>
      <c r="W1249" s="34"/>
      <c r="X1249" s="34"/>
      <c r="Y1249" s="34"/>
      <c r="Z1249" s="34"/>
    </row>
    <row r="1250" spans="1:26" ht="23.25" customHeight="1">
      <c r="A1250" s="29"/>
      <c r="B1250" s="19"/>
      <c r="C1250" s="31"/>
      <c r="D1250" s="32"/>
      <c r="E1250" s="46"/>
      <c r="F1250" s="43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</row>
    <row r="1251" spans="1:26" ht="23.25" customHeight="1">
      <c r="A1251" s="29"/>
      <c r="B1251" s="19"/>
      <c r="C1251" s="31"/>
      <c r="D1251" s="32"/>
      <c r="E1251" s="46"/>
      <c r="F1251" s="43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</row>
    <row r="1252" spans="1:26" ht="23.25" customHeight="1">
      <c r="A1252" s="29"/>
      <c r="B1252" s="19"/>
      <c r="C1252" s="31"/>
      <c r="D1252" s="32"/>
      <c r="E1252" s="46"/>
      <c r="F1252" s="43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</row>
    <row r="1253" spans="1:26" ht="23.25" customHeight="1">
      <c r="A1253" s="29"/>
      <c r="B1253" s="19"/>
      <c r="C1253" s="31"/>
      <c r="D1253" s="32"/>
      <c r="E1253" s="46"/>
      <c r="F1253" s="43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</row>
    <row r="1254" spans="1:26" ht="23.25" customHeight="1">
      <c r="A1254" s="29"/>
      <c r="B1254" s="19"/>
      <c r="C1254" s="31"/>
      <c r="D1254" s="32"/>
      <c r="E1254" s="46"/>
      <c r="F1254" s="43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</row>
    <row r="1255" spans="1:26" ht="23.25" customHeight="1">
      <c r="A1255" s="29"/>
      <c r="B1255" s="19"/>
      <c r="C1255" s="31"/>
      <c r="D1255" s="32"/>
      <c r="E1255" s="46"/>
      <c r="F1255" s="43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</row>
    <row r="1256" spans="1:26" ht="23.25" customHeight="1">
      <c r="A1256" s="29"/>
      <c r="B1256" s="19"/>
      <c r="C1256" s="31"/>
      <c r="D1256" s="32"/>
      <c r="E1256" s="46"/>
      <c r="F1256" s="43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</row>
    <row r="1257" spans="1:26" ht="23.25" customHeight="1">
      <c r="A1257" s="29"/>
      <c r="B1257" s="19"/>
      <c r="C1257" s="31"/>
      <c r="D1257" s="32"/>
      <c r="E1257" s="46"/>
      <c r="F1257" s="43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</row>
    <row r="1258" spans="1:26" ht="23.25" customHeight="1">
      <c r="A1258" s="29"/>
      <c r="B1258" s="19"/>
      <c r="C1258" s="31"/>
      <c r="D1258" s="32"/>
      <c r="E1258" s="46"/>
      <c r="F1258" s="43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</row>
    <row r="1259" spans="1:26" ht="23.25" customHeight="1">
      <c r="A1259" s="29"/>
      <c r="B1259" s="19"/>
      <c r="C1259" s="31"/>
      <c r="D1259" s="32"/>
      <c r="E1259" s="46"/>
      <c r="F1259" s="43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</row>
    <row r="1260" spans="1:26" ht="23.25" customHeight="1">
      <c r="A1260" s="29"/>
      <c r="B1260" s="19"/>
      <c r="C1260" s="31"/>
      <c r="D1260" s="32"/>
      <c r="E1260" s="46"/>
      <c r="F1260" s="43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</row>
    <row r="1261" spans="1:26" ht="23.25" customHeight="1">
      <c r="A1261" s="29"/>
      <c r="B1261" s="19"/>
      <c r="C1261" s="31"/>
      <c r="D1261" s="32"/>
      <c r="E1261" s="46"/>
      <c r="F1261" s="43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</row>
    <row r="1262" spans="1:26" ht="23.25" customHeight="1">
      <c r="A1262" s="29"/>
      <c r="B1262" s="19"/>
      <c r="C1262" s="31"/>
      <c r="D1262" s="32"/>
      <c r="E1262" s="46"/>
      <c r="F1262" s="43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</row>
    <row r="1263" spans="1:26" ht="23.25" customHeight="1">
      <c r="A1263" s="29"/>
      <c r="B1263" s="19"/>
      <c r="C1263" s="31"/>
      <c r="D1263" s="32"/>
      <c r="E1263" s="46"/>
      <c r="F1263" s="43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</row>
    <row r="1264" spans="1:26" ht="23.25" customHeight="1">
      <c r="A1264" s="29"/>
      <c r="B1264" s="19"/>
      <c r="C1264" s="31"/>
      <c r="D1264" s="32"/>
      <c r="E1264" s="46"/>
      <c r="F1264" s="43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</row>
    <row r="1265" spans="1:26" ht="23.25" customHeight="1">
      <c r="A1265" s="29"/>
      <c r="B1265" s="19"/>
      <c r="C1265" s="31"/>
      <c r="D1265" s="32"/>
      <c r="E1265" s="46"/>
      <c r="F1265" s="43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</row>
    <row r="1266" spans="1:26" ht="23.25" customHeight="1">
      <c r="A1266" s="29"/>
      <c r="B1266" s="19"/>
      <c r="C1266" s="31"/>
      <c r="D1266" s="32"/>
      <c r="E1266" s="46"/>
      <c r="F1266" s="43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</row>
    <row r="1267" spans="1:26" ht="23.25" customHeight="1">
      <c r="A1267" s="29"/>
      <c r="B1267" s="19"/>
      <c r="C1267" s="31"/>
      <c r="D1267" s="32"/>
      <c r="E1267" s="46"/>
      <c r="F1267" s="43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</row>
    <row r="1268" spans="1:26" ht="23.25" customHeight="1">
      <c r="A1268" s="29"/>
      <c r="B1268" s="19"/>
      <c r="C1268" s="31"/>
      <c r="D1268" s="32"/>
      <c r="E1268" s="46"/>
      <c r="F1268" s="43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</row>
    <row r="1269" spans="1:26" ht="23.25" customHeight="1">
      <c r="A1269" s="29"/>
      <c r="B1269" s="19"/>
      <c r="C1269" s="31"/>
      <c r="D1269" s="32"/>
      <c r="E1269" s="46"/>
      <c r="F1269" s="43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</row>
    <row r="1270" spans="1:26" ht="23.25" customHeight="1">
      <c r="A1270" s="29"/>
      <c r="B1270" s="19"/>
      <c r="C1270" s="31"/>
      <c r="D1270" s="32"/>
      <c r="E1270" s="46"/>
      <c r="F1270" s="43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</row>
    <row r="1271" spans="1:26" ht="23.25" customHeight="1">
      <c r="A1271" s="29"/>
      <c r="B1271" s="19"/>
      <c r="C1271" s="31"/>
      <c r="D1271" s="32"/>
      <c r="E1271" s="46"/>
      <c r="F1271" s="43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4"/>
      <c r="T1271" s="34"/>
      <c r="U1271" s="34"/>
      <c r="V1271" s="34"/>
      <c r="W1271" s="34"/>
      <c r="X1271" s="34"/>
      <c r="Y1271" s="34"/>
      <c r="Z1271" s="34"/>
    </row>
    <row r="1272" spans="1:26" ht="23.25" customHeight="1">
      <c r="A1272" s="29"/>
      <c r="B1272" s="19"/>
      <c r="C1272" s="31"/>
      <c r="D1272" s="32"/>
      <c r="E1272" s="46"/>
      <c r="F1272" s="43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</row>
    <row r="1273" spans="1:26" ht="23.25" customHeight="1">
      <c r="A1273" s="29"/>
      <c r="B1273" s="19"/>
      <c r="C1273" s="31"/>
      <c r="D1273" s="32"/>
      <c r="E1273" s="46"/>
      <c r="F1273" s="43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</row>
    <row r="1274" spans="1:26" ht="23.25" customHeight="1">
      <c r="A1274" s="29"/>
      <c r="B1274" s="19"/>
      <c r="C1274" s="31"/>
      <c r="D1274" s="32"/>
      <c r="E1274" s="46"/>
      <c r="F1274" s="43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</row>
    <row r="1275" spans="1:26" ht="23.25" customHeight="1">
      <c r="A1275" s="29"/>
      <c r="B1275" s="19"/>
      <c r="C1275" s="31"/>
      <c r="D1275" s="32"/>
      <c r="E1275" s="46"/>
      <c r="F1275" s="43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4"/>
      <c r="T1275" s="34"/>
      <c r="U1275" s="34"/>
      <c r="V1275" s="34"/>
      <c r="W1275" s="34"/>
      <c r="X1275" s="34"/>
      <c r="Y1275" s="34"/>
      <c r="Z1275" s="34"/>
    </row>
    <row r="1276" spans="1:26" ht="23.25" customHeight="1">
      <c r="A1276" s="29"/>
      <c r="B1276" s="19"/>
      <c r="C1276" s="31"/>
      <c r="D1276" s="32"/>
      <c r="E1276" s="46"/>
      <c r="F1276" s="43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</row>
    <row r="1277" spans="1:26" ht="23.25" customHeight="1">
      <c r="A1277" s="29"/>
      <c r="B1277" s="19"/>
      <c r="C1277" s="31"/>
      <c r="D1277" s="32"/>
      <c r="E1277" s="46"/>
      <c r="F1277" s="43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</row>
    <row r="1278" spans="1:26" ht="23.25" customHeight="1">
      <c r="A1278" s="29"/>
      <c r="B1278" s="19"/>
      <c r="C1278" s="31"/>
      <c r="D1278" s="32"/>
      <c r="E1278" s="46"/>
      <c r="F1278" s="43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</row>
    <row r="1279" spans="1:26" ht="23.25" customHeight="1">
      <c r="A1279" s="29"/>
      <c r="B1279" s="19"/>
      <c r="C1279" s="31"/>
      <c r="D1279" s="32"/>
      <c r="E1279" s="46"/>
      <c r="F1279" s="43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  <c r="V1279" s="34"/>
      <c r="W1279" s="34"/>
      <c r="X1279" s="34"/>
      <c r="Y1279" s="34"/>
      <c r="Z1279" s="34"/>
    </row>
    <row r="1280" spans="1:26" ht="23.25" customHeight="1">
      <c r="A1280" s="29"/>
      <c r="B1280" s="19"/>
      <c r="C1280" s="31"/>
      <c r="D1280" s="32"/>
      <c r="E1280" s="46"/>
      <c r="F1280" s="43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</row>
    <row r="1281" spans="1:26" ht="23.25" customHeight="1">
      <c r="A1281" s="29"/>
      <c r="B1281" s="19"/>
      <c r="C1281" s="31"/>
      <c r="D1281" s="32"/>
      <c r="E1281" s="46"/>
      <c r="F1281" s="43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</row>
    <row r="1282" spans="1:26" ht="23.25" customHeight="1">
      <c r="A1282" s="29"/>
      <c r="B1282" s="19"/>
      <c r="C1282" s="31"/>
      <c r="D1282" s="32"/>
      <c r="E1282" s="46"/>
      <c r="F1282" s="43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</row>
    <row r="1283" spans="1:26" ht="23.25" customHeight="1">
      <c r="A1283" s="29"/>
      <c r="B1283" s="19"/>
      <c r="C1283" s="31"/>
      <c r="D1283" s="32"/>
      <c r="E1283" s="46"/>
      <c r="F1283" s="43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4"/>
      <c r="T1283" s="34"/>
      <c r="U1283" s="34"/>
      <c r="V1283" s="34"/>
      <c r="W1283" s="34"/>
      <c r="X1283" s="34"/>
      <c r="Y1283" s="34"/>
      <c r="Z1283" s="34"/>
    </row>
    <row r="1284" spans="1:26" ht="23.25" customHeight="1">
      <c r="A1284" s="29"/>
      <c r="B1284" s="19"/>
      <c r="C1284" s="31"/>
      <c r="D1284" s="32"/>
      <c r="E1284" s="46"/>
      <c r="F1284" s="43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</row>
    <row r="1285" spans="1:26" ht="23.25" customHeight="1">
      <c r="A1285" s="29"/>
      <c r="B1285" s="19"/>
      <c r="C1285" s="31"/>
      <c r="D1285" s="32"/>
      <c r="E1285" s="46"/>
      <c r="F1285" s="43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4"/>
      <c r="T1285" s="34"/>
      <c r="U1285" s="34"/>
      <c r="V1285" s="34"/>
      <c r="W1285" s="34"/>
      <c r="X1285" s="34"/>
      <c r="Y1285" s="34"/>
      <c r="Z1285" s="34"/>
    </row>
    <row r="1286" spans="1:26" ht="23.25" customHeight="1">
      <c r="A1286" s="29"/>
      <c r="B1286" s="19"/>
      <c r="C1286" s="31"/>
      <c r="D1286" s="32"/>
      <c r="E1286" s="46"/>
      <c r="F1286" s="43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</row>
    <row r="1287" spans="1:26" ht="23.25" customHeight="1">
      <c r="A1287" s="29"/>
      <c r="B1287" s="19"/>
      <c r="C1287" s="31"/>
      <c r="D1287" s="32"/>
      <c r="E1287" s="46"/>
      <c r="F1287" s="43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</row>
    <row r="1288" spans="1:26" ht="23.25" customHeight="1">
      <c r="A1288" s="29"/>
      <c r="B1288" s="19"/>
      <c r="C1288" s="31"/>
      <c r="D1288" s="32"/>
      <c r="E1288" s="46"/>
      <c r="F1288" s="43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</row>
    <row r="1289" spans="1:26" ht="23.25" customHeight="1">
      <c r="A1289" s="29"/>
      <c r="B1289" s="19"/>
      <c r="C1289" s="31"/>
      <c r="D1289" s="32"/>
      <c r="E1289" s="46"/>
      <c r="F1289" s="43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</row>
    <row r="1290" spans="1:26" ht="23.25" customHeight="1">
      <c r="A1290" s="29"/>
      <c r="B1290" s="19"/>
      <c r="C1290" s="31"/>
      <c r="D1290" s="32"/>
      <c r="E1290" s="46"/>
      <c r="F1290" s="43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</row>
    <row r="1291" spans="1:26" ht="23.25" customHeight="1">
      <c r="A1291" s="29"/>
      <c r="B1291" s="19"/>
      <c r="C1291" s="31"/>
      <c r="D1291" s="32"/>
      <c r="E1291" s="46"/>
      <c r="F1291" s="43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</row>
    <row r="1292" spans="1:26" ht="23.25" customHeight="1">
      <c r="A1292" s="29"/>
      <c r="B1292" s="19"/>
      <c r="C1292" s="31"/>
      <c r="D1292" s="32"/>
      <c r="E1292" s="46"/>
      <c r="F1292" s="43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</row>
    <row r="1293" spans="1:26" ht="23.25" customHeight="1">
      <c r="A1293" s="29"/>
      <c r="B1293" s="19"/>
      <c r="C1293" s="31"/>
      <c r="D1293" s="32"/>
      <c r="E1293" s="46"/>
      <c r="F1293" s="43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  <c r="V1293" s="34"/>
      <c r="W1293" s="34"/>
      <c r="X1293" s="34"/>
      <c r="Y1293" s="34"/>
      <c r="Z1293" s="34"/>
    </row>
    <row r="1294" spans="1:26" ht="23.25" customHeight="1">
      <c r="A1294" s="29"/>
      <c r="B1294" s="19"/>
      <c r="C1294" s="31"/>
      <c r="D1294" s="32"/>
      <c r="E1294" s="46"/>
      <c r="F1294" s="43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</row>
    <row r="1295" spans="1:26" ht="23.25" customHeight="1">
      <c r="A1295" s="29"/>
      <c r="B1295" s="19"/>
      <c r="C1295" s="31"/>
      <c r="D1295" s="32"/>
      <c r="E1295" s="46"/>
      <c r="F1295" s="43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</row>
    <row r="1296" spans="1:26" ht="23.25" customHeight="1">
      <c r="A1296" s="29"/>
      <c r="B1296" s="19"/>
      <c r="C1296" s="31"/>
      <c r="D1296" s="32"/>
      <c r="E1296" s="46"/>
      <c r="F1296" s="43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</row>
    <row r="1297" spans="1:26" ht="23.25" customHeight="1">
      <c r="A1297" s="29"/>
      <c r="B1297" s="19"/>
      <c r="C1297" s="31"/>
      <c r="D1297" s="32"/>
      <c r="E1297" s="46"/>
      <c r="F1297" s="43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</row>
    <row r="1298" spans="1:26" ht="23.25" customHeight="1">
      <c r="A1298" s="29"/>
      <c r="B1298" s="19"/>
      <c r="C1298" s="31"/>
      <c r="D1298" s="32"/>
      <c r="E1298" s="46"/>
      <c r="F1298" s="43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</row>
    <row r="1299" spans="1:26" ht="23.25" customHeight="1">
      <c r="A1299" s="29"/>
      <c r="B1299" s="19"/>
      <c r="C1299" s="31"/>
      <c r="D1299" s="32"/>
      <c r="E1299" s="46"/>
      <c r="F1299" s="43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</row>
    <row r="1300" spans="1:26" ht="23.25" customHeight="1">
      <c r="A1300" s="29"/>
      <c r="B1300" s="19"/>
      <c r="C1300" s="31"/>
      <c r="D1300" s="32"/>
      <c r="E1300" s="46"/>
      <c r="F1300" s="43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</row>
    <row r="1301" spans="1:26" ht="23.25" customHeight="1">
      <c r="A1301" s="29"/>
      <c r="B1301" s="19"/>
      <c r="C1301" s="31"/>
      <c r="D1301" s="32"/>
      <c r="E1301" s="46"/>
      <c r="F1301" s="43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</row>
    <row r="1302" spans="1:26" ht="23.25" customHeight="1">
      <c r="A1302" s="29"/>
      <c r="B1302" s="19"/>
      <c r="C1302" s="31"/>
      <c r="D1302" s="32"/>
      <c r="E1302" s="46"/>
      <c r="F1302" s="43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</row>
    <row r="1303" spans="1:26" ht="23.25" customHeight="1">
      <c r="A1303" s="29"/>
      <c r="B1303" s="19"/>
      <c r="C1303" s="31"/>
      <c r="D1303" s="32"/>
      <c r="E1303" s="46"/>
      <c r="F1303" s="43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</row>
    <row r="1304" spans="1:26" ht="23.25" customHeight="1">
      <c r="A1304" s="29"/>
      <c r="B1304" s="19"/>
      <c r="C1304" s="31"/>
      <c r="D1304" s="32"/>
      <c r="E1304" s="46"/>
      <c r="F1304" s="43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</row>
    <row r="1305" spans="1:26" ht="23.25" customHeight="1">
      <c r="A1305" s="29"/>
      <c r="B1305" s="19"/>
      <c r="C1305" s="31"/>
      <c r="D1305" s="32"/>
      <c r="E1305" s="46"/>
      <c r="F1305" s="43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  <c r="W1305" s="34"/>
      <c r="X1305" s="34"/>
      <c r="Y1305" s="34"/>
      <c r="Z1305" s="34"/>
    </row>
    <row r="1306" spans="1:26" ht="23.25" customHeight="1">
      <c r="A1306" s="29"/>
      <c r="B1306" s="19"/>
      <c r="C1306" s="31"/>
      <c r="D1306" s="32"/>
      <c r="E1306" s="46"/>
      <c r="F1306" s="43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</row>
    <row r="1307" spans="1:26" ht="23.25" customHeight="1">
      <c r="A1307" s="29"/>
      <c r="B1307" s="19"/>
      <c r="C1307" s="31"/>
      <c r="D1307" s="32"/>
      <c r="E1307" s="46"/>
      <c r="F1307" s="43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4"/>
      <c r="T1307" s="34"/>
      <c r="U1307" s="34"/>
      <c r="V1307" s="34"/>
      <c r="W1307" s="34"/>
      <c r="X1307" s="34"/>
      <c r="Y1307" s="34"/>
      <c r="Z1307" s="34"/>
    </row>
    <row r="1308" spans="1:26" ht="23.25" customHeight="1">
      <c r="A1308" s="29"/>
      <c r="B1308" s="19"/>
      <c r="C1308" s="31"/>
      <c r="D1308" s="32"/>
      <c r="E1308" s="46"/>
      <c r="F1308" s="43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</row>
    <row r="1309" spans="1:26" ht="23.25" customHeight="1">
      <c r="A1309" s="29"/>
      <c r="B1309" s="19"/>
      <c r="C1309" s="31"/>
      <c r="D1309" s="32"/>
      <c r="E1309" s="46"/>
      <c r="F1309" s="43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</row>
    <row r="1310" spans="1:26" ht="23.25" customHeight="1">
      <c r="A1310" s="29"/>
      <c r="B1310" s="19"/>
      <c r="C1310" s="31"/>
      <c r="D1310" s="32"/>
      <c r="E1310" s="46"/>
      <c r="F1310" s="43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</row>
    <row r="1311" spans="1:26" ht="23.25" customHeight="1">
      <c r="A1311" s="29"/>
      <c r="B1311" s="19"/>
      <c r="C1311" s="31"/>
      <c r="D1311" s="32"/>
      <c r="E1311" s="46"/>
      <c r="F1311" s="43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</row>
    <row r="1312" spans="1:26" ht="23.25" customHeight="1">
      <c r="A1312" s="29"/>
      <c r="B1312" s="19"/>
      <c r="C1312" s="31"/>
      <c r="D1312" s="32"/>
      <c r="E1312" s="46"/>
      <c r="F1312" s="43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</row>
    <row r="1313" spans="1:26" ht="23.25" customHeight="1">
      <c r="A1313" s="29"/>
      <c r="B1313" s="19"/>
      <c r="C1313" s="31"/>
      <c r="D1313" s="32"/>
      <c r="E1313" s="46"/>
      <c r="F1313" s="43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</row>
    <row r="1314" spans="1:26" ht="23.25" customHeight="1">
      <c r="A1314" s="29"/>
      <c r="B1314" s="19"/>
      <c r="C1314" s="31"/>
      <c r="D1314" s="32"/>
      <c r="E1314" s="46"/>
      <c r="F1314" s="43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</row>
    <row r="1315" spans="1:26" ht="23.25" customHeight="1">
      <c r="A1315" s="29"/>
      <c r="B1315" s="19"/>
      <c r="C1315" s="31"/>
      <c r="D1315" s="32"/>
      <c r="E1315" s="46"/>
      <c r="F1315" s="43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</row>
    <row r="1316" spans="1:26" ht="23.25" customHeight="1">
      <c r="A1316" s="29"/>
      <c r="B1316" s="19"/>
      <c r="C1316" s="31"/>
      <c r="D1316" s="32"/>
      <c r="E1316" s="46"/>
      <c r="F1316" s="43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</row>
    <row r="1317" spans="1:26" ht="23.25" customHeight="1">
      <c r="A1317" s="29"/>
      <c r="B1317" s="19"/>
      <c r="C1317" s="31"/>
      <c r="D1317" s="32"/>
      <c r="E1317" s="46"/>
      <c r="F1317" s="43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</row>
    <row r="1318" spans="1:26" ht="23.25" customHeight="1">
      <c r="A1318" s="29"/>
      <c r="B1318" s="19"/>
      <c r="C1318" s="31"/>
      <c r="D1318" s="32"/>
      <c r="E1318" s="46"/>
      <c r="F1318" s="43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</row>
    <row r="1319" spans="1:26" ht="23.25" customHeight="1">
      <c r="A1319" s="29"/>
      <c r="B1319" s="19"/>
      <c r="C1319" s="31"/>
      <c r="D1319" s="32"/>
      <c r="E1319" s="46"/>
      <c r="F1319" s="43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</row>
    <row r="1320" spans="1:26" ht="23.25" customHeight="1">
      <c r="A1320" s="29"/>
      <c r="B1320" s="19"/>
      <c r="C1320" s="31"/>
      <c r="D1320" s="32"/>
      <c r="E1320" s="46"/>
      <c r="F1320" s="43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</row>
    <row r="1321" spans="1:26" ht="23.25" customHeight="1">
      <c r="A1321" s="29"/>
      <c r="B1321" s="19"/>
      <c r="C1321" s="31"/>
      <c r="D1321" s="32"/>
      <c r="E1321" s="46"/>
      <c r="F1321" s="43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4"/>
      <c r="T1321" s="34"/>
      <c r="U1321" s="34"/>
      <c r="V1321" s="34"/>
      <c r="W1321" s="34"/>
      <c r="X1321" s="34"/>
      <c r="Y1321" s="34"/>
      <c r="Z1321" s="34"/>
    </row>
    <row r="1322" spans="1:26" ht="23.25" customHeight="1">
      <c r="A1322" s="29"/>
      <c r="B1322" s="19"/>
      <c r="C1322" s="31"/>
      <c r="D1322" s="32"/>
      <c r="E1322" s="46"/>
      <c r="F1322" s="43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</row>
    <row r="1323" spans="1:26" ht="23.25" customHeight="1">
      <c r="A1323" s="29"/>
      <c r="B1323" s="19"/>
      <c r="C1323" s="31"/>
      <c r="D1323" s="32"/>
      <c r="E1323" s="46"/>
      <c r="F1323" s="43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4"/>
      <c r="T1323" s="34"/>
      <c r="U1323" s="34"/>
      <c r="V1323" s="34"/>
      <c r="W1323" s="34"/>
      <c r="X1323" s="34"/>
      <c r="Y1323" s="34"/>
      <c r="Z1323" s="34"/>
    </row>
    <row r="1324" spans="1:26" ht="23.25" customHeight="1">
      <c r="A1324" s="29"/>
      <c r="B1324" s="19"/>
      <c r="C1324" s="31"/>
      <c r="D1324" s="32"/>
      <c r="E1324" s="46"/>
      <c r="F1324" s="43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</row>
    <row r="1325" spans="1:26" ht="23.25" customHeight="1">
      <c r="A1325" s="29"/>
      <c r="B1325" s="19"/>
      <c r="C1325" s="31"/>
      <c r="D1325" s="32"/>
      <c r="E1325" s="46"/>
      <c r="F1325" s="43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  <c r="V1325" s="34"/>
      <c r="W1325" s="34"/>
      <c r="X1325" s="34"/>
      <c r="Y1325" s="34"/>
      <c r="Z1325" s="34"/>
    </row>
    <row r="1326" spans="1:26" ht="23.25" customHeight="1">
      <c r="A1326" s="29"/>
      <c r="B1326" s="19"/>
      <c r="C1326" s="31"/>
      <c r="D1326" s="32"/>
      <c r="E1326" s="46"/>
      <c r="F1326" s="43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</row>
    <row r="1327" spans="1:26" ht="23.25" customHeight="1">
      <c r="A1327" s="29"/>
      <c r="B1327" s="19"/>
      <c r="C1327" s="31"/>
      <c r="D1327" s="32"/>
      <c r="E1327" s="46"/>
      <c r="F1327" s="43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4"/>
      <c r="T1327" s="34"/>
      <c r="U1327" s="34"/>
      <c r="V1327" s="34"/>
      <c r="W1327" s="34"/>
      <c r="X1327" s="34"/>
      <c r="Y1327" s="34"/>
      <c r="Z1327" s="34"/>
    </row>
    <row r="1328" spans="1:26" ht="23.25" customHeight="1">
      <c r="A1328" s="29"/>
      <c r="B1328" s="19"/>
      <c r="C1328" s="31"/>
      <c r="D1328" s="32"/>
      <c r="E1328" s="46"/>
      <c r="F1328" s="43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</row>
    <row r="1329" spans="1:26" ht="23.25" customHeight="1">
      <c r="A1329" s="29"/>
      <c r="B1329" s="19"/>
      <c r="C1329" s="31"/>
      <c r="D1329" s="32"/>
      <c r="E1329" s="46"/>
      <c r="F1329" s="43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4"/>
      <c r="T1329" s="34"/>
      <c r="U1329" s="34"/>
      <c r="V1329" s="34"/>
      <c r="W1329" s="34"/>
      <c r="X1329" s="34"/>
      <c r="Y1329" s="34"/>
      <c r="Z1329" s="34"/>
    </row>
    <row r="1330" spans="1:26" ht="23.25" customHeight="1">
      <c r="A1330" s="29"/>
      <c r="B1330" s="19"/>
      <c r="C1330" s="31"/>
      <c r="D1330" s="32"/>
      <c r="E1330" s="46"/>
      <c r="F1330" s="43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</row>
    <row r="1331" spans="1:26" ht="23.25" customHeight="1">
      <c r="A1331" s="29"/>
      <c r="B1331" s="19"/>
      <c r="C1331" s="31"/>
      <c r="D1331" s="32"/>
      <c r="E1331" s="46"/>
      <c r="F1331" s="43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4"/>
      <c r="T1331" s="34"/>
      <c r="U1331" s="34"/>
      <c r="V1331" s="34"/>
      <c r="W1331" s="34"/>
      <c r="X1331" s="34"/>
      <c r="Y1331" s="34"/>
      <c r="Z1331" s="34"/>
    </row>
    <row r="1332" spans="1:26" ht="23.25" customHeight="1">
      <c r="A1332" s="29"/>
      <c r="B1332" s="19"/>
      <c r="C1332" s="31"/>
      <c r="D1332" s="32"/>
      <c r="E1332" s="46"/>
      <c r="F1332" s="43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</row>
    <row r="1333" spans="1:26" ht="23.25" customHeight="1">
      <c r="A1333" s="29"/>
      <c r="B1333" s="19"/>
      <c r="C1333" s="31"/>
      <c r="D1333" s="32"/>
      <c r="E1333" s="46"/>
      <c r="F1333" s="43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4"/>
      <c r="T1333" s="34"/>
      <c r="U1333" s="34"/>
      <c r="V1333" s="34"/>
      <c r="W1333" s="34"/>
      <c r="X1333" s="34"/>
      <c r="Y1333" s="34"/>
      <c r="Z1333" s="34"/>
    </row>
    <row r="1334" spans="1:26" ht="23.25" customHeight="1">
      <c r="A1334" s="29"/>
      <c r="B1334" s="19"/>
      <c r="C1334" s="31"/>
      <c r="D1334" s="32"/>
      <c r="E1334" s="46"/>
      <c r="F1334" s="43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</row>
    <row r="1335" spans="1:26" ht="23.25" customHeight="1">
      <c r="A1335" s="29"/>
      <c r="B1335" s="19"/>
      <c r="C1335" s="31"/>
      <c r="D1335" s="32"/>
      <c r="E1335" s="46"/>
      <c r="F1335" s="43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4"/>
      <c r="T1335" s="34"/>
      <c r="U1335" s="34"/>
      <c r="V1335" s="34"/>
      <c r="W1335" s="34"/>
      <c r="X1335" s="34"/>
      <c r="Y1335" s="34"/>
      <c r="Z1335" s="34"/>
    </row>
    <row r="1336" spans="1:26" ht="23.25" customHeight="1">
      <c r="A1336" s="29"/>
      <c r="B1336" s="19"/>
      <c r="C1336" s="31"/>
      <c r="D1336" s="32"/>
      <c r="E1336" s="46"/>
      <c r="F1336" s="43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</row>
    <row r="1337" spans="1:26" ht="23.25" customHeight="1">
      <c r="A1337" s="29"/>
      <c r="B1337" s="19"/>
      <c r="C1337" s="31"/>
      <c r="D1337" s="32"/>
      <c r="E1337" s="46"/>
      <c r="F1337" s="43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4"/>
      <c r="T1337" s="34"/>
      <c r="U1337" s="34"/>
      <c r="V1337" s="34"/>
      <c r="W1337" s="34"/>
      <c r="X1337" s="34"/>
      <c r="Y1337" s="34"/>
      <c r="Z1337" s="34"/>
    </row>
    <row r="1338" spans="1:26" ht="23.25" customHeight="1">
      <c r="A1338" s="29"/>
      <c r="B1338" s="19"/>
      <c r="C1338" s="31"/>
      <c r="D1338" s="32"/>
      <c r="E1338" s="46"/>
      <c r="F1338" s="43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</row>
    <row r="1339" spans="1:26" ht="23.25" customHeight="1">
      <c r="A1339" s="29"/>
      <c r="B1339" s="19"/>
      <c r="C1339" s="31"/>
      <c r="D1339" s="32"/>
      <c r="E1339" s="46"/>
      <c r="F1339" s="43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4"/>
      <c r="T1339" s="34"/>
      <c r="U1339" s="34"/>
      <c r="V1339" s="34"/>
      <c r="W1339" s="34"/>
      <c r="X1339" s="34"/>
      <c r="Y1339" s="34"/>
      <c r="Z1339" s="34"/>
    </row>
    <row r="1340" spans="1:26" ht="23.25" customHeight="1">
      <c r="A1340" s="29"/>
      <c r="B1340" s="19"/>
      <c r="C1340" s="31"/>
      <c r="D1340" s="32"/>
      <c r="E1340" s="46"/>
      <c r="F1340" s="43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</row>
    <row r="1341" spans="1:26" ht="23.25" customHeight="1">
      <c r="A1341" s="29"/>
      <c r="B1341" s="19"/>
      <c r="C1341" s="31"/>
      <c r="D1341" s="32"/>
      <c r="E1341" s="46"/>
      <c r="F1341" s="43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4"/>
      <c r="T1341" s="34"/>
      <c r="U1341" s="34"/>
      <c r="V1341" s="34"/>
      <c r="W1341" s="34"/>
      <c r="X1341" s="34"/>
      <c r="Y1341" s="34"/>
      <c r="Z1341" s="34"/>
    </row>
    <row r="1342" spans="1:26" ht="23.25" customHeight="1">
      <c r="A1342" s="29"/>
      <c r="B1342" s="19"/>
      <c r="C1342" s="31"/>
      <c r="D1342" s="32"/>
      <c r="E1342" s="46"/>
      <c r="F1342" s="43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34"/>
      <c r="R1342" s="34"/>
      <c r="S1342" s="34"/>
      <c r="T1342" s="34"/>
      <c r="U1342" s="34"/>
      <c r="V1342" s="34"/>
      <c r="W1342" s="34"/>
      <c r="X1342" s="34"/>
      <c r="Y1342" s="34"/>
      <c r="Z1342" s="34"/>
    </row>
    <row r="1343" spans="1:26" ht="23.25" customHeight="1">
      <c r="A1343" s="29"/>
      <c r="B1343" s="19"/>
      <c r="C1343" s="31"/>
      <c r="D1343" s="32"/>
      <c r="E1343" s="46"/>
      <c r="F1343" s="43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</row>
    <row r="1344" spans="1:26" ht="23.25" customHeight="1">
      <c r="A1344" s="29"/>
      <c r="B1344" s="19"/>
      <c r="C1344" s="31"/>
      <c r="D1344" s="32"/>
      <c r="E1344" s="46"/>
      <c r="F1344" s="43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</row>
    <row r="1345" spans="1:26" ht="23.25" customHeight="1">
      <c r="A1345" s="29"/>
      <c r="B1345" s="19"/>
      <c r="C1345" s="31"/>
      <c r="D1345" s="32"/>
      <c r="E1345" s="46"/>
      <c r="F1345" s="43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4"/>
      <c r="T1345" s="34"/>
      <c r="U1345" s="34"/>
      <c r="V1345" s="34"/>
      <c r="W1345" s="34"/>
      <c r="X1345" s="34"/>
      <c r="Y1345" s="34"/>
      <c r="Z1345" s="34"/>
    </row>
    <row r="1346" spans="1:26" ht="23.25" customHeight="1">
      <c r="A1346" s="29"/>
      <c r="B1346" s="19"/>
      <c r="C1346" s="31"/>
      <c r="D1346" s="32"/>
      <c r="E1346" s="46"/>
      <c r="F1346" s="43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</row>
    <row r="1347" spans="1:26" ht="23.25" customHeight="1">
      <c r="A1347" s="29"/>
      <c r="B1347" s="19"/>
      <c r="C1347" s="31"/>
      <c r="D1347" s="32"/>
      <c r="E1347" s="46"/>
      <c r="F1347" s="43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4"/>
      <c r="T1347" s="34"/>
      <c r="U1347" s="34"/>
      <c r="V1347" s="34"/>
      <c r="W1347" s="34"/>
      <c r="X1347" s="34"/>
      <c r="Y1347" s="34"/>
      <c r="Z1347" s="34"/>
    </row>
    <row r="1348" spans="1:26" ht="23.25" customHeight="1">
      <c r="A1348" s="29"/>
      <c r="B1348" s="19"/>
      <c r="C1348" s="31"/>
      <c r="D1348" s="32"/>
      <c r="E1348" s="46"/>
      <c r="F1348" s="43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4"/>
      <c r="T1348" s="34"/>
      <c r="U1348" s="34"/>
      <c r="V1348" s="34"/>
      <c r="W1348" s="34"/>
      <c r="X1348" s="34"/>
      <c r="Y1348" s="34"/>
      <c r="Z1348" s="34"/>
    </row>
    <row r="1349" spans="1:26" ht="23.25" customHeight="1">
      <c r="A1349" s="29"/>
      <c r="B1349" s="19"/>
      <c r="C1349" s="31"/>
      <c r="D1349" s="32"/>
      <c r="E1349" s="46"/>
      <c r="F1349" s="43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4"/>
      <c r="T1349" s="34"/>
      <c r="U1349" s="34"/>
      <c r="V1349" s="34"/>
      <c r="W1349" s="34"/>
      <c r="X1349" s="34"/>
      <c r="Y1349" s="34"/>
      <c r="Z1349" s="34"/>
    </row>
    <row r="1350" spans="1:26" ht="23.25" customHeight="1">
      <c r="A1350" s="29"/>
      <c r="B1350" s="19"/>
      <c r="C1350" s="31"/>
      <c r="D1350" s="32"/>
      <c r="E1350" s="46"/>
      <c r="F1350" s="43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34"/>
      <c r="R1350" s="34"/>
      <c r="S1350" s="34"/>
      <c r="T1350" s="34"/>
      <c r="U1350" s="34"/>
      <c r="V1350" s="34"/>
      <c r="W1350" s="34"/>
      <c r="X1350" s="34"/>
      <c r="Y1350" s="34"/>
      <c r="Z1350" s="34"/>
    </row>
    <row r="1351" spans="1:26" ht="23.25" customHeight="1">
      <c r="A1351" s="29"/>
      <c r="B1351" s="19"/>
      <c r="C1351" s="31"/>
      <c r="D1351" s="32"/>
      <c r="E1351" s="46"/>
      <c r="F1351" s="43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34"/>
      <c r="R1351" s="34"/>
      <c r="S1351" s="34"/>
      <c r="T1351" s="34"/>
      <c r="U1351" s="34"/>
      <c r="V1351" s="34"/>
      <c r="W1351" s="34"/>
      <c r="X1351" s="34"/>
      <c r="Y1351" s="34"/>
      <c r="Z1351" s="34"/>
    </row>
    <row r="1352" spans="1:26" ht="23.25" customHeight="1">
      <c r="A1352" s="29"/>
      <c r="B1352" s="19"/>
      <c r="C1352" s="31"/>
      <c r="D1352" s="32"/>
      <c r="E1352" s="46"/>
      <c r="F1352" s="43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</row>
    <row r="1353" spans="1:26" ht="23.25" customHeight="1">
      <c r="A1353" s="29"/>
      <c r="B1353" s="19"/>
      <c r="C1353" s="31"/>
      <c r="D1353" s="32"/>
      <c r="E1353" s="46"/>
      <c r="F1353" s="43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</row>
    <row r="1354" spans="1:26" ht="23.25" customHeight="1">
      <c r="A1354" s="29"/>
      <c r="B1354" s="19"/>
      <c r="C1354" s="31"/>
      <c r="D1354" s="32"/>
      <c r="E1354" s="46"/>
      <c r="F1354" s="43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</row>
    <row r="1355" spans="1:26" ht="23.25" customHeight="1">
      <c r="A1355" s="29"/>
      <c r="B1355" s="19"/>
      <c r="C1355" s="31"/>
      <c r="D1355" s="32"/>
      <c r="E1355" s="46"/>
      <c r="F1355" s="43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</row>
    <row r="1356" spans="1:26" ht="23.25" customHeight="1">
      <c r="A1356" s="29"/>
      <c r="B1356" s="19"/>
      <c r="C1356" s="31"/>
      <c r="D1356" s="32"/>
      <c r="E1356" s="46"/>
      <c r="F1356" s="43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</row>
    <row r="1357" spans="1:26" ht="23.25" customHeight="1">
      <c r="A1357" s="29"/>
      <c r="B1357" s="19"/>
      <c r="C1357" s="31"/>
      <c r="D1357" s="32"/>
      <c r="E1357" s="46"/>
      <c r="F1357" s="43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</row>
    <row r="1358" spans="1:26" ht="23.25" customHeight="1">
      <c r="A1358" s="29"/>
      <c r="B1358" s="19"/>
      <c r="C1358" s="31"/>
      <c r="D1358" s="32"/>
      <c r="E1358" s="46"/>
      <c r="F1358" s="43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</row>
    <row r="1359" spans="1:26" ht="23.25" customHeight="1">
      <c r="A1359" s="29"/>
      <c r="B1359" s="19"/>
      <c r="C1359" s="31"/>
      <c r="D1359" s="32"/>
      <c r="E1359" s="46"/>
      <c r="F1359" s="43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</row>
    <row r="1360" spans="1:26" ht="23.25" customHeight="1">
      <c r="A1360" s="29"/>
      <c r="B1360" s="19"/>
      <c r="C1360" s="31"/>
      <c r="D1360" s="32"/>
      <c r="E1360" s="46"/>
      <c r="F1360" s="43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</row>
    <row r="1361" spans="1:26" ht="23.25" customHeight="1">
      <c r="A1361" s="29"/>
      <c r="B1361" s="19"/>
      <c r="C1361" s="31"/>
      <c r="D1361" s="32"/>
      <c r="E1361" s="46"/>
      <c r="F1361" s="43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</row>
    <row r="1362" spans="1:26" ht="23.25" customHeight="1">
      <c r="A1362" s="29"/>
      <c r="B1362" s="19"/>
      <c r="C1362" s="31"/>
      <c r="D1362" s="32"/>
      <c r="E1362" s="46"/>
      <c r="F1362" s="43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</row>
    <row r="1363" spans="1:26" ht="23.25" customHeight="1">
      <c r="A1363" s="29"/>
      <c r="B1363" s="19"/>
      <c r="C1363" s="31"/>
      <c r="D1363" s="32"/>
      <c r="E1363" s="46"/>
      <c r="F1363" s="43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</row>
    <row r="1364" spans="1:26" ht="23.25" customHeight="1">
      <c r="A1364" s="29"/>
      <c r="B1364" s="19"/>
      <c r="C1364" s="31"/>
      <c r="D1364" s="32"/>
      <c r="E1364" s="46"/>
      <c r="F1364" s="43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</row>
    <row r="1365" spans="1:26" ht="23.25" customHeight="1">
      <c r="A1365" s="29"/>
      <c r="B1365" s="19"/>
      <c r="C1365" s="31"/>
      <c r="D1365" s="32"/>
      <c r="E1365" s="46"/>
      <c r="F1365" s="43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</row>
    <row r="1366" spans="1:26" ht="23.25" customHeight="1">
      <c r="A1366" s="29"/>
      <c r="B1366" s="19"/>
      <c r="C1366" s="31"/>
      <c r="D1366" s="32"/>
      <c r="E1366" s="46"/>
      <c r="F1366" s="43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</row>
    <row r="1367" spans="1:26" ht="23.25" customHeight="1">
      <c r="A1367" s="29"/>
      <c r="B1367" s="19"/>
      <c r="C1367" s="31"/>
      <c r="D1367" s="32"/>
      <c r="E1367" s="46"/>
      <c r="F1367" s="43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</row>
    <row r="1368" spans="1:26" ht="23.25" customHeight="1">
      <c r="A1368" s="29"/>
      <c r="B1368" s="19"/>
      <c r="C1368" s="31"/>
      <c r="D1368" s="32"/>
      <c r="E1368" s="46"/>
      <c r="F1368" s="43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</row>
    <row r="1369" spans="1:26" ht="23.25" customHeight="1">
      <c r="A1369" s="29"/>
      <c r="B1369" s="19"/>
      <c r="C1369" s="31"/>
      <c r="D1369" s="32"/>
      <c r="E1369" s="46"/>
      <c r="F1369" s="43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</row>
    <row r="1370" spans="1:26" ht="23.25" customHeight="1">
      <c r="A1370" s="29"/>
      <c r="B1370" s="19"/>
      <c r="C1370" s="31"/>
      <c r="D1370" s="32"/>
      <c r="E1370" s="46"/>
      <c r="F1370" s="43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</row>
    <row r="1371" spans="1:26" ht="23.25" customHeight="1">
      <c r="A1371" s="29"/>
      <c r="B1371" s="19"/>
      <c r="C1371" s="31"/>
      <c r="D1371" s="32"/>
      <c r="E1371" s="46"/>
      <c r="F1371" s="43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</row>
    <row r="1372" spans="1:26" ht="23.25" customHeight="1">
      <c r="A1372" s="29"/>
      <c r="B1372" s="19"/>
      <c r="C1372" s="31"/>
      <c r="D1372" s="32"/>
      <c r="E1372" s="46"/>
      <c r="F1372" s="43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</row>
    <row r="1373" spans="1:26" ht="23.25" customHeight="1">
      <c r="A1373" s="29"/>
      <c r="B1373" s="19"/>
      <c r="C1373" s="31"/>
      <c r="D1373" s="32"/>
      <c r="E1373" s="46"/>
      <c r="F1373" s="43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</row>
    <row r="1374" spans="1:26" ht="23.25" customHeight="1">
      <c r="A1374" s="29"/>
      <c r="B1374" s="19"/>
      <c r="C1374" s="31"/>
      <c r="D1374" s="32"/>
      <c r="E1374" s="46"/>
      <c r="F1374" s="43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</row>
    <row r="1375" spans="1:26" ht="23.25" customHeight="1">
      <c r="A1375" s="29"/>
      <c r="B1375" s="19"/>
      <c r="C1375" s="31"/>
      <c r="D1375" s="32"/>
      <c r="E1375" s="46"/>
      <c r="F1375" s="43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</row>
    <row r="1376" spans="1:26" ht="23.25" customHeight="1">
      <c r="A1376" s="29"/>
      <c r="B1376" s="19"/>
      <c r="C1376" s="31"/>
      <c r="D1376" s="32"/>
      <c r="E1376" s="46"/>
      <c r="F1376" s="43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</row>
    <row r="1377" spans="1:26" ht="23.25" customHeight="1">
      <c r="A1377" s="29"/>
      <c r="B1377" s="19"/>
      <c r="C1377" s="31"/>
      <c r="D1377" s="32"/>
      <c r="E1377" s="46"/>
      <c r="F1377" s="43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4"/>
      <c r="T1377" s="34"/>
      <c r="U1377" s="34"/>
      <c r="V1377" s="34"/>
      <c r="W1377" s="34"/>
      <c r="X1377" s="34"/>
      <c r="Y1377" s="34"/>
      <c r="Z1377" s="34"/>
    </row>
    <row r="1378" spans="1:26" ht="23.25" customHeight="1">
      <c r="A1378" s="29"/>
      <c r="B1378" s="19"/>
      <c r="C1378" s="31"/>
      <c r="D1378" s="32"/>
      <c r="E1378" s="46"/>
      <c r="F1378" s="43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</row>
    <row r="1379" spans="1:26" ht="23.25" customHeight="1">
      <c r="A1379" s="29"/>
      <c r="B1379" s="19"/>
      <c r="C1379" s="31"/>
      <c r="D1379" s="32"/>
      <c r="E1379" s="46"/>
      <c r="F1379" s="43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</row>
    <row r="1380" spans="1:26" ht="23.25" customHeight="1">
      <c r="A1380" s="29"/>
      <c r="B1380" s="19"/>
      <c r="C1380" s="31"/>
      <c r="D1380" s="32"/>
      <c r="E1380" s="46"/>
      <c r="F1380" s="43"/>
      <c r="G1380" s="34"/>
      <c r="H1380" s="34"/>
      <c r="I1380" s="34"/>
      <c r="J1380" s="34"/>
      <c r="K1380" s="34"/>
      <c r="L1380" s="34"/>
      <c r="M1380" s="34"/>
      <c r="N1380" s="34"/>
      <c r="O1380" s="34"/>
      <c r="P1380" s="34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</row>
    <row r="1381" spans="1:26" ht="23.25" customHeight="1">
      <c r="A1381" s="29"/>
      <c r="B1381" s="19"/>
      <c r="C1381" s="31"/>
      <c r="D1381" s="32"/>
      <c r="E1381" s="46"/>
      <c r="F1381" s="43"/>
      <c r="G1381" s="34"/>
      <c r="H1381" s="34"/>
      <c r="I1381" s="34"/>
      <c r="J1381" s="34"/>
      <c r="K1381" s="34"/>
      <c r="L1381" s="34"/>
      <c r="M1381" s="34"/>
      <c r="N1381" s="34"/>
      <c r="O1381" s="34"/>
      <c r="P1381" s="34"/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</row>
    <row r="1382" spans="1:26" ht="23.25" customHeight="1">
      <c r="A1382" s="29"/>
      <c r="B1382" s="19"/>
      <c r="C1382" s="31"/>
      <c r="D1382" s="32"/>
      <c r="E1382" s="46"/>
      <c r="F1382" s="43"/>
      <c r="G1382" s="34"/>
      <c r="H1382" s="34"/>
      <c r="I1382" s="34"/>
      <c r="J1382" s="34"/>
      <c r="K1382" s="34"/>
      <c r="L1382" s="34"/>
      <c r="M1382" s="34"/>
      <c r="N1382" s="34"/>
      <c r="O1382" s="34"/>
      <c r="P1382" s="34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</row>
    <row r="1383" spans="1:26" ht="23.25" customHeight="1">
      <c r="A1383" s="29"/>
      <c r="B1383" s="19"/>
      <c r="C1383" s="31"/>
      <c r="D1383" s="32"/>
      <c r="E1383" s="46"/>
      <c r="F1383" s="43"/>
      <c r="G1383" s="34"/>
      <c r="H1383" s="34"/>
      <c r="I1383" s="34"/>
      <c r="J1383" s="34"/>
      <c r="K1383" s="34"/>
      <c r="L1383" s="34"/>
      <c r="M1383" s="34"/>
      <c r="N1383" s="34"/>
      <c r="O1383" s="34"/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</row>
    <row r="1384" spans="1:26" ht="23.25" customHeight="1">
      <c r="A1384" s="29"/>
      <c r="B1384" s="19"/>
      <c r="C1384" s="31"/>
      <c r="D1384" s="32"/>
      <c r="E1384" s="46"/>
      <c r="F1384" s="43"/>
      <c r="G1384" s="34"/>
      <c r="H1384" s="34"/>
      <c r="I1384" s="34"/>
      <c r="J1384" s="34"/>
      <c r="K1384" s="34"/>
      <c r="L1384" s="34"/>
      <c r="M1384" s="34"/>
      <c r="N1384" s="34"/>
      <c r="O1384" s="34"/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</row>
    <row r="1385" spans="1:26" ht="23.25" customHeight="1">
      <c r="A1385" s="29"/>
      <c r="B1385" s="19"/>
      <c r="C1385" s="31"/>
      <c r="D1385" s="32"/>
      <c r="E1385" s="46"/>
      <c r="F1385" s="43"/>
      <c r="G1385" s="34"/>
      <c r="H1385" s="34"/>
      <c r="I1385" s="34"/>
      <c r="J1385" s="34"/>
      <c r="K1385" s="34"/>
      <c r="L1385" s="34"/>
      <c r="M1385" s="34"/>
      <c r="N1385" s="34"/>
      <c r="O1385" s="34"/>
      <c r="P1385" s="34"/>
      <c r="Q1385" s="34"/>
      <c r="R1385" s="34"/>
      <c r="S1385" s="34"/>
      <c r="T1385" s="34"/>
      <c r="U1385" s="34"/>
      <c r="V1385" s="34"/>
      <c r="W1385" s="34"/>
      <c r="X1385" s="34"/>
      <c r="Y1385" s="34"/>
      <c r="Z1385" s="34"/>
    </row>
    <row r="1386" spans="1:26" ht="23.25" customHeight="1">
      <c r="A1386" s="29"/>
      <c r="B1386" s="19"/>
      <c r="C1386" s="31"/>
      <c r="D1386" s="32"/>
      <c r="E1386" s="46"/>
      <c r="F1386" s="43"/>
      <c r="G1386" s="34"/>
      <c r="H1386" s="34"/>
      <c r="I1386" s="34"/>
      <c r="J1386" s="34"/>
      <c r="K1386" s="34"/>
      <c r="L1386" s="34"/>
      <c r="M1386" s="34"/>
      <c r="N1386" s="34"/>
      <c r="O1386" s="34"/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</row>
    <row r="1387" spans="1:26" ht="23.25" customHeight="1">
      <c r="A1387" s="29"/>
      <c r="B1387" s="19"/>
      <c r="C1387" s="31"/>
      <c r="D1387" s="32"/>
      <c r="E1387" s="46"/>
      <c r="F1387" s="43"/>
      <c r="G1387" s="34"/>
      <c r="H1387" s="34"/>
      <c r="I1387" s="34"/>
      <c r="J1387" s="34"/>
      <c r="K1387" s="34"/>
      <c r="L1387" s="34"/>
      <c r="M1387" s="34"/>
      <c r="N1387" s="34"/>
      <c r="O1387" s="34"/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  <c r="Z1387" s="34"/>
    </row>
    <row r="1388" spans="1:26" ht="23.25" customHeight="1">
      <c r="A1388" s="29"/>
      <c r="B1388" s="19"/>
      <c r="C1388" s="31"/>
      <c r="D1388" s="32"/>
      <c r="E1388" s="46"/>
      <c r="F1388" s="43"/>
      <c r="G1388" s="34"/>
      <c r="H1388" s="34"/>
      <c r="I1388" s="34"/>
      <c r="J1388" s="34"/>
      <c r="K1388" s="34"/>
      <c r="L1388" s="34"/>
      <c r="M1388" s="34"/>
      <c r="N1388" s="34"/>
      <c r="O1388" s="34"/>
      <c r="P1388" s="34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</row>
    <row r="1389" spans="1:26" ht="23.25" customHeight="1">
      <c r="A1389" s="29"/>
      <c r="B1389" s="19"/>
      <c r="C1389" s="31"/>
      <c r="D1389" s="32"/>
      <c r="E1389" s="46"/>
      <c r="F1389" s="43"/>
      <c r="G1389" s="34"/>
      <c r="H1389" s="34"/>
      <c r="I1389" s="34"/>
      <c r="J1389" s="34"/>
      <c r="K1389" s="34"/>
      <c r="L1389" s="34"/>
      <c r="M1389" s="34"/>
      <c r="N1389" s="34"/>
      <c r="O1389" s="34"/>
      <c r="P1389" s="34"/>
      <c r="Q1389" s="34"/>
      <c r="R1389" s="34"/>
      <c r="S1389" s="34"/>
      <c r="T1389" s="34"/>
      <c r="U1389" s="34"/>
      <c r="V1389" s="34"/>
      <c r="W1389" s="34"/>
      <c r="X1389" s="34"/>
      <c r="Y1389" s="34"/>
      <c r="Z1389" s="34"/>
    </row>
    <row r="1390" spans="1:26" ht="23.25" customHeight="1">
      <c r="A1390" s="29"/>
      <c r="B1390" s="19"/>
      <c r="C1390" s="31"/>
      <c r="D1390" s="32"/>
      <c r="E1390" s="46"/>
      <c r="F1390" s="43"/>
      <c r="G1390" s="34"/>
      <c r="H1390" s="34"/>
      <c r="I1390" s="34"/>
      <c r="J1390" s="34"/>
      <c r="K1390" s="34"/>
      <c r="L1390" s="34"/>
      <c r="M1390" s="34"/>
      <c r="N1390" s="34"/>
      <c r="O1390" s="34"/>
      <c r="P1390" s="34"/>
      <c r="Q1390" s="34"/>
      <c r="R1390" s="34"/>
      <c r="S1390" s="34"/>
      <c r="T1390" s="34"/>
      <c r="U1390" s="34"/>
      <c r="V1390" s="34"/>
      <c r="W1390" s="34"/>
      <c r="X1390" s="34"/>
      <c r="Y1390" s="34"/>
      <c r="Z1390" s="34"/>
    </row>
    <row r="1391" spans="1:26" ht="23.25" customHeight="1">
      <c r="A1391" s="29"/>
      <c r="B1391" s="19"/>
      <c r="C1391" s="31"/>
      <c r="D1391" s="32"/>
      <c r="E1391" s="46"/>
      <c r="F1391" s="43"/>
      <c r="G1391" s="34"/>
      <c r="H1391" s="34"/>
      <c r="I1391" s="34"/>
      <c r="J1391" s="34"/>
      <c r="K1391" s="34"/>
      <c r="L1391" s="34"/>
      <c r="M1391" s="34"/>
      <c r="N1391" s="34"/>
      <c r="O1391" s="34"/>
      <c r="P1391" s="34"/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</row>
    <row r="1392" spans="1:26" ht="23.25" customHeight="1">
      <c r="A1392" s="29"/>
      <c r="B1392" s="19"/>
      <c r="C1392" s="31"/>
      <c r="D1392" s="32"/>
      <c r="E1392" s="46"/>
      <c r="F1392" s="43"/>
      <c r="G1392" s="34"/>
      <c r="H1392" s="34"/>
      <c r="I1392" s="34"/>
      <c r="J1392" s="34"/>
      <c r="K1392" s="34"/>
      <c r="L1392" s="34"/>
      <c r="M1392" s="34"/>
      <c r="N1392" s="34"/>
      <c r="O1392" s="34"/>
      <c r="P1392" s="34"/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</row>
    <row r="1393" spans="1:26" ht="23.25" customHeight="1">
      <c r="A1393" s="29"/>
      <c r="B1393" s="19"/>
      <c r="C1393" s="31"/>
      <c r="D1393" s="32"/>
      <c r="E1393" s="46"/>
      <c r="F1393" s="43"/>
      <c r="G1393" s="34"/>
      <c r="H1393" s="34"/>
      <c r="I1393" s="34"/>
      <c r="J1393" s="34"/>
      <c r="K1393" s="34"/>
      <c r="L1393" s="34"/>
      <c r="M1393" s="34"/>
      <c r="N1393" s="34"/>
      <c r="O1393" s="34"/>
      <c r="P1393" s="34"/>
      <c r="Q1393" s="34"/>
      <c r="R1393" s="34"/>
      <c r="S1393" s="34"/>
      <c r="T1393" s="34"/>
      <c r="U1393" s="34"/>
      <c r="V1393" s="34"/>
      <c r="W1393" s="34"/>
      <c r="X1393" s="34"/>
      <c r="Y1393" s="34"/>
      <c r="Z1393" s="34"/>
    </row>
    <row r="1394" spans="1:26" ht="23.25" customHeight="1">
      <c r="A1394" s="29"/>
      <c r="B1394" s="19"/>
      <c r="C1394" s="31"/>
      <c r="D1394" s="32"/>
      <c r="E1394" s="46"/>
      <c r="F1394" s="43"/>
      <c r="G1394" s="34"/>
      <c r="H1394" s="34"/>
      <c r="I1394" s="34"/>
      <c r="J1394" s="34"/>
      <c r="K1394" s="34"/>
      <c r="L1394" s="34"/>
      <c r="M1394" s="34"/>
      <c r="N1394" s="34"/>
      <c r="O1394" s="34"/>
      <c r="P1394" s="34"/>
      <c r="Q1394" s="34"/>
      <c r="R1394" s="34"/>
      <c r="S1394" s="34"/>
      <c r="T1394" s="34"/>
      <c r="U1394" s="34"/>
      <c r="V1394" s="34"/>
      <c r="W1394" s="34"/>
      <c r="X1394" s="34"/>
      <c r="Y1394" s="34"/>
      <c r="Z1394" s="34"/>
    </row>
    <row r="1395" spans="1:26" ht="23.25" customHeight="1">
      <c r="A1395" s="29"/>
      <c r="B1395" s="19"/>
      <c r="C1395" s="31"/>
      <c r="D1395" s="32"/>
      <c r="E1395" s="46"/>
      <c r="F1395" s="43"/>
      <c r="G1395" s="34"/>
      <c r="H1395" s="34"/>
      <c r="I1395" s="34"/>
      <c r="J1395" s="34"/>
      <c r="K1395" s="34"/>
      <c r="L1395" s="34"/>
      <c r="M1395" s="34"/>
      <c r="N1395" s="34"/>
      <c r="O1395" s="34"/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</row>
    <row r="1396" spans="1:26" ht="23.25" customHeight="1">
      <c r="A1396" s="29"/>
      <c r="B1396" s="19"/>
      <c r="C1396" s="31"/>
      <c r="D1396" s="32"/>
      <c r="E1396" s="46"/>
      <c r="F1396" s="43"/>
      <c r="G1396" s="34"/>
      <c r="H1396" s="34"/>
      <c r="I1396" s="34"/>
      <c r="J1396" s="34"/>
      <c r="K1396" s="34"/>
      <c r="L1396" s="34"/>
      <c r="M1396" s="34"/>
      <c r="N1396" s="34"/>
      <c r="O1396" s="34"/>
      <c r="P1396" s="34"/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</row>
    <row r="1397" spans="1:26" ht="23.25" customHeight="1">
      <c r="A1397" s="29"/>
      <c r="B1397" s="19"/>
      <c r="C1397" s="31"/>
      <c r="D1397" s="32"/>
      <c r="E1397" s="46"/>
      <c r="F1397" s="43"/>
      <c r="G1397" s="34"/>
      <c r="H1397" s="34"/>
      <c r="I1397" s="34"/>
      <c r="J1397" s="34"/>
      <c r="K1397" s="34"/>
      <c r="L1397" s="34"/>
      <c r="M1397" s="34"/>
      <c r="N1397" s="34"/>
      <c r="O1397" s="34"/>
      <c r="P1397" s="34"/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</row>
    <row r="1398" spans="1:26" ht="23.25" customHeight="1">
      <c r="A1398" s="29"/>
      <c r="B1398" s="19"/>
      <c r="C1398" s="31"/>
      <c r="D1398" s="32"/>
      <c r="E1398" s="46"/>
      <c r="F1398" s="43"/>
      <c r="G1398" s="34"/>
      <c r="H1398" s="34"/>
      <c r="I1398" s="34"/>
      <c r="J1398" s="34"/>
      <c r="K1398" s="34"/>
      <c r="L1398" s="34"/>
      <c r="M1398" s="34"/>
      <c r="N1398" s="34"/>
      <c r="O1398" s="34"/>
      <c r="P1398" s="34"/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</row>
    <row r="1399" spans="1:26" ht="23.25" customHeight="1">
      <c r="A1399" s="29"/>
      <c r="B1399" s="19"/>
      <c r="C1399" s="31"/>
      <c r="D1399" s="32"/>
      <c r="E1399" s="46"/>
      <c r="F1399" s="43"/>
      <c r="G1399" s="34"/>
      <c r="H1399" s="34"/>
      <c r="I1399" s="34"/>
      <c r="J1399" s="34"/>
      <c r="K1399" s="34"/>
      <c r="L1399" s="34"/>
      <c r="M1399" s="34"/>
      <c r="N1399" s="34"/>
      <c r="O1399" s="34"/>
      <c r="P1399" s="34"/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</row>
    <row r="1400" spans="1:26" ht="23.25" customHeight="1">
      <c r="A1400" s="29"/>
      <c r="B1400" s="19"/>
      <c r="C1400" s="31"/>
      <c r="D1400" s="32"/>
      <c r="E1400" s="46"/>
      <c r="F1400" s="43"/>
      <c r="G1400" s="34"/>
      <c r="H1400" s="34"/>
      <c r="I1400" s="34"/>
      <c r="J1400" s="34"/>
      <c r="K1400" s="34"/>
      <c r="L1400" s="34"/>
      <c r="M1400" s="34"/>
      <c r="N1400" s="34"/>
      <c r="O1400" s="34"/>
      <c r="P1400" s="34"/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</row>
    <row r="1401" spans="1:26" ht="23.25" customHeight="1">
      <c r="A1401" s="29"/>
      <c r="B1401" s="19"/>
      <c r="C1401" s="31"/>
      <c r="D1401" s="32"/>
      <c r="E1401" s="46"/>
      <c r="F1401" s="43"/>
      <c r="G1401" s="34"/>
      <c r="H1401" s="34"/>
      <c r="I1401" s="34"/>
      <c r="J1401" s="34"/>
      <c r="K1401" s="34"/>
      <c r="L1401" s="34"/>
      <c r="M1401" s="34"/>
      <c r="N1401" s="34"/>
      <c r="O1401" s="34"/>
      <c r="P1401" s="34"/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</row>
    <row r="1402" spans="1:26" ht="23.25" customHeight="1">
      <c r="A1402" s="29"/>
      <c r="B1402" s="19"/>
      <c r="C1402" s="31"/>
      <c r="D1402" s="32"/>
      <c r="E1402" s="46"/>
      <c r="F1402" s="43"/>
      <c r="G1402" s="34"/>
      <c r="H1402" s="34"/>
      <c r="I1402" s="34"/>
      <c r="J1402" s="34"/>
      <c r="K1402" s="34"/>
      <c r="L1402" s="34"/>
      <c r="M1402" s="34"/>
      <c r="N1402" s="34"/>
      <c r="O1402" s="34"/>
      <c r="P1402" s="34"/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</row>
    <row r="1403" spans="1:26" ht="23.25" customHeight="1">
      <c r="A1403" s="29"/>
      <c r="B1403" s="19"/>
      <c r="C1403" s="31"/>
      <c r="D1403" s="32"/>
      <c r="E1403" s="46"/>
      <c r="F1403" s="43"/>
      <c r="G1403" s="34"/>
      <c r="H1403" s="34"/>
      <c r="I1403" s="34"/>
      <c r="J1403" s="34"/>
      <c r="K1403" s="34"/>
      <c r="L1403" s="34"/>
      <c r="M1403" s="34"/>
      <c r="N1403" s="34"/>
      <c r="O1403" s="34"/>
      <c r="P1403" s="34"/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</row>
    <row r="1404" spans="1:26" ht="23.25" customHeight="1">
      <c r="A1404" s="29"/>
      <c r="B1404" s="19"/>
      <c r="C1404" s="31"/>
      <c r="D1404" s="32"/>
      <c r="E1404" s="46"/>
      <c r="F1404" s="43"/>
      <c r="G1404" s="34"/>
      <c r="H1404" s="34"/>
      <c r="I1404" s="34"/>
      <c r="J1404" s="34"/>
      <c r="K1404" s="34"/>
      <c r="L1404" s="34"/>
      <c r="M1404" s="34"/>
      <c r="N1404" s="34"/>
      <c r="O1404" s="34"/>
      <c r="P1404" s="34"/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</row>
    <row r="1405" spans="1:26" ht="23.25" customHeight="1">
      <c r="A1405" s="29"/>
      <c r="B1405" s="19"/>
      <c r="C1405" s="31"/>
      <c r="D1405" s="32"/>
      <c r="E1405" s="46"/>
      <c r="F1405" s="43"/>
      <c r="G1405" s="34"/>
      <c r="H1405" s="34"/>
      <c r="I1405" s="34"/>
      <c r="J1405" s="34"/>
      <c r="K1405" s="34"/>
      <c r="L1405" s="34"/>
      <c r="M1405" s="34"/>
      <c r="N1405" s="34"/>
      <c r="O1405" s="34"/>
      <c r="P1405" s="34"/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</row>
    <row r="1406" spans="1:26" ht="23.25" customHeight="1">
      <c r="A1406" s="29"/>
      <c r="B1406" s="19"/>
      <c r="C1406" s="31"/>
      <c r="D1406" s="32"/>
      <c r="E1406" s="46"/>
      <c r="F1406" s="43"/>
      <c r="G1406" s="34"/>
      <c r="H1406" s="34"/>
      <c r="I1406" s="34"/>
      <c r="J1406" s="34"/>
      <c r="K1406" s="34"/>
      <c r="L1406" s="34"/>
      <c r="M1406" s="34"/>
      <c r="N1406" s="34"/>
      <c r="O1406" s="34"/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</row>
    <row r="1407" spans="1:26" ht="23.25" customHeight="1">
      <c r="A1407" s="29"/>
      <c r="B1407" s="19"/>
      <c r="C1407" s="31"/>
      <c r="D1407" s="32"/>
      <c r="E1407" s="46"/>
      <c r="F1407" s="43"/>
      <c r="G1407" s="34"/>
      <c r="H1407" s="34"/>
      <c r="I1407" s="34"/>
      <c r="J1407" s="34"/>
      <c r="K1407" s="34"/>
      <c r="L1407" s="34"/>
      <c r="M1407" s="34"/>
      <c r="N1407" s="34"/>
      <c r="O1407" s="34"/>
      <c r="P1407" s="34"/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</row>
    <row r="1408" spans="1:26" ht="23.25" customHeight="1">
      <c r="A1408" s="29"/>
      <c r="B1408" s="19"/>
      <c r="C1408" s="31"/>
      <c r="D1408" s="32"/>
      <c r="E1408" s="46"/>
      <c r="F1408" s="43"/>
      <c r="G1408" s="34"/>
      <c r="H1408" s="34"/>
      <c r="I1408" s="34"/>
      <c r="J1408" s="34"/>
      <c r="K1408" s="34"/>
      <c r="L1408" s="34"/>
      <c r="M1408" s="34"/>
      <c r="N1408" s="34"/>
      <c r="O1408" s="34"/>
      <c r="P1408" s="34"/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</row>
    <row r="1409" spans="1:26" ht="23.25" customHeight="1">
      <c r="A1409" s="29"/>
      <c r="B1409" s="19"/>
      <c r="C1409" s="31"/>
      <c r="D1409" s="32"/>
      <c r="E1409" s="46"/>
      <c r="F1409" s="43"/>
      <c r="G1409" s="34"/>
      <c r="H1409" s="34"/>
      <c r="I1409" s="34"/>
      <c r="J1409" s="34"/>
      <c r="K1409" s="34"/>
      <c r="L1409" s="34"/>
      <c r="M1409" s="34"/>
      <c r="N1409" s="34"/>
      <c r="O1409" s="34"/>
      <c r="P1409" s="34"/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</row>
    <row r="1410" spans="1:26" ht="23.25" customHeight="1">
      <c r="A1410" s="29"/>
      <c r="B1410" s="19"/>
      <c r="C1410" s="31"/>
      <c r="D1410" s="32"/>
      <c r="E1410" s="46"/>
      <c r="F1410" s="43"/>
      <c r="G1410" s="34"/>
      <c r="H1410" s="34"/>
      <c r="I1410" s="34"/>
      <c r="J1410" s="34"/>
      <c r="K1410" s="34"/>
      <c r="L1410" s="34"/>
      <c r="M1410" s="34"/>
      <c r="N1410" s="34"/>
      <c r="O1410" s="34"/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</row>
    <row r="1411" spans="1:26" ht="23.25" customHeight="1">
      <c r="A1411" s="29"/>
      <c r="B1411" s="19"/>
      <c r="C1411" s="31"/>
      <c r="D1411" s="32"/>
      <c r="E1411" s="46"/>
      <c r="F1411" s="43"/>
      <c r="G1411" s="34"/>
      <c r="H1411" s="34"/>
      <c r="I1411" s="34"/>
      <c r="J1411" s="34"/>
      <c r="K1411" s="34"/>
      <c r="L1411" s="34"/>
      <c r="M1411" s="34"/>
      <c r="N1411" s="34"/>
      <c r="O1411" s="34"/>
      <c r="P1411" s="34"/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</row>
    <row r="1412" spans="1:26" ht="23.25" customHeight="1">
      <c r="A1412" s="29"/>
      <c r="B1412" s="19"/>
      <c r="C1412" s="31"/>
      <c r="D1412" s="32"/>
      <c r="E1412" s="46"/>
      <c r="F1412" s="43"/>
      <c r="G1412" s="34"/>
      <c r="H1412" s="34"/>
      <c r="I1412" s="34"/>
      <c r="J1412" s="34"/>
      <c r="K1412" s="34"/>
      <c r="L1412" s="34"/>
      <c r="M1412" s="34"/>
      <c r="N1412" s="34"/>
      <c r="O1412" s="34"/>
      <c r="P1412" s="34"/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</row>
    <row r="1413" spans="1:26" ht="23.25" customHeight="1">
      <c r="A1413" s="29"/>
      <c r="B1413" s="19"/>
      <c r="C1413" s="31"/>
      <c r="D1413" s="32"/>
      <c r="E1413" s="46"/>
      <c r="F1413" s="43"/>
      <c r="G1413" s="34"/>
      <c r="H1413" s="34"/>
      <c r="I1413" s="34"/>
      <c r="J1413" s="34"/>
      <c r="K1413" s="34"/>
      <c r="L1413" s="34"/>
      <c r="M1413" s="34"/>
      <c r="N1413" s="34"/>
      <c r="O1413" s="34"/>
      <c r="P1413" s="34"/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</row>
    <row r="1414" spans="1:26" ht="23.25" customHeight="1">
      <c r="A1414" s="29"/>
      <c r="B1414" s="19"/>
      <c r="C1414" s="31"/>
      <c r="D1414" s="32"/>
      <c r="E1414" s="46"/>
      <c r="F1414" s="43"/>
      <c r="G1414" s="34"/>
      <c r="H1414" s="34"/>
      <c r="I1414" s="34"/>
      <c r="J1414" s="34"/>
      <c r="K1414" s="34"/>
      <c r="L1414" s="34"/>
      <c r="M1414" s="34"/>
      <c r="N1414" s="34"/>
      <c r="O1414" s="34"/>
      <c r="P1414" s="34"/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</row>
    <row r="1415" spans="1:26" ht="23.25" customHeight="1">
      <c r="A1415" s="29"/>
      <c r="B1415" s="19"/>
      <c r="C1415" s="31"/>
      <c r="D1415" s="32"/>
      <c r="E1415" s="46"/>
      <c r="F1415" s="43"/>
      <c r="G1415" s="34"/>
      <c r="H1415" s="34"/>
      <c r="I1415" s="34"/>
      <c r="J1415" s="34"/>
      <c r="K1415" s="34"/>
      <c r="L1415" s="34"/>
      <c r="M1415" s="34"/>
      <c r="N1415" s="34"/>
      <c r="O1415" s="34"/>
      <c r="P1415" s="34"/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</row>
    <row r="1416" spans="1:26" ht="23.25" customHeight="1">
      <c r="A1416" s="29"/>
      <c r="B1416" s="19"/>
      <c r="C1416" s="31"/>
      <c r="D1416" s="32"/>
      <c r="E1416" s="46"/>
      <c r="F1416" s="43"/>
      <c r="G1416" s="34"/>
      <c r="H1416" s="34"/>
      <c r="I1416" s="34"/>
      <c r="J1416" s="34"/>
      <c r="K1416" s="34"/>
      <c r="L1416" s="34"/>
      <c r="M1416" s="34"/>
      <c r="N1416" s="34"/>
      <c r="O1416" s="34"/>
      <c r="P1416" s="34"/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</row>
    <row r="1417" spans="1:26" ht="23.25" customHeight="1">
      <c r="A1417" s="29"/>
      <c r="B1417" s="19"/>
      <c r="C1417" s="31"/>
      <c r="D1417" s="32"/>
      <c r="E1417" s="46"/>
      <c r="F1417" s="43"/>
      <c r="G1417" s="34"/>
      <c r="H1417" s="34"/>
      <c r="I1417" s="34"/>
      <c r="J1417" s="34"/>
      <c r="K1417" s="34"/>
      <c r="L1417" s="34"/>
      <c r="M1417" s="34"/>
      <c r="N1417" s="34"/>
      <c r="O1417" s="34"/>
      <c r="P1417" s="34"/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</row>
    <row r="1418" spans="1:26" ht="23.25" customHeight="1">
      <c r="A1418" s="29"/>
      <c r="B1418" s="19"/>
      <c r="C1418" s="31"/>
      <c r="D1418" s="32"/>
      <c r="E1418" s="46"/>
      <c r="F1418" s="43"/>
      <c r="G1418" s="34"/>
      <c r="H1418" s="34"/>
      <c r="I1418" s="34"/>
      <c r="J1418" s="34"/>
      <c r="K1418" s="34"/>
      <c r="L1418" s="34"/>
      <c r="M1418" s="34"/>
      <c r="N1418" s="34"/>
      <c r="O1418" s="34"/>
      <c r="P1418" s="34"/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</row>
    <row r="1419" spans="1:26" ht="23.25" customHeight="1">
      <c r="A1419" s="29"/>
      <c r="B1419" s="19"/>
      <c r="C1419" s="31"/>
      <c r="D1419" s="32"/>
      <c r="E1419" s="46"/>
      <c r="F1419" s="43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</row>
    <row r="1420" spans="1:26" ht="23.25" customHeight="1">
      <c r="A1420" s="29"/>
      <c r="B1420" s="19"/>
      <c r="C1420" s="31"/>
      <c r="D1420" s="32"/>
      <c r="E1420" s="46"/>
      <c r="F1420" s="43"/>
      <c r="G1420" s="34"/>
      <c r="H1420" s="34"/>
      <c r="I1420" s="34"/>
      <c r="J1420" s="34"/>
      <c r="K1420" s="34"/>
      <c r="L1420" s="34"/>
      <c r="M1420" s="34"/>
      <c r="N1420" s="34"/>
      <c r="O1420" s="34"/>
      <c r="P1420" s="34"/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</row>
    <row r="1421" spans="1:26" ht="23.25" customHeight="1">
      <c r="A1421" s="29"/>
      <c r="B1421" s="19"/>
      <c r="C1421" s="31"/>
      <c r="D1421" s="32"/>
      <c r="E1421" s="46"/>
      <c r="F1421" s="43"/>
      <c r="G1421" s="34"/>
      <c r="H1421" s="34"/>
      <c r="I1421" s="34"/>
      <c r="J1421" s="34"/>
      <c r="K1421" s="34"/>
      <c r="L1421" s="34"/>
      <c r="M1421" s="34"/>
      <c r="N1421" s="34"/>
      <c r="O1421" s="34"/>
      <c r="P1421" s="34"/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</row>
    <row r="1422" spans="1:26" ht="23.25" customHeight="1">
      <c r="A1422" s="29"/>
      <c r="B1422" s="19"/>
      <c r="C1422" s="31"/>
      <c r="D1422" s="32"/>
      <c r="E1422" s="46"/>
      <c r="F1422" s="43"/>
      <c r="G1422" s="34"/>
      <c r="H1422" s="34"/>
      <c r="I1422" s="34"/>
      <c r="J1422" s="34"/>
      <c r="K1422" s="34"/>
      <c r="L1422" s="34"/>
      <c r="M1422" s="34"/>
      <c r="N1422" s="34"/>
      <c r="O1422" s="34"/>
      <c r="P1422" s="34"/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</row>
    <row r="1423" spans="1:26" ht="23.25" customHeight="1">
      <c r="A1423" s="29"/>
      <c r="B1423" s="19"/>
      <c r="C1423" s="31"/>
      <c r="D1423" s="32"/>
      <c r="E1423" s="46"/>
      <c r="F1423" s="43"/>
      <c r="G1423" s="34"/>
      <c r="H1423" s="34"/>
      <c r="I1423" s="34"/>
      <c r="J1423" s="34"/>
      <c r="K1423" s="34"/>
      <c r="L1423" s="34"/>
      <c r="M1423" s="34"/>
      <c r="N1423" s="34"/>
      <c r="O1423" s="34"/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</row>
    <row r="1424" spans="1:26" ht="23.25" customHeight="1">
      <c r="A1424" s="29"/>
      <c r="B1424" s="19"/>
      <c r="C1424" s="31"/>
      <c r="D1424" s="32"/>
      <c r="E1424" s="46"/>
      <c r="F1424" s="43"/>
      <c r="G1424" s="34"/>
      <c r="H1424" s="34"/>
      <c r="I1424" s="34"/>
      <c r="J1424" s="34"/>
      <c r="K1424" s="34"/>
      <c r="L1424" s="34"/>
      <c r="M1424" s="34"/>
      <c r="N1424" s="34"/>
      <c r="O1424" s="34"/>
      <c r="P1424" s="34"/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</row>
    <row r="1425" spans="1:26" ht="23.25" customHeight="1">
      <c r="A1425" s="29"/>
      <c r="B1425" s="19"/>
      <c r="C1425" s="31"/>
      <c r="D1425" s="32"/>
      <c r="E1425" s="46"/>
      <c r="F1425" s="43"/>
      <c r="G1425" s="34"/>
      <c r="H1425" s="34"/>
      <c r="I1425" s="34"/>
      <c r="J1425" s="34"/>
      <c r="K1425" s="34"/>
      <c r="L1425" s="34"/>
      <c r="M1425" s="34"/>
      <c r="N1425" s="34"/>
      <c r="O1425" s="34"/>
      <c r="P1425" s="34"/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</row>
    <row r="1426" spans="1:26" ht="23.25" customHeight="1">
      <c r="A1426" s="29"/>
      <c r="B1426" s="19"/>
      <c r="C1426" s="31"/>
      <c r="D1426" s="32"/>
      <c r="E1426" s="46"/>
      <c r="F1426" s="43"/>
      <c r="G1426" s="34"/>
      <c r="H1426" s="34"/>
      <c r="I1426" s="34"/>
      <c r="J1426" s="34"/>
      <c r="K1426" s="34"/>
      <c r="L1426" s="34"/>
      <c r="M1426" s="34"/>
      <c r="N1426" s="34"/>
      <c r="O1426" s="34"/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</row>
    <row r="1427" spans="1:26" ht="23.25" customHeight="1">
      <c r="A1427" s="29"/>
      <c r="B1427" s="19"/>
      <c r="C1427" s="31"/>
      <c r="D1427" s="32"/>
      <c r="E1427" s="46"/>
      <c r="F1427" s="43"/>
      <c r="G1427" s="34"/>
      <c r="H1427" s="34"/>
      <c r="I1427" s="34"/>
      <c r="J1427" s="34"/>
      <c r="K1427" s="34"/>
      <c r="L1427" s="34"/>
      <c r="M1427" s="34"/>
      <c r="N1427" s="34"/>
      <c r="O1427" s="34"/>
      <c r="P1427" s="34"/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</row>
    <row r="1428" spans="1:26" ht="23.25" customHeight="1">
      <c r="A1428" s="29"/>
      <c r="B1428" s="19"/>
      <c r="C1428" s="31"/>
      <c r="D1428" s="32"/>
      <c r="E1428" s="46"/>
      <c r="F1428" s="43"/>
      <c r="G1428" s="34"/>
      <c r="H1428" s="34"/>
      <c r="I1428" s="34"/>
      <c r="J1428" s="34"/>
      <c r="K1428" s="34"/>
      <c r="L1428" s="34"/>
      <c r="M1428" s="34"/>
      <c r="N1428" s="34"/>
      <c r="O1428" s="34"/>
      <c r="P1428" s="34"/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</row>
    <row r="1429" spans="1:26" ht="23.25" customHeight="1">
      <c r="A1429" s="29"/>
      <c r="B1429" s="19"/>
      <c r="C1429" s="31"/>
      <c r="D1429" s="32"/>
      <c r="E1429" s="46"/>
      <c r="F1429" s="43"/>
      <c r="G1429" s="34"/>
      <c r="H1429" s="34"/>
      <c r="I1429" s="34"/>
      <c r="J1429" s="34"/>
      <c r="K1429" s="34"/>
      <c r="L1429" s="34"/>
      <c r="M1429" s="34"/>
      <c r="N1429" s="34"/>
      <c r="O1429" s="34"/>
      <c r="P1429" s="34"/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</row>
    <row r="1430" spans="1:26" ht="23.25" customHeight="1">
      <c r="A1430" s="29"/>
      <c r="B1430" s="19"/>
      <c r="C1430" s="31"/>
      <c r="D1430" s="32"/>
      <c r="E1430" s="46"/>
      <c r="F1430" s="43"/>
      <c r="G1430" s="34"/>
      <c r="H1430" s="34"/>
      <c r="I1430" s="34"/>
      <c r="J1430" s="34"/>
      <c r="K1430" s="34"/>
      <c r="L1430" s="34"/>
      <c r="M1430" s="34"/>
      <c r="N1430" s="34"/>
      <c r="O1430" s="34"/>
      <c r="P1430" s="34"/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</row>
    <row r="1431" spans="1:26" ht="23.25" customHeight="1">
      <c r="A1431" s="29"/>
      <c r="B1431" s="19"/>
      <c r="C1431" s="31"/>
      <c r="D1431" s="32"/>
      <c r="E1431" s="46"/>
      <c r="F1431" s="43"/>
      <c r="G1431" s="34"/>
      <c r="H1431" s="34"/>
      <c r="I1431" s="34"/>
      <c r="J1431" s="34"/>
      <c r="K1431" s="34"/>
      <c r="L1431" s="34"/>
      <c r="M1431" s="34"/>
      <c r="N1431" s="34"/>
      <c r="O1431" s="34"/>
      <c r="P1431" s="34"/>
      <c r="Q1431" s="34"/>
      <c r="R1431" s="34"/>
      <c r="S1431" s="34"/>
      <c r="T1431" s="34"/>
      <c r="U1431" s="34"/>
      <c r="V1431" s="34"/>
      <c r="W1431" s="34"/>
      <c r="X1431" s="34"/>
      <c r="Y1431" s="34"/>
      <c r="Z1431" s="34"/>
    </row>
    <row r="1432" spans="1:26" ht="23.25" customHeight="1">
      <c r="A1432" s="29"/>
      <c r="B1432" s="19"/>
      <c r="C1432" s="31"/>
      <c r="D1432" s="32"/>
      <c r="E1432" s="46"/>
      <c r="F1432" s="43"/>
      <c r="G1432" s="34"/>
      <c r="H1432" s="34"/>
      <c r="I1432" s="34"/>
      <c r="J1432" s="34"/>
      <c r="K1432" s="34"/>
      <c r="L1432" s="34"/>
      <c r="M1432" s="34"/>
      <c r="N1432" s="34"/>
      <c r="O1432" s="34"/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</row>
    <row r="1433" spans="1:26" ht="23.25" customHeight="1">
      <c r="A1433" s="29"/>
      <c r="B1433" s="19"/>
      <c r="C1433" s="31"/>
      <c r="D1433" s="32"/>
      <c r="E1433" s="46"/>
      <c r="F1433" s="43"/>
      <c r="G1433" s="34"/>
      <c r="H1433" s="34"/>
      <c r="I1433" s="34"/>
      <c r="J1433" s="34"/>
      <c r="K1433" s="34"/>
      <c r="L1433" s="34"/>
      <c r="M1433" s="34"/>
      <c r="N1433" s="34"/>
      <c r="O1433" s="34"/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</row>
    <row r="1434" spans="1:26" ht="23.25" customHeight="1">
      <c r="A1434" s="29"/>
      <c r="B1434" s="19"/>
      <c r="C1434" s="31"/>
      <c r="D1434" s="32"/>
      <c r="E1434" s="46"/>
      <c r="F1434" s="43"/>
      <c r="G1434" s="34"/>
      <c r="H1434" s="34"/>
      <c r="I1434" s="34"/>
      <c r="J1434" s="34"/>
      <c r="K1434" s="34"/>
      <c r="L1434" s="34"/>
      <c r="M1434" s="34"/>
      <c r="N1434" s="34"/>
      <c r="O1434" s="34"/>
      <c r="P1434" s="34"/>
      <c r="Q1434" s="34"/>
      <c r="R1434" s="34"/>
      <c r="S1434" s="34"/>
      <c r="T1434" s="34"/>
      <c r="U1434" s="34"/>
      <c r="V1434" s="34"/>
      <c r="W1434" s="34"/>
      <c r="X1434" s="34"/>
      <c r="Y1434" s="34"/>
      <c r="Z1434" s="34"/>
    </row>
    <row r="1435" spans="1:26" ht="23.25" customHeight="1">
      <c r="A1435" s="29"/>
      <c r="B1435" s="19"/>
      <c r="C1435" s="31"/>
      <c r="D1435" s="32"/>
      <c r="E1435" s="46"/>
      <c r="F1435" s="43"/>
      <c r="G1435" s="34"/>
      <c r="H1435" s="34"/>
      <c r="I1435" s="34"/>
      <c r="J1435" s="34"/>
      <c r="K1435" s="34"/>
      <c r="L1435" s="34"/>
      <c r="M1435" s="34"/>
      <c r="N1435" s="34"/>
      <c r="O1435" s="34"/>
      <c r="P1435" s="34"/>
      <c r="Q1435" s="34"/>
      <c r="R1435" s="34"/>
      <c r="S1435" s="34"/>
      <c r="T1435" s="34"/>
      <c r="U1435" s="34"/>
      <c r="V1435" s="34"/>
      <c r="W1435" s="34"/>
      <c r="X1435" s="34"/>
      <c r="Y1435" s="34"/>
      <c r="Z1435" s="34"/>
    </row>
    <row r="1436" spans="1:26" ht="23.25" customHeight="1">
      <c r="A1436" s="29"/>
      <c r="B1436" s="19"/>
      <c r="C1436" s="31"/>
      <c r="D1436" s="32"/>
      <c r="E1436" s="46"/>
      <c r="F1436" s="43"/>
      <c r="G1436" s="34"/>
      <c r="H1436" s="34"/>
      <c r="I1436" s="34"/>
      <c r="J1436" s="34"/>
      <c r="K1436" s="34"/>
      <c r="L1436" s="34"/>
      <c r="M1436" s="34"/>
      <c r="N1436" s="34"/>
      <c r="O1436" s="34"/>
      <c r="P1436" s="34"/>
      <c r="Q1436" s="34"/>
      <c r="R1436" s="34"/>
      <c r="S1436" s="34"/>
      <c r="T1436" s="34"/>
      <c r="U1436" s="34"/>
      <c r="V1436" s="34"/>
      <c r="W1436" s="34"/>
      <c r="X1436" s="34"/>
      <c r="Y1436" s="34"/>
      <c r="Z1436" s="34"/>
    </row>
    <row r="1437" spans="1:26" ht="23.25" customHeight="1">
      <c r="A1437" s="29"/>
      <c r="B1437" s="19"/>
      <c r="C1437" s="31"/>
      <c r="D1437" s="32"/>
      <c r="E1437" s="46"/>
      <c r="F1437" s="43"/>
      <c r="G1437" s="34"/>
      <c r="H1437" s="34"/>
      <c r="I1437" s="34"/>
      <c r="J1437" s="34"/>
      <c r="K1437" s="34"/>
      <c r="L1437" s="34"/>
      <c r="M1437" s="34"/>
      <c r="N1437" s="34"/>
      <c r="O1437" s="34"/>
      <c r="P1437" s="34"/>
      <c r="Q1437" s="34"/>
      <c r="R1437" s="34"/>
      <c r="S1437" s="34"/>
      <c r="T1437" s="34"/>
      <c r="U1437" s="34"/>
      <c r="V1437" s="34"/>
      <c r="W1437" s="34"/>
      <c r="X1437" s="34"/>
      <c r="Y1437" s="34"/>
      <c r="Z1437" s="34"/>
    </row>
    <row r="1438" spans="1:26" ht="23.25" customHeight="1">
      <c r="A1438" s="29"/>
      <c r="B1438" s="19"/>
      <c r="C1438" s="31"/>
      <c r="D1438" s="32"/>
      <c r="E1438" s="46"/>
      <c r="F1438" s="43"/>
      <c r="G1438" s="34"/>
      <c r="H1438" s="34"/>
      <c r="I1438" s="34"/>
      <c r="J1438" s="34"/>
      <c r="K1438" s="34"/>
      <c r="L1438" s="34"/>
      <c r="M1438" s="34"/>
      <c r="N1438" s="34"/>
      <c r="O1438" s="34"/>
      <c r="P1438" s="34"/>
      <c r="Q1438" s="34"/>
      <c r="R1438" s="34"/>
      <c r="S1438" s="34"/>
      <c r="T1438" s="34"/>
      <c r="U1438" s="34"/>
      <c r="V1438" s="34"/>
      <c r="W1438" s="34"/>
      <c r="X1438" s="34"/>
      <c r="Y1438" s="34"/>
      <c r="Z1438" s="34"/>
    </row>
    <row r="1439" spans="1:26" ht="23.25" customHeight="1">
      <c r="A1439" s="29"/>
      <c r="B1439" s="19"/>
      <c r="C1439" s="31"/>
      <c r="D1439" s="32"/>
      <c r="E1439" s="46"/>
      <c r="F1439" s="43"/>
      <c r="G1439" s="34"/>
      <c r="H1439" s="34"/>
      <c r="I1439" s="34"/>
      <c r="J1439" s="34"/>
      <c r="K1439" s="34"/>
      <c r="L1439" s="34"/>
      <c r="M1439" s="34"/>
      <c r="N1439" s="34"/>
      <c r="O1439" s="34"/>
      <c r="P1439" s="34"/>
      <c r="Q1439" s="34"/>
      <c r="R1439" s="34"/>
      <c r="S1439" s="34"/>
      <c r="T1439" s="34"/>
      <c r="U1439" s="34"/>
      <c r="V1439" s="34"/>
      <c r="W1439" s="34"/>
      <c r="X1439" s="34"/>
      <c r="Y1439" s="34"/>
      <c r="Z1439" s="34"/>
    </row>
    <row r="1440" spans="1:26" ht="23.25" customHeight="1">
      <c r="A1440" s="29"/>
      <c r="B1440" s="19"/>
      <c r="C1440" s="31"/>
      <c r="D1440" s="32"/>
      <c r="E1440" s="46"/>
      <c r="F1440" s="43"/>
      <c r="G1440" s="34"/>
      <c r="H1440" s="34"/>
      <c r="I1440" s="34"/>
      <c r="J1440" s="34"/>
      <c r="K1440" s="34"/>
      <c r="L1440" s="34"/>
      <c r="M1440" s="34"/>
      <c r="N1440" s="34"/>
      <c r="O1440" s="34"/>
      <c r="P1440" s="34"/>
      <c r="Q1440" s="34"/>
      <c r="R1440" s="34"/>
      <c r="S1440" s="34"/>
      <c r="T1440" s="34"/>
      <c r="U1440" s="34"/>
      <c r="V1440" s="34"/>
      <c r="W1440" s="34"/>
      <c r="X1440" s="34"/>
      <c r="Y1440" s="34"/>
      <c r="Z1440" s="34"/>
    </row>
    <row r="1441" spans="1:26" ht="23.25" customHeight="1">
      <c r="A1441" s="29"/>
      <c r="B1441" s="19"/>
      <c r="C1441" s="31"/>
      <c r="D1441" s="32"/>
      <c r="E1441" s="46"/>
      <c r="F1441" s="43"/>
      <c r="G1441" s="34"/>
      <c r="H1441" s="34"/>
      <c r="I1441" s="34"/>
      <c r="J1441" s="34"/>
      <c r="K1441" s="34"/>
      <c r="L1441" s="34"/>
      <c r="M1441" s="34"/>
      <c r="N1441" s="34"/>
      <c r="O1441" s="34"/>
      <c r="P1441" s="34"/>
      <c r="Q1441" s="34"/>
      <c r="R1441" s="34"/>
      <c r="S1441" s="34"/>
      <c r="T1441" s="34"/>
      <c r="U1441" s="34"/>
      <c r="V1441" s="34"/>
      <c r="W1441" s="34"/>
      <c r="X1441" s="34"/>
      <c r="Y1441" s="34"/>
      <c r="Z1441" s="34"/>
    </row>
    <row r="1442" spans="1:26" ht="23.25" customHeight="1">
      <c r="A1442" s="29"/>
      <c r="B1442" s="19"/>
      <c r="C1442" s="31"/>
      <c r="D1442" s="32"/>
      <c r="E1442" s="46"/>
      <c r="F1442" s="43"/>
      <c r="G1442" s="34"/>
      <c r="H1442" s="34"/>
      <c r="I1442" s="34"/>
      <c r="J1442" s="34"/>
      <c r="K1442" s="34"/>
      <c r="L1442" s="34"/>
      <c r="M1442" s="34"/>
      <c r="N1442" s="34"/>
      <c r="O1442" s="34"/>
      <c r="P1442" s="34"/>
      <c r="Q1442" s="34"/>
      <c r="R1442" s="34"/>
      <c r="S1442" s="34"/>
      <c r="T1442" s="34"/>
      <c r="U1442" s="34"/>
      <c r="V1442" s="34"/>
      <c r="W1442" s="34"/>
      <c r="X1442" s="34"/>
      <c r="Y1442" s="34"/>
      <c r="Z1442" s="34"/>
    </row>
    <row r="1443" spans="1:26" ht="23.25" customHeight="1">
      <c r="A1443" s="29"/>
      <c r="B1443" s="19"/>
      <c r="C1443" s="31"/>
      <c r="D1443" s="32"/>
      <c r="E1443" s="46"/>
      <c r="F1443" s="43"/>
      <c r="G1443" s="34"/>
      <c r="H1443" s="34"/>
      <c r="I1443" s="34"/>
      <c r="J1443" s="34"/>
      <c r="K1443" s="34"/>
      <c r="L1443" s="34"/>
      <c r="M1443" s="34"/>
      <c r="N1443" s="34"/>
      <c r="O1443" s="34"/>
      <c r="P1443" s="34"/>
      <c r="Q1443" s="34"/>
      <c r="R1443" s="34"/>
      <c r="S1443" s="34"/>
      <c r="T1443" s="34"/>
      <c r="U1443" s="34"/>
      <c r="V1443" s="34"/>
      <c r="W1443" s="34"/>
      <c r="X1443" s="34"/>
      <c r="Y1443" s="34"/>
      <c r="Z1443" s="34"/>
    </row>
    <row r="1444" spans="1:26" ht="23.25" customHeight="1">
      <c r="A1444" s="29"/>
      <c r="B1444" s="19"/>
      <c r="C1444" s="31"/>
      <c r="D1444" s="32"/>
      <c r="E1444" s="46"/>
      <c r="F1444" s="43"/>
      <c r="G1444" s="34"/>
      <c r="H1444" s="34"/>
      <c r="I1444" s="34"/>
      <c r="J1444" s="34"/>
      <c r="K1444" s="34"/>
      <c r="L1444" s="34"/>
      <c r="M1444" s="34"/>
      <c r="N1444" s="34"/>
      <c r="O1444" s="34"/>
      <c r="P1444" s="34"/>
      <c r="Q1444" s="34"/>
      <c r="R1444" s="34"/>
      <c r="S1444" s="34"/>
      <c r="T1444" s="34"/>
      <c r="U1444" s="34"/>
      <c r="V1444" s="34"/>
      <c r="W1444" s="34"/>
      <c r="X1444" s="34"/>
      <c r="Y1444" s="34"/>
      <c r="Z1444" s="34"/>
    </row>
    <row r="1445" spans="1:26" ht="23.25" customHeight="1">
      <c r="A1445" s="29"/>
      <c r="B1445" s="19"/>
      <c r="C1445" s="31"/>
      <c r="D1445" s="32"/>
      <c r="E1445" s="46"/>
      <c r="F1445" s="43"/>
      <c r="G1445" s="34"/>
      <c r="H1445" s="34"/>
      <c r="I1445" s="34"/>
      <c r="J1445" s="34"/>
      <c r="K1445" s="34"/>
      <c r="L1445" s="34"/>
      <c r="M1445" s="34"/>
      <c r="N1445" s="34"/>
      <c r="O1445" s="34"/>
      <c r="P1445" s="34"/>
      <c r="Q1445" s="34"/>
      <c r="R1445" s="34"/>
      <c r="S1445" s="34"/>
      <c r="T1445" s="34"/>
      <c r="U1445" s="34"/>
      <c r="V1445" s="34"/>
      <c r="W1445" s="34"/>
      <c r="X1445" s="34"/>
      <c r="Y1445" s="34"/>
      <c r="Z1445" s="34"/>
    </row>
    <row r="1446" spans="1:26" ht="23.25" customHeight="1">
      <c r="A1446" s="29"/>
      <c r="B1446" s="19"/>
      <c r="C1446" s="31"/>
      <c r="D1446" s="32"/>
      <c r="E1446" s="46"/>
      <c r="F1446" s="43"/>
      <c r="G1446" s="34"/>
      <c r="H1446" s="34"/>
      <c r="I1446" s="34"/>
      <c r="J1446" s="34"/>
      <c r="K1446" s="34"/>
      <c r="L1446" s="34"/>
      <c r="M1446" s="34"/>
      <c r="N1446" s="34"/>
      <c r="O1446" s="34"/>
      <c r="P1446" s="34"/>
      <c r="Q1446" s="34"/>
      <c r="R1446" s="34"/>
      <c r="S1446" s="34"/>
      <c r="T1446" s="34"/>
      <c r="U1446" s="34"/>
      <c r="V1446" s="34"/>
      <c r="W1446" s="34"/>
      <c r="X1446" s="34"/>
      <c r="Y1446" s="34"/>
      <c r="Z1446" s="34"/>
    </row>
    <row r="1447" spans="1:26" ht="23.25" customHeight="1">
      <c r="A1447" s="29"/>
      <c r="B1447" s="19"/>
      <c r="C1447" s="31"/>
      <c r="D1447" s="32"/>
      <c r="E1447" s="46"/>
      <c r="F1447" s="43"/>
      <c r="G1447" s="34"/>
      <c r="H1447" s="34"/>
      <c r="I1447" s="34"/>
      <c r="J1447" s="34"/>
      <c r="K1447" s="34"/>
      <c r="L1447" s="34"/>
      <c r="M1447" s="34"/>
      <c r="N1447" s="34"/>
      <c r="O1447" s="34"/>
      <c r="P1447" s="34"/>
      <c r="Q1447" s="34"/>
      <c r="R1447" s="34"/>
      <c r="S1447" s="34"/>
      <c r="T1447" s="34"/>
      <c r="U1447" s="34"/>
      <c r="V1447" s="34"/>
      <c r="W1447" s="34"/>
      <c r="X1447" s="34"/>
      <c r="Y1447" s="34"/>
      <c r="Z1447" s="34"/>
    </row>
    <row r="1448" spans="1:26" ht="23.25" customHeight="1">
      <c r="A1448" s="29"/>
      <c r="B1448" s="19"/>
      <c r="C1448" s="31"/>
      <c r="D1448" s="32"/>
      <c r="E1448" s="46"/>
      <c r="F1448" s="43"/>
      <c r="G1448" s="34"/>
      <c r="H1448" s="34"/>
      <c r="I1448" s="34"/>
      <c r="J1448" s="34"/>
      <c r="K1448" s="34"/>
      <c r="L1448" s="34"/>
      <c r="M1448" s="34"/>
      <c r="N1448" s="34"/>
      <c r="O1448" s="34"/>
      <c r="P1448" s="34"/>
      <c r="Q1448" s="34"/>
      <c r="R1448" s="34"/>
      <c r="S1448" s="34"/>
      <c r="T1448" s="34"/>
      <c r="U1448" s="34"/>
      <c r="V1448" s="34"/>
      <c r="W1448" s="34"/>
      <c r="X1448" s="34"/>
      <c r="Y1448" s="34"/>
      <c r="Z1448" s="34"/>
    </row>
    <row r="1449" spans="1:26" ht="23.25" customHeight="1">
      <c r="A1449" s="29"/>
      <c r="B1449" s="19"/>
      <c r="C1449" s="31"/>
      <c r="D1449" s="32"/>
      <c r="E1449" s="46"/>
      <c r="F1449" s="43"/>
      <c r="G1449" s="34"/>
      <c r="H1449" s="34"/>
      <c r="I1449" s="34"/>
      <c r="J1449" s="34"/>
      <c r="K1449" s="34"/>
      <c r="L1449" s="34"/>
      <c r="M1449" s="34"/>
      <c r="N1449" s="34"/>
      <c r="O1449" s="34"/>
      <c r="P1449" s="34"/>
      <c r="Q1449" s="34"/>
      <c r="R1449" s="34"/>
      <c r="S1449" s="34"/>
      <c r="T1449" s="34"/>
      <c r="U1449" s="34"/>
      <c r="V1449" s="34"/>
      <c r="W1449" s="34"/>
      <c r="X1449" s="34"/>
      <c r="Y1449" s="34"/>
      <c r="Z1449" s="34"/>
    </row>
    <row r="1450" spans="1:26" ht="23.25" customHeight="1">
      <c r="A1450" s="29"/>
      <c r="B1450" s="19"/>
      <c r="C1450" s="31"/>
      <c r="D1450" s="32"/>
      <c r="E1450" s="46"/>
      <c r="F1450" s="43"/>
      <c r="G1450" s="34"/>
      <c r="H1450" s="34"/>
      <c r="I1450" s="34"/>
      <c r="J1450" s="34"/>
      <c r="K1450" s="34"/>
      <c r="L1450" s="34"/>
      <c r="M1450" s="34"/>
      <c r="N1450" s="34"/>
      <c r="O1450" s="34"/>
      <c r="P1450" s="34"/>
      <c r="Q1450" s="34"/>
      <c r="R1450" s="34"/>
      <c r="S1450" s="34"/>
      <c r="T1450" s="34"/>
      <c r="U1450" s="34"/>
      <c r="V1450" s="34"/>
      <c r="W1450" s="34"/>
      <c r="X1450" s="34"/>
      <c r="Y1450" s="34"/>
      <c r="Z1450" s="34"/>
    </row>
    <row r="1451" spans="1:26" ht="23.25" customHeight="1">
      <c r="A1451" s="29"/>
      <c r="B1451" s="19"/>
      <c r="C1451" s="31"/>
      <c r="D1451" s="32"/>
      <c r="E1451" s="46"/>
      <c r="F1451" s="43"/>
      <c r="G1451" s="34"/>
      <c r="H1451" s="34"/>
      <c r="I1451" s="34"/>
      <c r="J1451" s="34"/>
      <c r="K1451" s="34"/>
      <c r="L1451" s="34"/>
      <c r="M1451" s="34"/>
      <c r="N1451" s="34"/>
      <c r="O1451" s="34"/>
      <c r="P1451" s="34"/>
      <c r="Q1451" s="34"/>
      <c r="R1451" s="34"/>
      <c r="S1451" s="34"/>
      <c r="T1451" s="34"/>
      <c r="U1451" s="34"/>
      <c r="V1451" s="34"/>
      <c r="W1451" s="34"/>
      <c r="X1451" s="34"/>
      <c r="Y1451" s="34"/>
      <c r="Z1451" s="34"/>
    </row>
    <row r="1452" spans="1:26" ht="23.25" customHeight="1">
      <c r="A1452" s="29"/>
      <c r="B1452" s="19"/>
      <c r="C1452" s="31"/>
      <c r="D1452" s="32"/>
      <c r="E1452" s="46"/>
      <c r="F1452" s="43"/>
      <c r="G1452" s="34"/>
      <c r="H1452" s="34"/>
      <c r="I1452" s="34"/>
      <c r="J1452" s="34"/>
      <c r="K1452" s="34"/>
      <c r="L1452" s="34"/>
      <c r="M1452" s="34"/>
      <c r="N1452" s="34"/>
      <c r="O1452" s="34"/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</row>
    <row r="1453" spans="1:26" ht="23.25" customHeight="1">
      <c r="A1453" s="29"/>
      <c r="B1453" s="19"/>
      <c r="C1453" s="31"/>
      <c r="D1453" s="32"/>
      <c r="E1453" s="46"/>
      <c r="F1453" s="43"/>
      <c r="G1453" s="34"/>
      <c r="H1453" s="34"/>
      <c r="I1453" s="34"/>
      <c r="J1453" s="34"/>
      <c r="K1453" s="34"/>
      <c r="L1453" s="34"/>
      <c r="M1453" s="34"/>
      <c r="N1453" s="34"/>
      <c r="O1453" s="34"/>
      <c r="P1453" s="34"/>
      <c r="Q1453" s="34"/>
      <c r="R1453" s="34"/>
      <c r="S1453" s="34"/>
      <c r="T1453" s="34"/>
      <c r="U1453" s="34"/>
      <c r="V1453" s="34"/>
      <c r="W1453" s="34"/>
      <c r="X1453" s="34"/>
      <c r="Y1453" s="34"/>
      <c r="Z1453" s="34"/>
    </row>
    <row r="1454" spans="1:26" ht="23.25" customHeight="1">
      <c r="A1454" s="29"/>
      <c r="B1454" s="19"/>
      <c r="C1454" s="31"/>
      <c r="D1454" s="32"/>
      <c r="E1454" s="46"/>
      <c r="F1454" s="43"/>
      <c r="G1454" s="34"/>
      <c r="H1454" s="34"/>
      <c r="I1454" s="34"/>
      <c r="J1454" s="34"/>
      <c r="K1454" s="34"/>
      <c r="L1454" s="34"/>
      <c r="M1454" s="34"/>
      <c r="N1454" s="34"/>
      <c r="O1454" s="34"/>
      <c r="P1454" s="34"/>
      <c r="Q1454" s="34"/>
      <c r="R1454" s="34"/>
      <c r="S1454" s="34"/>
      <c r="T1454" s="34"/>
      <c r="U1454" s="34"/>
      <c r="V1454" s="34"/>
      <c r="W1454" s="34"/>
      <c r="X1454" s="34"/>
      <c r="Y1454" s="34"/>
      <c r="Z1454" s="34"/>
    </row>
    <row r="1455" spans="1:26" ht="23.25" customHeight="1">
      <c r="A1455" s="29"/>
      <c r="B1455" s="19"/>
      <c r="C1455" s="31"/>
      <c r="D1455" s="32"/>
      <c r="E1455" s="46"/>
      <c r="F1455" s="43"/>
      <c r="G1455" s="34"/>
      <c r="H1455" s="34"/>
      <c r="I1455" s="34"/>
      <c r="J1455" s="34"/>
      <c r="K1455" s="34"/>
      <c r="L1455" s="34"/>
      <c r="M1455" s="34"/>
      <c r="N1455" s="34"/>
      <c r="O1455" s="34"/>
      <c r="P1455" s="34"/>
      <c r="Q1455" s="34"/>
      <c r="R1455" s="34"/>
      <c r="S1455" s="34"/>
      <c r="T1455" s="34"/>
      <c r="U1455" s="34"/>
      <c r="V1455" s="34"/>
      <c r="W1455" s="34"/>
      <c r="X1455" s="34"/>
      <c r="Y1455" s="34"/>
      <c r="Z1455" s="34"/>
    </row>
    <row r="1456" spans="1:26" ht="23.25" customHeight="1">
      <c r="A1456" s="29"/>
      <c r="B1456" s="19"/>
      <c r="C1456" s="31"/>
      <c r="D1456" s="32"/>
      <c r="E1456" s="46"/>
      <c r="F1456" s="43"/>
      <c r="G1456" s="34"/>
      <c r="H1456" s="34"/>
      <c r="I1456" s="34"/>
      <c r="J1456" s="34"/>
      <c r="K1456" s="34"/>
      <c r="L1456" s="34"/>
      <c r="M1456" s="34"/>
      <c r="N1456" s="34"/>
      <c r="O1456" s="34"/>
      <c r="P1456" s="34"/>
      <c r="Q1456" s="34"/>
      <c r="R1456" s="34"/>
      <c r="S1456" s="34"/>
      <c r="T1456" s="34"/>
      <c r="U1456" s="34"/>
      <c r="V1456" s="34"/>
      <c r="W1456" s="34"/>
      <c r="X1456" s="34"/>
      <c r="Y1456" s="34"/>
      <c r="Z1456" s="34"/>
    </row>
    <row r="1457" spans="1:26" ht="23.25" customHeight="1">
      <c r="A1457" s="29"/>
      <c r="B1457" s="19"/>
      <c r="C1457" s="31"/>
      <c r="D1457" s="32"/>
      <c r="E1457" s="46"/>
      <c r="F1457" s="43"/>
      <c r="G1457" s="34"/>
      <c r="H1457" s="34"/>
      <c r="I1457" s="34"/>
      <c r="J1457" s="34"/>
      <c r="K1457" s="34"/>
      <c r="L1457" s="34"/>
      <c r="M1457" s="34"/>
      <c r="N1457" s="34"/>
      <c r="O1457" s="34"/>
      <c r="P1457" s="34"/>
      <c r="Q1457" s="34"/>
      <c r="R1457" s="34"/>
      <c r="S1457" s="34"/>
      <c r="T1457" s="34"/>
      <c r="U1457" s="34"/>
      <c r="V1457" s="34"/>
      <c r="W1457" s="34"/>
      <c r="X1457" s="34"/>
      <c r="Y1457" s="34"/>
      <c r="Z1457" s="34"/>
    </row>
    <row r="1458" spans="1:26" ht="23.25" customHeight="1">
      <c r="A1458" s="29"/>
      <c r="B1458" s="19"/>
      <c r="C1458" s="31"/>
      <c r="D1458" s="32"/>
      <c r="E1458" s="46"/>
      <c r="F1458" s="43"/>
      <c r="G1458" s="34"/>
      <c r="H1458" s="34"/>
      <c r="I1458" s="34"/>
      <c r="J1458" s="34"/>
      <c r="K1458" s="34"/>
      <c r="L1458" s="34"/>
      <c r="M1458" s="34"/>
      <c r="N1458" s="34"/>
      <c r="O1458" s="34"/>
      <c r="P1458" s="34"/>
      <c r="Q1458" s="34"/>
      <c r="R1458" s="34"/>
      <c r="S1458" s="34"/>
      <c r="T1458" s="34"/>
      <c r="U1458" s="34"/>
      <c r="V1458" s="34"/>
      <c r="W1458" s="34"/>
      <c r="X1458" s="34"/>
      <c r="Y1458" s="34"/>
      <c r="Z1458" s="34"/>
    </row>
    <row r="1459" spans="1:26" ht="23.25" customHeight="1">
      <c r="A1459" s="29"/>
      <c r="B1459" s="19"/>
      <c r="C1459" s="31"/>
      <c r="D1459" s="32"/>
      <c r="E1459" s="46"/>
      <c r="F1459" s="43"/>
      <c r="G1459" s="34"/>
      <c r="H1459" s="34"/>
      <c r="I1459" s="34"/>
      <c r="J1459" s="34"/>
      <c r="K1459" s="34"/>
      <c r="L1459" s="34"/>
      <c r="M1459" s="34"/>
      <c r="N1459" s="34"/>
      <c r="O1459" s="34"/>
      <c r="P1459" s="34"/>
      <c r="Q1459" s="34"/>
      <c r="R1459" s="34"/>
      <c r="S1459" s="34"/>
      <c r="T1459" s="34"/>
      <c r="U1459" s="34"/>
      <c r="V1459" s="34"/>
      <c r="W1459" s="34"/>
      <c r="X1459" s="34"/>
      <c r="Y1459" s="34"/>
      <c r="Z1459" s="34"/>
    </row>
    <row r="1460" spans="1:26" ht="23.25" customHeight="1">
      <c r="A1460" s="29"/>
      <c r="B1460" s="19"/>
      <c r="C1460" s="31"/>
      <c r="D1460" s="32"/>
      <c r="E1460" s="46"/>
      <c r="F1460" s="43"/>
      <c r="G1460" s="34"/>
      <c r="H1460" s="34"/>
      <c r="I1460" s="34"/>
      <c r="J1460" s="34"/>
      <c r="K1460" s="34"/>
      <c r="L1460" s="34"/>
      <c r="M1460" s="34"/>
      <c r="N1460" s="34"/>
      <c r="O1460" s="34"/>
      <c r="P1460" s="34"/>
      <c r="Q1460" s="34"/>
      <c r="R1460" s="34"/>
      <c r="S1460" s="34"/>
      <c r="T1460" s="34"/>
      <c r="U1460" s="34"/>
      <c r="V1460" s="34"/>
      <c r="W1460" s="34"/>
      <c r="X1460" s="34"/>
      <c r="Y1460" s="34"/>
      <c r="Z1460" s="34"/>
    </row>
    <row r="1461" spans="1:26" ht="23.25" customHeight="1">
      <c r="A1461" s="29"/>
      <c r="B1461" s="19"/>
      <c r="C1461" s="31"/>
      <c r="D1461" s="32"/>
      <c r="E1461" s="46"/>
      <c r="F1461" s="43"/>
      <c r="G1461" s="34"/>
      <c r="H1461" s="34"/>
      <c r="I1461" s="34"/>
      <c r="J1461" s="34"/>
      <c r="K1461" s="34"/>
      <c r="L1461" s="34"/>
      <c r="M1461" s="34"/>
      <c r="N1461" s="34"/>
      <c r="O1461" s="34"/>
      <c r="P1461" s="34"/>
      <c r="Q1461" s="34"/>
      <c r="R1461" s="34"/>
      <c r="S1461" s="34"/>
      <c r="T1461" s="34"/>
      <c r="U1461" s="34"/>
      <c r="V1461" s="34"/>
      <c r="W1461" s="34"/>
      <c r="X1461" s="34"/>
      <c r="Y1461" s="34"/>
      <c r="Z1461" s="34"/>
    </row>
    <row r="1462" spans="1:26" ht="23.25" customHeight="1">
      <c r="A1462" s="29"/>
      <c r="B1462" s="19"/>
      <c r="C1462" s="31"/>
      <c r="D1462" s="32"/>
      <c r="E1462" s="46"/>
      <c r="F1462" s="43"/>
      <c r="G1462" s="34"/>
      <c r="H1462" s="34"/>
      <c r="I1462" s="34"/>
      <c r="J1462" s="34"/>
      <c r="K1462" s="34"/>
      <c r="L1462" s="34"/>
      <c r="M1462" s="34"/>
      <c r="N1462" s="34"/>
      <c r="O1462" s="34"/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</row>
    <row r="1463" spans="1:26" ht="23.25" customHeight="1">
      <c r="A1463" s="29"/>
      <c r="B1463" s="19"/>
      <c r="C1463" s="31"/>
      <c r="D1463" s="32"/>
      <c r="E1463" s="46"/>
      <c r="F1463" s="43"/>
      <c r="G1463" s="34"/>
      <c r="H1463" s="34"/>
      <c r="I1463" s="34"/>
      <c r="J1463" s="34"/>
      <c r="K1463" s="34"/>
      <c r="L1463" s="34"/>
      <c r="M1463" s="34"/>
      <c r="N1463" s="34"/>
      <c r="O1463" s="34"/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</row>
    <row r="1464" spans="1:26" ht="23.25" customHeight="1">
      <c r="A1464" s="29"/>
      <c r="B1464" s="19"/>
      <c r="C1464" s="31"/>
      <c r="D1464" s="32"/>
      <c r="E1464" s="46"/>
      <c r="F1464" s="43"/>
      <c r="G1464" s="34"/>
      <c r="H1464" s="34"/>
      <c r="I1464" s="34"/>
      <c r="J1464" s="34"/>
      <c r="K1464" s="34"/>
      <c r="L1464" s="34"/>
      <c r="M1464" s="34"/>
      <c r="N1464" s="34"/>
      <c r="O1464" s="34"/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</row>
    <row r="1465" spans="1:26" ht="23.25" customHeight="1">
      <c r="A1465" s="29"/>
      <c r="B1465" s="19"/>
      <c r="C1465" s="31"/>
      <c r="D1465" s="32"/>
      <c r="E1465" s="46"/>
      <c r="F1465" s="43"/>
      <c r="G1465" s="34"/>
      <c r="H1465" s="34"/>
      <c r="I1465" s="34"/>
      <c r="J1465" s="34"/>
      <c r="K1465" s="34"/>
      <c r="L1465" s="34"/>
      <c r="M1465" s="34"/>
      <c r="N1465" s="34"/>
      <c r="O1465" s="34"/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</row>
    <row r="1466" spans="1:26" ht="23.25" customHeight="1">
      <c r="A1466" s="29"/>
      <c r="B1466" s="19"/>
      <c r="C1466" s="31"/>
      <c r="D1466" s="32"/>
      <c r="E1466" s="46"/>
      <c r="F1466" s="43"/>
      <c r="G1466" s="34"/>
      <c r="H1466" s="34"/>
      <c r="I1466" s="34"/>
      <c r="J1466" s="34"/>
      <c r="K1466" s="34"/>
      <c r="L1466" s="34"/>
      <c r="M1466" s="34"/>
      <c r="N1466" s="34"/>
      <c r="O1466" s="34"/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</row>
    <row r="1467" spans="1:26" ht="23.25" customHeight="1">
      <c r="A1467" s="29"/>
      <c r="B1467" s="19"/>
      <c r="C1467" s="31"/>
      <c r="D1467" s="32"/>
      <c r="E1467" s="46"/>
      <c r="F1467" s="43"/>
      <c r="G1467" s="34"/>
      <c r="H1467" s="34"/>
      <c r="I1467" s="34"/>
      <c r="J1467" s="34"/>
      <c r="K1467" s="34"/>
      <c r="L1467" s="34"/>
      <c r="M1467" s="34"/>
      <c r="N1467" s="34"/>
      <c r="O1467" s="34"/>
      <c r="P1467" s="34"/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</row>
    <row r="1468" spans="1:26" ht="23.25" customHeight="1">
      <c r="A1468" s="29"/>
      <c r="B1468" s="19"/>
      <c r="C1468" s="31"/>
      <c r="D1468" s="32"/>
      <c r="E1468" s="46"/>
      <c r="F1468" s="43"/>
      <c r="G1468" s="34"/>
      <c r="H1468" s="34"/>
      <c r="I1468" s="34"/>
      <c r="J1468" s="34"/>
      <c r="K1468" s="34"/>
      <c r="L1468" s="34"/>
      <c r="M1468" s="34"/>
      <c r="N1468" s="34"/>
      <c r="O1468" s="34"/>
      <c r="P1468" s="34"/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</row>
    <row r="1469" spans="1:26" ht="23.25" customHeight="1">
      <c r="A1469" s="29"/>
      <c r="B1469" s="19"/>
      <c r="C1469" s="31"/>
      <c r="D1469" s="32"/>
      <c r="E1469" s="46"/>
      <c r="F1469" s="43"/>
      <c r="G1469" s="34"/>
      <c r="H1469" s="34"/>
      <c r="I1469" s="34"/>
      <c r="J1469" s="34"/>
      <c r="K1469" s="34"/>
      <c r="L1469" s="34"/>
      <c r="M1469" s="34"/>
      <c r="N1469" s="34"/>
      <c r="O1469" s="34"/>
      <c r="P1469" s="34"/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</row>
    <row r="1470" spans="1:26" ht="23.25" customHeight="1">
      <c r="A1470" s="29"/>
      <c r="B1470" s="19"/>
      <c r="C1470" s="31"/>
      <c r="D1470" s="32"/>
      <c r="E1470" s="46"/>
      <c r="F1470" s="43"/>
      <c r="G1470" s="34"/>
      <c r="H1470" s="34"/>
      <c r="I1470" s="34"/>
      <c r="J1470" s="34"/>
      <c r="K1470" s="34"/>
      <c r="L1470" s="34"/>
      <c r="M1470" s="34"/>
      <c r="N1470" s="34"/>
      <c r="O1470" s="34"/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</row>
    <row r="1471" spans="1:26" ht="23.25" customHeight="1">
      <c r="A1471" s="29"/>
      <c r="B1471" s="19"/>
      <c r="C1471" s="31"/>
      <c r="D1471" s="32"/>
      <c r="E1471" s="46"/>
      <c r="F1471" s="43"/>
      <c r="G1471" s="34"/>
      <c r="H1471" s="34"/>
      <c r="I1471" s="34"/>
      <c r="J1471" s="34"/>
      <c r="K1471" s="34"/>
      <c r="L1471" s="34"/>
      <c r="M1471" s="34"/>
      <c r="N1471" s="34"/>
      <c r="O1471" s="34"/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</row>
    <row r="1472" spans="1:26" ht="23.25" customHeight="1">
      <c r="A1472" s="29"/>
      <c r="B1472" s="19"/>
      <c r="C1472" s="31"/>
      <c r="D1472" s="32"/>
      <c r="E1472" s="46"/>
      <c r="F1472" s="43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</row>
    <row r="1473" spans="1:26" ht="23.25" customHeight="1">
      <c r="A1473" s="29"/>
      <c r="B1473" s="19"/>
      <c r="C1473" s="31"/>
      <c r="D1473" s="32"/>
      <c r="E1473" s="46"/>
      <c r="F1473" s="43"/>
      <c r="G1473" s="34"/>
      <c r="H1473" s="34"/>
      <c r="I1473" s="34"/>
      <c r="J1473" s="34"/>
      <c r="K1473" s="34"/>
      <c r="L1473" s="34"/>
      <c r="M1473" s="34"/>
      <c r="N1473" s="34"/>
      <c r="O1473" s="34"/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</row>
    <row r="1474" spans="1:26" ht="23.25" customHeight="1">
      <c r="A1474" s="29"/>
      <c r="B1474" s="19"/>
      <c r="C1474" s="31"/>
      <c r="D1474" s="32"/>
      <c r="E1474" s="46"/>
      <c r="F1474" s="43"/>
      <c r="G1474" s="34"/>
      <c r="H1474" s="34"/>
      <c r="I1474" s="34"/>
      <c r="J1474" s="34"/>
      <c r="K1474" s="34"/>
      <c r="L1474" s="34"/>
      <c r="M1474" s="34"/>
      <c r="N1474" s="34"/>
      <c r="O1474" s="34"/>
      <c r="P1474" s="34"/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</row>
    <row r="1475" spans="1:26" ht="23.25" customHeight="1">
      <c r="A1475" s="29"/>
      <c r="B1475" s="19"/>
      <c r="C1475" s="31"/>
      <c r="D1475" s="32"/>
      <c r="E1475" s="46"/>
      <c r="F1475" s="43"/>
      <c r="G1475" s="34"/>
      <c r="H1475" s="34"/>
      <c r="I1475" s="34"/>
      <c r="J1475" s="34"/>
      <c r="K1475" s="34"/>
      <c r="L1475" s="34"/>
      <c r="M1475" s="34"/>
      <c r="N1475" s="34"/>
      <c r="O1475" s="34"/>
      <c r="P1475" s="34"/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</row>
    <row r="1476" spans="1:26" ht="23.25" customHeight="1">
      <c r="A1476" s="29"/>
      <c r="B1476" s="19"/>
      <c r="C1476" s="31"/>
      <c r="D1476" s="32"/>
      <c r="E1476" s="46"/>
      <c r="F1476" s="43"/>
      <c r="G1476" s="34"/>
      <c r="H1476" s="34"/>
      <c r="I1476" s="34"/>
      <c r="J1476" s="34"/>
      <c r="K1476" s="34"/>
      <c r="L1476" s="34"/>
      <c r="M1476" s="34"/>
      <c r="N1476" s="34"/>
      <c r="O1476" s="34"/>
      <c r="P1476" s="34"/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</row>
    <row r="1477" spans="1:26" ht="23.25" customHeight="1">
      <c r="A1477" s="29"/>
      <c r="B1477" s="19"/>
      <c r="C1477" s="31"/>
      <c r="D1477" s="32"/>
      <c r="E1477" s="46"/>
      <c r="F1477" s="43"/>
      <c r="G1477" s="34"/>
      <c r="H1477" s="34"/>
      <c r="I1477" s="34"/>
      <c r="J1477" s="34"/>
      <c r="K1477" s="34"/>
      <c r="L1477" s="34"/>
      <c r="M1477" s="34"/>
      <c r="N1477" s="34"/>
      <c r="O1477" s="34"/>
      <c r="P1477" s="34"/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</row>
    <row r="1478" spans="1:26" ht="23.25" customHeight="1">
      <c r="A1478" s="29"/>
      <c r="B1478" s="19"/>
      <c r="C1478" s="31"/>
      <c r="D1478" s="32"/>
      <c r="E1478" s="46"/>
      <c r="F1478" s="43"/>
      <c r="G1478" s="34"/>
      <c r="H1478" s="34"/>
      <c r="I1478" s="34"/>
      <c r="J1478" s="34"/>
      <c r="K1478" s="34"/>
      <c r="L1478" s="34"/>
      <c r="M1478" s="34"/>
      <c r="N1478" s="34"/>
      <c r="O1478" s="34"/>
      <c r="P1478" s="34"/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</row>
    <row r="1479" spans="1:26" ht="23.25" customHeight="1">
      <c r="A1479" s="29"/>
      <c r="B1479" s="19"/>
      <c r="C1479" s="31"/>
      <c r="D1479" s="32"/>
      <c r="E1479" s="46"/>
      <c r="F1479" s="43"/>
      <c r="G1479" s="34"/>
      <c r="H1479" s="34"/>
      <c r="I1479" s="34"/>
      <c r="J1479" s="34"/>
      <c r="K1479" s="34"/>
      <c r="L1479" s="34"/>
      <c r="M1479" s="34"/>
      <c r="N1479" s="34"/>
      <c r="O1479" s="34"/>
      <c r="P1479" s="34"/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</row>
    <row r="1480" spans="1:26" ht="23.25" customHeight="1">
      <c r="A1480" s="29"/>
      <c r="B1480" s="19"/>
      <c r="C1480" s="31"/>
      <c r="D1480" s="32"/>
      <c r="E1480" s="46"/>
      <c r="F1480" s="43"/>
      <c r="G1480" s="34"/>
      <c r="H1480" s="34"/>
      <c r="I1480" s="34"/>
      <c r="J1480" s="34"/>
      <c r="K1480" s="34"/>
      <c r="L1480" s="34"/>
      <c r="M1480" s="34"/>
      <c r="N1480" s="34"/>
      <c r="O1480" s="34"/>
      <c r="P1480" s="34"/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</row>
    <row r="1481" spans="1:26" ht="23.25" customHeight="1">
      <c r="A1481" s="29"/>
      <c r="B1481" s="19"/>
      <c r="C1481" s="31"/>
      <c r="D1481" s="32"/>
      <c r="E1481" s="46"/>
      <c r="F1481" s="43"/>
      <c r="G1481" s="34"/>
      <c r="H1481" s="34"/>
      <c r="I1481" s="34"/>
      <c r="J1481" s="34"/>
      <c r="K1481" s="34"/>
      <c r="L1481" s="34"/>
      <c r="M1481" s="34"/>
      <c r="N1481" s="34"/>
      <c r="O1481" s="34"/>
      <c r="P1481" s="34"/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</row>
    <row r="1482" spans="1:26" ht="23.25" customHeight="1">
      <c r="A1482" s="29"/>
      <c r="B1482" s="19"/>
      <c r="C1482" s="31"/>
      <c r="D1482" s="32"/>
      <c r="E1482" s="46"/>
      <c r="F1482" s="43"/>
      <c r="G1482" s="34"/>
      <c r="H1482" s="34"/>
      <c r="I1482" s="34"/>
      <c r="J1482" s="34"/>
      <c r="K1482" s="34"/>
      <c r="L1482" s="34"/>
      <c r="M1482" s="34"/>
      <c r="N1482" s="34"/>
      <c r="O1482" s="34"/>
      <c r="P1482" s="34"/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</row>
    <row r="1483" spans="1:26" ht="23.25" customHeight="1">
      <c r="A1483" s="29"/>
      <c r="B1483" s="19"/>
      <c r="C1483" s="31"/>
      <c r="D1483" s="32"/>
      <c r="E1483" s="46"/>
      <c r="F1483" s="43"/>
      <c r="G1483" s="34"/>
      <c r="H1483" s="34"/>
      <c r="I1483" s="34"/>
      <c r="J1483" s="34"/>
      <c r="K1483" s="34"/>
      <c r="L1483" s="34"/>
      <c r="M1483" s="34"/>
      <c r="N1483" s="34"/>
      <c r="O1483" s="34"/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</row>
    <row r="1484" spans="1:26" ht="23.25" customHeight="1">
      <c r="A1484" s="29"/>
      <c r="B1484" s="19"/>
      <c r="C1484" s="31"/>
      <c r="D1484" s="32"/>
      <c r="E1484" s="46"/>
      <c r="F1484" s="43"/>
      <c r="G1484" s="34"/>
      <c r="H1484" s="34"/>
      <c r="I1484" s="34"/>
      <c r="J1484" s="34"/>
      <c r="K1484" s="34"/>
      <c r="L1484" s="34"/>
      <c r="M1484" s="34"/>
      <c r="N1484" s="34"/>
      <c r="O1484" s="34"/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</row>
    <row r="1485" spans="1:26" ht="23.25" customHeight="1">
      <c r="A1485" s="29"/>
      <c r="B1485" s="19"/>
      <c r="C1485" s="31"/>
      <c r="D1485" s="32"/>
      <c r="E1485" s="46"/>
      <c r="F1485" s="43"/>
      <c r="G1485" s="34"/>
      <c r="H1485" s="34"/>
      <c r="I1485" s="34"/>
      <c r="J1485" s="34"/>
      <c r="K1485" s="34"/>
      <c r="L1485" s="34"/>
      <c r="M1485" s="34"/>
      <c r="N1485" s="34"/>
      <c r="O1485" s="34"/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</row>
    <row r="1486" spans="1:26" ht="23.25" customHeight="1">
      <c r="A1486" s="29"/>
      <c r="B1486" s="19"/>
      <c r="C1486" s="31"/>
      <c r="D1486" s="32"/>
      <c r="E1486" s="46"/>
      <c r="F1486" s="43"/>
      <c r="G1486" s="34"/>
      <c r="H1486" s="34"/>
      <c r="I1486" s="34"/>
      <c r="J1486" s="34"/>
      <c r="K1486" s="34"/>
      <c r="L1486" s="34"/>
      <c r="M1486" s="34"/>
      <c r="N1486" s="34"/>
      <c r="O1486" s="34"/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</row>
    <row r="1487" spans="1:26" ht="23.25" customHeight="1">
      <c r="A1487" s="29"/>
      <c r="B1487" s="19"/>
      <c r="C1487" s="31"/>
      <c r="D1487" s="32"/>
      <c r="E1487" s="46"/>
      <c r="F1487" s="43"/>
      <c r="G1487" s="34"/>
      <c r="H1487" s="34"/>
      <c r="I1487" s="34"/>
      <c r="J1487" s="34"/>
      <c r="K1487" s="34"/>
      <c r="L1487" s="34"/>
      <c r="M1487" s="34"/>
      <c r="N1487" s="34"/>
      <c r="O1487" s="34"/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</row>
    <row r="1488" spans="1:26" ht="23.25" customHeight="1">
      <c r="A1488" s="29"/>
      <c r="B1488" s="19"/>
      <c r="C1488" s="31"/>
      <c r="D1488" s="32"/>
      <c r="E1488" s="46"/>
      <c r="F1488" s="43"/>
      <c r="G1488" s="34"/>
      <c r="H1488" s="34"/>
      <c r="I1488" s="34"/>
      <c r="J1488" s="34"/>
      <c r="K1488" s="34"/>
      <c r="L1488" s="34"/>
      <c r="M1488" s="34"/>
      <c r="N1488" s="34"/>
      <c r="O1488" s="34"/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</row>
    <row r="1489" spans="1:26" ht="23.25" customHeight="1">
      <c r="A1489" s="29"/>
      <c r="B1489" s="19"/>
      <c r="C1489" s="31"/>
      <c r="D1489" s="32"/>
      <c r="E1489" s="46"/>
      <c r="F1489" s="43"/>
      <c r="G1489" s="34"/>
      <c r="H1489" s="34"/>
      <c r="I1489" s="34"/>
      <c r="J1489" s="34"/>
      <c r="K1489" s="34"/>
      <c r="L1489" s="34"/>
      <c r="M1489" s="34"/>
      <c r="N1489" s="34"/>
      <c r="O1489" s="34"/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</row>
    <row r="1490" spans="1:26" ht="23.25" customHeight="1">
      <c r="A1490" s="29"/>
      <c r="B1490" s="19"/>
      <c r="C1490" s="31"/>
      <c r="D1490" s="32"/>
      <c r="E1490" s="46"/>
      <c r="F1490" s="43"/>
      <c r="G1490" s="34"/>
      <c r="H1490" s="34"/>
      <c r="I1490" s="34"/>
      <c r="J1490" s="34"/>
      <c r="K1490" s="34"/>
      <c r="L1490" s="34"/>
      <c r="M1490" s="34"/>
      <c r="N1490" s="34"/>
      <c r="O1490" s="34"/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</row>
    <row r="1491" spans="1:26" ht="23.25" customHeight="1">
      <c r="A1491" s="29"/>
      <c r="B1491" s="19"/>
      <c r="C1491" s="31"/>
      <c r="D1491" s="32"/>
      <c r="E1491" s="46"/>
      <c r="F1491" s="43"/>
      <c r="G1491" s="34"/>
      <c r="H1491" s="34"/>
      <c r="I1491" s="34"/>
      <c r="J1491" s="34"/>
      <c r="K1491" s="34"/>
      <c r="L1491" s="34"/>
      <c r="M1491" s="34"/>
      <c r="N1491" s="34"/>
      <c r="O1491" s="34"/>
      <c r="P1491" s="34"/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</row>
    <row r="1492" spans="1:26" ht="23.25" customHeight="1">
      <c r="A1492" s="29"/>
      <c r="B1492" s="19"/>
      <c r="C1492" s="31"/>
      <c r="D1492" s="32"/>
      <c r="E1492" s="46"/>
      <c r="F1492" s="43"/>
      <c r="G1492" s="34"/>
      <c r="H1492" s="34"/>
      <c r="I1492" s="34"/>
      <c r="J1492" s="34"/>
      <c r="K1492" s="34"/>
      <c r="L1492" s="34"/>
      <c r="M1492" s="34"/>
      <c r="N1492" s="34"/>
      <c r="O1492" s="34"/>
      <c r="P1492" s="34"/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</row>
    <row r="1493" spans="1:26" ht="23.25" customHeight="1">
      <c r="A1493" s="29"/>
      <c r="B1493" s="19"/>
      <c r="C1493" s="31"/>
      <c r="D1493" s="32"/>
      <c r="E1493" s="46"/>
      <c r="F1493" s="43"/>
      <c r="G1493" s="34"/>
      <c r="H1493" s="34"/>
      <c r="I1493" s="34"/>
      <c r="J1493" s="34"/>
      <c r="K1493" s="34"/>
      <c r="L1493" s="34"/>
      <c r="M1493" s="34"/>
      <c r="N1493" s="34"/>
      <c r="O1493" s="34"/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</row>
    <row r="1494" spans="1:26" ht="23.25" customHeight="1">
      <c r="A1494" s="29"/>
      <c r="B1494" s="19"/>
      <c r="C1494" s="31"/>
      <c r="D1494" s="32"/>
      <c r="E1494" s="46"/>
      <c r="F1494" s="43"/>
      <c r="G1494" s="34"/>
      <c r="H1494" s="34"/>
      <c r="I1494" s="34"/>
      <c r="J1494" s="34"/>
      <c r="K1494" s="34"/>
      <c r="L1494" s="34"/>
      <c r="M1494" s="34"/>
      <c r="N1494" s="34"/>
      <c r="O1494" s="34"/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</row>
    <row r="1495" spans="1:26" ht="23.25" customHeight="1">
      <c r="A1495" s="29"/>
      <c r="B1495" s="19"/>
      <c r="C1495" s="31"/>
      <c r="D1495" s="32"/>
      <c r="E1495" s="46"/>
      <c r="F1495" s="43"/>
      <c r="G1495" s="34"/>
      <c r="H1495" s="34"/>
      <c r="I1495" s="34"/>
      <c r="J1495" s="34"/>
      <c r="K1495" s="34"/>
      <c r="L1495" s="34"/>
      <c r="M1495" s="34"/>
      <c r="N1495" s="34"/>
      <c r="O1495" s="34"/>
      <c r="P1495" s="34"/>
      <c r="Q1495" s="34"/>
      <c r="R1495" s="34"/>
      <c r="S1495" s="34"/>
      <c r="T1495" s="34"/>
      <c r="U1495" s="34"/>
      <c r="V1495" s="34"/>
      <c r="W1495" s="34"/>
      <c r="X1495" s="34"/>
      <c r="Y1495" s="34"/>
      <c r="Z1495" s="34"/>
    </row>
    <row r="1496" spans="1:26" ht="23.25" customHeight="1">
      <c r="A1496" s="29"/>
      <c r="B1496" s="19"/>
      <c r="C1496" s="31"/>
      <c r="D1496" s="32"/>
      <c r="E1496" s="46"/>
      <c r="F1496" s="43"/>
      <c r="G1496" s="34"/>
      <c r="H1496" s="34"/>
      <c r="I1496" s="34"/>
      <c r="J1496" s="34"/>
      <c r="K1496" s="34"/>
      <c r="L1496" s="34"/>
      <c r="M1496" s="34"/>
      <c r="N1496" s="34"/>
      <c r="O1496" s="34"/>
      <c r="P1496" s="34"/>
      <c r="Q1496" s="34"/>
      <c r="R1496" s="34"/>
      <c r="S1496" s="34"/>
      <c r="T1496" s="34"/>
      <c r="U1496" s="34"/>
      <c r="V1496" s="34"/>
      <c r="W1496" s="34"/>
      <c r="X1496" s="34"/>
      <c r="Y1496" s="34"/>
      <c r="Z1496" s="34"/>
    </row>
    <row r="1497" spans="1:26" ht="23.25" customHeight="1">
      <c r="A1497" s="29"/>
      <c r="B1497" s="19"/>
      <c r="C1497" s="31"/>
      <c r="D1497" s="32"/>
      <c r="E1497" s="46"/>
      <c r="F1497" s="43"/>
      <c r="G1497" s="34"/>
      <c r="H1497" s="34"/>
      <c r="I1497" s="34"/>
      <c r="J1497" s="34"/>
      <c r="K1497" s="34"/>
      <c r="L1497" s="34"/>
      <c r="M1497" s="34"/>
      <c r="N1497" s="34"/>
      <c r="O1497" s="34"/>
      <c r="P1497" s="34"/>
      <c r="Q1497" s="34"/>
      <c r="R1497" s="34"/>
      <c r="S1497" s="34"/>
      <c r="T1497" s="34"/>
      <c r="U1497" s="34"/>
      <c r="V1497" s="34"/>
      <c r="W1497" s="34"/>
      <c r="X1497" s="34"/>
      <c r="Y1497" s="34"/>
      <c r="Z1497" s="34"/>
    </row>
    <row r="1498" spans="1:26" ht="23.25" customHeight="1">
      <c r="A1498" s="29"/>
      <c r="B1498" s="19"/>
      <c r="C1498" s="31"/>
      <c r="D1498" s="32"/>
      <c r="E1498" s="46"/>
      <c r="F1498" s="43"/>
      <c r="G1498" s="34"/>
      <c r="H1498" s="34"/>
      <c r="I1498" s="34"/>
      <c r="J1498" s="34"/>
      <c r="K1498" s="34"/>
      <c r="L1498" s="34"/>
      <c r="M1498" s="34"/>
      <c r="N1498" s="34"/>
      <c r="O1498" s="34"/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</row>
    <row r="1499" spans="1:26" ht="23.25" customHeight="1">
      <c r="A1499" s="29"/>
      <c r="B1499" s="19"/>
      <c r="C1499" s="31"/>
      <c r="D1499" s="32"/>
      <c r="E1499" s="46"/>
      <c r="F1499" s="43"/>
      <c r="G1499" s="34"/>
      <c r="H1499" s="34"/>
      <c r="I1499" s="34"/>
      <c r="J1499" s="34"/>
      <c r="K1499" s="34"/>
      <c r="L1499" s="34"/>
      <c r="M1499" s="34"/>
      <c r="N1499" s="34"/>
      <c r="O1499" s="34"/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</row>
    <row r="1500" spans="1:26" ht="23.25" customHeight="1">
      <c r="A1500" s="29"/>
      <c r="B1500" s="19"/>
      <c r="C1500" s="31"/>
      <c r="D1500" s="32"/>
      <c r="E1500" s="46"/>
      <c r="F1500" s="43"/>
      <c r="G1500" s="34"/>
      <c r="H1500" s="34"/>
      <c r="I1500" s="34"/>
      <c r="J1500" s="34"/>
      <c r="K1500" s="34"/>
      <c r="L1500" s="34"/>
      <c r="M1500" s="34"/>
      <c r="N1500" s="34"/>
      <c r="O1500" s="34"/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</row>
    <row r="1501" spans="1:26" ht="23.25" customHeight="1">
      <c r="A1501" s="29"/>
      <c r="B1501" s="19"/>
      <c r="C1501" s="31"/>
      <c r="D1501" s="32"/>
      <c r="E1501" s="46"/>
      <c r="F1501" s="43"/>
      <c r="G1501" s="34"/>
      <c r="H1501" s="34"/>
      <c r="I1501" s="34"/>
      <c r="J1501" s="34"/>
      <c r="K1501" s="34"/>
      <c r="L1501" s="34"/>
      <c r="M1501" s="34"/>
      <c r="N1501" s="34"/>
      <c r="O1501" s="34"/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</row>
    <row r="1502" spans="1:26" ht="23.25" customHeight="1">
      <c r="A1502" s="29"/>
      <c r="B1502" s="19"/>
      <c r="C1502" s="31"/>
      <c r="D1502" s="32"/>
      <c r="E1502" s="46"/>
      <c r="F1502" s="43"/>
      <c r="G1502" s="34"/>
      <c r="H1502" s="34"/>
      <c r="I1502" s="34"/>
      <c r="J1502" s="34"/>
      <c r="K1502" s="34"/>
      <c r="L1502" s="34"/>
      <c r="M1502" s="34"/>
      <c r="N1502" s="34"/>
      <c r="O1502" s="34"/>
      <c r="P1502" s="34"/>
      <c r="Q1502" s="34"/>
      <c r="R1502" s="34"/>
      <c r="S1502" s="34"/>
      <c r="T1502" s="34"/>
      <c r="U1502" s="34"/>
      <c r="V1502" s="34"/>
      <c r="W1502" s="34"/>
      <c r="X1502" s="34"/>
      <c r="Y1502" s="34"/>
      <c r="Z1502" s="34"/>
    </row>
    <row r="1503" spans="1:26" ht="23.25" customHeight="1">
      <c r="A1503" s="29"/>
      <c r="B1503" s="19"/>
      <c r="C1503" s="31"/>
      <c r="D1503" s="32"/>
      <c r="E1503" s="46"/>
      <c r="F1503" s="43"/>
      <c r="G1503" s="34"/>
      <c r="H1503" s="34"/>
      <c r="I1503" s="34"/>
      <c r="J1503" s="34"/>
      <c r="K1503" s="34"/>
      <c r="L1503" s="34"/>
      <c r="M1503" s="34"/>
      <c r="N1503" s="34"/>
      <c r="O1503" s="34"/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</row>
    <row r="1504" spans="1:26" ht="23.25" customHeight="1">
      <c r="A1504" s="29"/>
      <c r="B1504" s="19"/>
      <c r="C1504" s="31"/>
      <c r="D1504" s="32"/>
      <c r="E1504" s="46"/>
      <c r="F1504" s="43"/>
      <c r="G1504" s="34"/>
      <c r="H1504" s="34"/>
      <c r="I1504" s="34"/>
      <c r="J1504" s="34"/>
      <c r="K1504" s="34"/>
      <c r="L1504" s="34"/>
      <c r="M1504" s="34"/>
      <c r="N1504" s="34"/>
      <c r="O1504" s="34"/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</row>
    <row r="1505" spans="1:26" ht="23.25" customHeight="1">
      <c r="A1505" s="29"/>
      <c r="B1505" s="19"/>
      <c r="C1505" s="31"/>
      <c r="D1505" s="32"/>
      <c r="E1505" s="46"/>
      <c r="F1505" s="43"/>
      <c r="G1505" s="34"/>
      <c r="H1505" s="34"/>
      <c r="I1505" s="34"/>
      <c r="J1505" s="34"/>
      <c r="K1505" s="34"/>
      <c r="L1505" s="34"/>
      <c r="M1505" s="34"/>
      <c r="N1505" s="34"/>
      <c r="O1505" s="34"/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</row>
    <row r="1506" spans="1:26" ht="23.25" customHeight="1">
      <c r="A1506" s="29"/>
      <c r="B1506" s="19"/>
      <c r="C1506" s="31"/>
      <c r="D1506" s="32"/>
      <c r="E1506" s="46"/>
      <c r="F1506" s="43"/>
      <c r="G1506" s="34"/>
      <c r="H1506" s="34"/>
      <c r="I1506" s="34"/>
      <c r="J1506" s="34"/>
      <c r="K1506" s="34"/>
      <c r="L1506" s="34"/>
      <c r="M1506" s="34"/>
      <c r="N1506" s="34"/>
      <c r="O1506" s="34"/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</row>
    <row r="1507" spans="1:26" ht="23.25" customHeight="1">
      <c r="A1507" s="29"/>
      <c r="B1507" s="19"/>
      <c r="C1507" s="31"/>
      <c r="D1507" s="32"/>
      <c r="E1507" s="46"/>
      <c r="F1507" s="43"/>
      <c r="G1507" s="34"/>
      <c r="H1507" s="34"/>
      <c r="I1507" s="34"/>
      <c r="J1507" s="34"/>
      <c r="K1507" s="34"/>
      <c r="L1507" s="34"/>
      <c r="M1507" s="34"/>
      <c r="N1507" s="34"/>
      <c r="O1507" s="34"/>
      <c r="P1507" s="34"/>
      <c r="Q1507" s="34"/>
      <c r="R1507" s="34"/>
      <c r="S1507" s="34"/>
      <c r="T1507" s="34"/>
      <c r="U1507" s="34"/>
      <c r="V1507" s="34"/>
      <c r="W1507" s="34"/>
      <c r="X1507" s="34"/>
      <c r="Y1507" s="34"/>
      <c r="Z1507" s="34"/>
    </row>
    <row r="1508" spans="1:26" ht="23.25" customHeight="1">
      <c r="A1508" s="29"/>
      <c r="B1508" s="19"/>
      <c r="C1508" s="31"/>
      <c r="D1508" s="32"/>
      <c r="E1508" s="46"/>
      <c r="F1508" s="43"/>
      <c r="G1508" s="34"/>
      <c r="H1508" s="34"/>
      <c r="I1508" s="34"/>
      <c r="J1508" s="34"/>
      <c r="K1508" s="34"/>
      <c r="L1508" s="34"/>
      <c r="M1508" s="34"/>
      <c r="N1508" s="34"/>
      <c r="O1508" s="34"/>
      <c r="P1508" s="34"/>
      <c r="Q1508" s="34"/>
      <c r="R1508" s="34"/>
      <c r="S1508" s="34"/>
      <c r="T1508" s="34"/>
      <c r="U1508" s="34"/>
      <c r="V1508" s="34"/>
      <c r="W1508" s="34"/>
      <c r="X1508" s="34"/>
      <c r="Y1508" s="34"/>
      <c r="Z1508" s="34"/>
    </row>
    <row r="1509" spans="1:26" ht="23.25" customHeight="1">
      <c r="A1509" s="29"/>
      <c r="B1509" s="19"/>
      <c r="C1509" s="31"/>
      <c r="D1509" s="32"/>
      <c r="E1509" s="46"/>
      <c r="F1509" s="43"/>
      <c r="G1509" s="34"/>
      <c r="H1509" s="34"/>
      <c r="I1509" s="34"/>
      <c r="J1509" s="34"/>
      <c r="K1509" s="34"/>
      <c r="L1509" s="34"/>
      <c r="M1509" s="34"/>
      <c r="N1509" s="34"/>
      <c r="O1509" s="34"/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</row>
    <row r="1510" spans="1:26" ht="23.25" customHeight="1">
      <c r="A1510" s="29"/>
      <c r="B1510" s="19"/>
      <c r="C1510" s="31"/>
      <c r="D1510" s="32"/>
      <c r="E1510" s="46"/>
      <c r="F1510" s="43"/>
      <c r="G1510" s="34"/>
      <c r="H1510" s="34"/>
      <c r="I1510" s="34"/>
      <c r="J1510" s="34"/>
      <c r="K1510" s="34"/>
      <c r="L1510" s="34"/>
      <c r="M1510" s="34"/>
      <c r="N1510" s="34"/>
      <c r="O1510" s="34"/>
      <c r="P1510" s="34"/>
      <c r="Q1510" s="34"/>
      <c r="R1510" s="34"/>
      <c r="S1510" s="34"/>
      <c r="T1510" s="34"/>
      <c r="U1510" s="34"/>
      <c r="V1510" s="34"/>
      <c r="W1510" s="34"/>
      <c r="X1510" s="34"/>
      <c r="Y1510" s="34"/>
      <c r="Z1510" s="34"/>
    </row>
    <row r="1511" spans="1:26" ht="23.25" customHeight="1">
      <c r="A1511" s="29"/>
      <c r="B1511" s="19"/>
      <c r="C1511" s="31"/>
      <c r="D1511" s="32"/>
      <c r="E1511" s="46"/>
      <c r="F1511" s="43"/>
      <c r="G1511" s="34"/>
      <c r="H1511" s="34"/>
      <c r="I1511" s="34"/>
      <c r="J1511" s="34"/>
      <c r="K1511" s="34"/>
      <c r="L1511" s="34"/>
      <c r="M1511" s="34"/>
      <c r="N1511" s="34"/>
      <c r="O1511" s="34"/>
      <c r="P1511" s="34"/>
      <c r="Q1511" s="34"/>
      <c r="R1511" s="34"/>
      <c r="S1511" s="34"/>
      <c r="T1511" s="34"/>
      <c r="U1511" s="34"/>
      <c r="V1511" s="34"/>
      <c r="W1511" s="34"/>
      <c r="X1511" s="34"/>
      <c r="Y1511" s="34"/>
      <c r="Z1511" s="34"/>
    </row>
    <row r="1512" spans="1:26" ht="23.25" customHeight="1">
      <c r="A1512" s="29"/>
      <c r="B1512" s="19"/>
      <c r="C1512" s="31"/>
      <c r="D1512" s="32"/>
      <c r="E1512" s="46"/>
      <c r="F1512" s="43"/>
      <c r="G1512" s="34"/>
      <c r="H1512" s="34"/>
      <c r="I1512" s="34"/>
      <c r="J1512" s="34"/>
      <c r="K1512" s="34"/>
      <c r="L1512" s="34"/>
      <c r="M1512" s="34"/>
      <c r="N1512" s="34"/>
      <c r="O1512" s="34"/>
      <c r="P1512" s="34"/>
      <c r="Q1512" s="34"/>
      <c r="R1512" s="34"/>
      <c r="S1512" s="34"/>
      <c r="T1512" s="34"/>
      <c r="U1512" s="34"/>
      <c r="V1512" s="34"/>
      <c r="W1512" s="34"/>
      <c r="X1512" s="34"/>
      <c r="Y1512" s="34"/>
      <c r="Z1512" s="34"/>
    </row>
    <row r="1513" spans="1:26" ht="23.25" customHeight="1">
      <c r="A1513" s="29"/>
      <c r="B1513" s="19"/>
      <c r="C1513" s="31"/>
      <c r="D1513" s="32"/>
      <c r="E1513" s="46"/>
      <c r="F1513" s="43"/>
      <c r="G1513" s="34"/>
      <c r="H1513" s="34"/>
      <c r="I1513" s="34"/>
      <c r="J1513" s="34"/>
      <c r="K1513" s="34"/>
      <c r="L1513" s="34"/>
      <c r="M1513" s="34"/>
      <c r="N1513" s="34"/>
      <c r="O1513" s="34"/>
      <c r="P1513" s="34"/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</row>
    <row r="1514" spans="1:26" ht="23.25" customHeight="1">
      <c r="A1514" s="29"/>
      <c r="B1514" s="19"/>
      <c r="C1514" s="31"/>
      <c r="D1514" s="32"/>
      <c r="E1514" s="46"/>
      <c r="F1514" s="43"/>
      <c r="G1514" s="34"/>
      <c r="H1514" s="34"/>
      <c r="I1514" s="34"/>
      <c r="J1514" s="34"/>
      <c r="K1514" s="34"/>
      <c r="L1514" s="34"/>
      <c r="M1514" s="34"/>
      <c r="N1514" s="34"/>
      <c r="O1514" s="34"/>
      <c r="P1514" s="34"/>
      <c r="Q1514" s="34"/>
      <c r="R1514" s="34"/>
      <c r="S1514" s="34"/>
      <c r="T1514" s="34"/>
      <c r="U1514" s="34"/>
      <c r="V1514" s="34"/>
      <c r="W1514" s="34"/>
      <c r="X1514" s="34"/>
      <c r="Y1514" s="34"/>
      <c r="Z1514" s="34"/>
    </row>
    <row r="1515" spans="1:26" ht="23.25" customHeight="1">
      <c r="A1515" s="29"/>
      <c r="B1515" s="19"/>
      <c r="C1515" s="31"/>
      <c r="D1515" s="32"/>
      <c r="E1515" s="46"/>
      <c r="F1515" s="43"/>
      <c r="G1515" s="34"/>
      <c r="H1515" s="34"/>
      <c r="I1515" s="34"/>
      <c r="J1515" s="34"/>
      <c r="K1515" s="34"/>
      <c r="L1515" s="34"/>
      <c r="M1515" s="34"/>
      <c r="N1515" s="34"/>
      <c r="O1515" s="34"/>
      <c r="P1515" s="34"/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</row>
    <row r="1516" spans="1:26" ht="23.25" customHeight="1">
      <c r="A1516" s="29"/>
      <c r="B1516" s="19"/>
      <c r="C1516" s="31"/>
      <c r="D1516" s="32"/>
      <c r="E1516" s="46"/>
      <c r="F1516" s="43"/>
      <c r="G1516" s="34"/>
      <c r="H1516" s="34"/>
      <c r="I1516" s="34"/>
      <c r="J1516" s="34"/>
      <c r="K1516" s="34"/>
      <c r="L1516" s="34"/>
      <c r="M1516" s="34"/>
      <c r="N1516" s="34"/>
      <c r="O1516" s="34"/>
      <c r="P1516" s="34"/>
      <c r="Q1516" s="34"/>
      <c r="R1516" s="34"/>
      <c r="S1516" s="34"/>
      <c r="T1516" s="34"/>
      <c r="U1516" s="34"/>
      <c r="V1516" s="34"/>
      <c r="W1516" s="34"/>
      <c r="X1516" s="34"/>
      <c r="Y1516" s="34"/>
      <c r="Z1516" s="34"/>
    </row>
    <row r="1517" spans="1:26" ht="23.25" customHeight="1">
      <c r="A1517" s="29"/>
      <c r="B1517" s="19"/>
      <c r="C1517" s="31"/>
      <c r="D1517" s="32"/>
      <c r="E1517" s="46"/>
      <c r="F1517" s="43"/>
      <c r="G1517" s="34"/>
      <c r="H1517" s="34"/>
      <c r="I1517" s="34"/>
      <c r="J1517" s="34"/>
      <c r="K1517" s="34"/>
      <c r="L1517" s="34"/>
      <c r="M1517" s="34"/>
      <c r="N1517" s="34"/>
      <c r="O1517" s="34"/>
      <c r="P1517" s="34"/>
      <c r="Q1517" s="34"/>
      <c r="R1517" s="34"/>
      <c r="S1517" s="34"/>
      <c r="T1517" s="34"/>
      <c r="U1517" s="34"/>
      <c r="V1517" s="34"/>
      <c r="W1517" s="34"/>
      <c r="X1517" s="34"/>
      <c r="Y1517" s="34"/>
      <c r="Z1517" s="34"/>
    </row>
    <row r="1518" spans="1:26" ht="23.25" customHeight="1">
      <c r="A1518" s="29"/>
      <c r="B1518" s="19"/>
      <c r="C1518" s="31"/>
      <c r="D1518" s="32"/>
      <c r="E1518" s="46"/>
      <c r="F1518" s="43"/>
      <c r="G1518" s="34"/>
      <c r="H1518" s="34"/>
      <c r="I1518" s="34"/>
      <c r="J1518" s="34"/>
      <c r="K1518" s="34"/>
      <c r="L1518" s="34"/>
      <c r="M1518" s="34"/>
      <c r="N1518" s="34"/>
      <c r="O1518" s="34"/>
      <c r="P1518" s="34"/>
      <c r="Q1518" s="34"/>
      <c r="R1518" s="34"/>
      <c r="S1518" s="34"/>
      <c r="T1518" s="34"/>
      <c r="U1518" s="34"/>
      <c r="V1518" s="34"/>
      <c r="W1518" s="34"/>
      <c r="X1518" s="34"/>
      <c r="Y1518" s="34"/>
      <c r="Z1518" s="34"/>
    </row>
    <row r="1519" spans="1:26" ht="23.25" customHeight="1">
      <c r="A1519" s="29"/>
      <c r="B1519" s="19"/>
      <c r="C1519" s="31"/>
      <c r="D1519" s="32"/>
      <c r="E1519" s="46"/>
      <c r="F1519" s="43"/>
      <c r="G1519" s="34"/>
      <c r="H1519" s="34"/>
      <c r="I1519" s="34"/>
      <c r="J1519" s="34"/>
      <c r="K1519" s="34"/>
      <c r="L1519" s="34"/>
      <c r="M1519" s="34"/>
      <c r="N1519" s="34"/>
      <c r="O1519" s="34"/>
      <c r="P1519" s="34"/>
      <c r="Q1519" s="34"/>
      <c r="R1519" s="34"/>
      <c r="S1519" s="34"/>
      <c r="T1519" s="34"/>
      <c r="U1519" s="34"/>
      <c r="V1519" s="34"/>
      <c r="W1519" s="34"/>
      <c r="X1519" s="34"/>
      <c r="Y1519" s="34"/>
      <c r="Z1519" s="34"/>
    </row>
    <row r="1520" spans="1:26" ht="23.25" customHeight="1">
      <c r="A1520" s="29"/>
      <c r="B1520" s="19"/>
      <c r="C1520" s="31"/>
      <c r="D1520" s="32"/>
      <c r="E1520" s="46"/>
      <c r="F1520" s="43"/>
      <c r="G1520" s="34"/>
      <c r="H1520" s="34"/>
      <c r="I1520" s="34"/>
      <c r="J1520" s="34"/>
      <c r="K1520" s="34"/>
      <c r="L1520" s="34"/>
      <c r="M1520" s="34"/>
      <c r="N1520" s="34"/>
      <c r="O1520" s="34"/>
      <c r="P1520" s="34"/>
      <c r="Q1520" s="34"/>
      <c r="R1520" s="34"/>
      <c r="S1520" s="34"/>
      <c r="T1520" s="34"/>
      <c r="U1520" s="34"/>
      <c r="V1520" s="34"/>
      <c r="W1520" s="34"/>
      <c r="X1520" s="34"/>
      <c r="Y1520" s="34"/>
      <c r="Z1520" s="34"/>
    </row>
    <row r="1521" spans="1:26" ht="23.25" customHeight="1">
      <c r="A1521" s="29"/>
      <c r="B1521" s="19"/>
      <c r="C1521" s="31"/>
      <c r="D1521" s="32"/>
      <c r="E1521" s="46"/>
      <c r="F1521" s="43"/>
      <c r="G1521" s="34"/>
      <c r="H1521" s="34"/>
      <c r="I1521" s="34"/>
      <c r="J1521" s="34"/>
      <c r="K1521" s="34"/>
      <c r="L1521" s="34"/>
      <c r="M1521" s="34"/>
      <c r="N1521" s="34"/>
      <c r="O1521" s="34"/>
      <c r="P1521" s="34"/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</row>
    <row r="1522" spans="1:26" ht="23.25" customHeight="1">
      <c r="A1522" s="29"/>
      <c r="B1522" s="19"/>
      <c r="C1522" s="31"/>
      <c r="D1522" s="32"/>
      <c r="E1522" s="46"/>
      <c r="F1522" s="43"/>
      <c r="G1522" s="34"/>
      <c r="H1522" s="34"/>
      <c r="I1522" s="34"/>
      <c r="J1522" s="34"/>
      <c r="K1522" s="34"/>
      <c r="L1522" s="34"/>
      <c r="M1522" s="34"/>
      <c r="N1522" s="34"/>
      <c r="O1522" s="34"/>
      <c r="P1522" s="34"/>
      <c r="Q1522" s="34"/>
      <c r="R1522" s="34"/>
      <c r="S1522" s="34"/>
      <c r="T1522" s="34"/>
      <c r="U1522" s="34"/>
      <c r="V1522" s="34"/>
      <c r="W1522" s="34"/>
      <c r="X1522" s="34"/>
      <c r="Y1522" s="34"/>
      <c r="Z1522" s="34"/>
    </row>
    <row r="1523" spans="1:26" ht="23.25" customHeight="1">
      <c r="A1523" s="29"/>
      <c r="B1523" s="19"/>
      <c r="C1523" s="31"/>
      <c r="D1523" s="32"/>
      <c r="E1523" s="46"/>
      <c r="F1523" s="43"/>
      <c r="G1523" s="34"/>
      <c r="H1523" s="34"/>
      <c r="I1523" s="34"/>
      <c r="J1523" s="34"/>
      <c r="K1523" s="34"/>
      <c r="L1523" s="34"/>
      <c r="M1523" s="34"/>
      <c r="N1523" s="34"/>
      <c r="O1523" s="34"/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</row>
    <row r="1524" spans="1:26" ht="23.25" customHeight="1">
      <c r="A1524" s="29"/>
      <c r="B1524" s="19"/>
      <c r="C1524" s="31"/>
      <c r="D1524" s="32"/>
      <c r="E1524" s="46"/>
      <c r="F1524" s="43"/>
      <c r="G1524" s="34"/>
      <c r="H1524" s="34"/>
      <c r="I1524" s="34"/>
      <c r="J1524" s="34"/>
      <c r="K1524" s="34"/>
      <c r="L1524" s="34"/>
      <c r="M1524" s="34"/>
      <c r="N1524" s="34"/>
      <c r="O1524" s="34"/>
      <c r="P1524" s="34"/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</row>
    <row r="1525" spans="1:26" ht="23.25" customHeight="1">
      <c r="A1525" s="29"/>
      <c r="B1525" s="19"/>
      <c r="C1525" s="31"/>
      <c r="D1525" s="32"/>
      <c r="E1525" s="46"/>
      <c r="F1525" s="43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</row>
    <row r="1526" spans="1:26" ht="23.25" customHeight="1">
      <c r="A1526" s="29"/>
      <c r="B1526" s="19"/>
      <c r="C1526" s="31"/>
      <c r="D1526" s="32"/>
      <c r="E1526" s="46"/>
      <c r="F1526" s="43"/>
      <c r="G1526" s="34"/>
      <c r="H1526" s="34"/>
      <c r="I1526" s="34"/>
      <c r="J1526" s="34"/>
      <c r="K1526" s="34"/>
      <c r="L1526" s="34"/>
      <c r="M1526" s="34"/>
      <c r="N1526" s="34"/>
      <c r="O1526" s="34"/>
      <c r="P1526" s="34"/>
      <c r="Q1526" s="34"/>
      <c r="R1526" s="34"/>
      <c r="S1526" s="34"/>
      <c r="T1526" s="34"/>
      <c r="U1526" s="34"/>
      <c r="V1526" s="34"/>
      <c r="W1526" s="34"/>
      <c r="X1526" s="34"/>
      <c r="Y1526" s="34"/>
      <c r="Z1526" s="34"/>
    </row>
    <row r="1527" spans="1:26" ht="23.25" customHeight="1">
      <c r="A1527" s="29"/>
      <c r="B1527" s="19"/>
      <c r="C1527" s="31"/>
      <c r="D1527" s="32"/>
      <c r="E1527" s="46"/>
      <c r="F1527" s="43"/>
      <c r="G1527" s="34"/>
      <c r="H1527" s="34"/>
      <c r="I1527" s="34"/>
      <c r="J1527" s="34"/>
      <c r="K1527" s="34"/>
      <c r="L1527" s="34"/>
      <c r="M1527" s="34"/>
      <c r="N1527" s="34"/>
      <c r="O1527" s="34"/>
      <c r="P1527" s="34"/>
      <c r="Q1527" s="34"/>
      <c r="R1527" s="34"/>
      <c r="S1527" s="34"/>
      <c r="T1527" s="34"/>
      <c r="U1527" s="34"/>
      <c r="V1527" s="34"/>
      <c r="W1527" s="34"/>
      <c r="X1527" s="34"/>
      <c r="Y1527" s="34"/>
      <c r="Z1527" s="34"/>
    </row>
    <row r="1528" spans="1:26" ht="23.25" customHeight="1">
      <c r="A1528" s="29"/>
      <c r="B1528" s="19"/>
      <c r="C1528" s="31"/>
      <c r="D1528" s="32"/>
      <c r="E1528" s="46"/>
      <c r="F1528" s="43"/>
      <c r="G1528" s="34"/>
      <c r="H1528" s="34"/>
      <c r="I1528" s="34"/>
      <c r="J1528" s="34"/>
      <c r="K1528" s="34"/>
      <c r="L1528" s="34"/>
      <c r="M1528" s="34"/>
      <c r="N1528" s="34"/>
      <c r="O1528" s="34"/>
      <c r="P1528" s="34"/>
      <c r="Q1528" s="34"/>
      <c r="R1528" s="34"/>
      <c r="S1528" s="34"/>
      <c r="T1528" s="34"/>
      <c r="U1528" s="34"/>
      <c r="V1528" s="34"/>
      <c r="W1528" s="34"/>
      <c r="X1528" s="34"/>
      <c r="Y1528" s="34"/>
      <c r="Z1528" s="34"/>
    </row>
    <row r="1529" spans="1:26" ht="23.25" customHeight="1">
      <c r="A1529" s="29"/>
      <c r="B1529" s="19"/>
      <c r="C1529" s="31"/>
      <c r="D1529" s="32"/>
      <c r="E1529" s="46"/>
      <c r="F1529" s="43"/>
      <c r="G1529" s="34"/>
      <c r="H1529" s="34"/>
      <c r="I1529" s="34"/>
      <c r="J1529" s="34"/>
      <c r="K1529" s="34"/>
      <c r="L1529" s="34"/>
      <c r="M1529" s="34"/>
      <c r="N1529" s="34"/>
      <c r="O1529" s="34"/>
      <c r="P1529" s="34"/>
      <c r="Q1529" s="34"/>
      <c r="R1529" s="34"/>
      <c r="S1529" s="34"/>
      <c r="T1529" s="34"/>
      <c r="U1529" s="34"/>
      <c r="V1529" s="34"/>
      <c r="W1529" s="34"/>
      <c r="X1529" s="34"/>
      <c r="Y1529" s="34"/>
      <c r="Z1529" s="34"/>
    </row>
    <row r="1530" spans="1:26" ht="23.25" customHeight="1">
      <c r="A1530" s="29"/>
      <c r="B1530" s="19"/>
      <c r="C1530" s="31"/>
      <c r="D1530" s="32"/>
      <c r="E1530" s="46"/>
      <c r="F1530" s="43"/>
      <c r="G1530" s="34"/>
      <c r="H1530" s="34"/>
      <c r="I1530" s="34"/>
      <c r="J1530" s="34"/>
      <c r="K1530" s="34"/>
      <c r="L1530" s="34"/>
      <c r="M1530" s="34"/>
      <c r="N1530" s="34"/>
      <c r="O1530" s="34"/>
      <c r="P1530" s="34"/>
      <c r="Q1530" s="34"/>
      <c r="R1530" s="34"/>
      <c r="S1530" s="34"/>
      <c r="T1530" s="34"/>
      <c r="U1530" s="34"/>
      <c r="V1530" s="34"/>
      <c r="W1530" s="34"/>
      <c r="X1530" s="34"/>
      <c r="Y1530" s="34"/>
      <c r="Z1530" s="34"/>
    </row>
    <row r="1531" spans="1:26" ht="23.25" customHeight="1">
      <c r="A1531" s="29"/>
      <c r="B1531" s="19"/>
      <c r="C1531" s="31"/>
      <c r="D1531" s="32"/>
      <c r="E1531" s="46"/>
      <c r="F1531" s="43"/>
      <c r="G1531" s="34"/>
      <c r="H1531" s="34"/>
      <c r="I1531" s="34"/>
      <c r="J1531" s="34"/>
      <c r="K1531" s="34"/>
      <c r="L1531" s="34"/>
      <c r="M1531" s="34"/>
      <c r="N1531" s="34"/>
      <c r="O1531" s="34"/>
      <c r="P1531" s="34"/>
      <c r="Q1531" s="34"/>
      <c r="R1531" s="34"/>
      <c r="S1531" s="34"/>
      <c r="T1531" s="34"/>
      <c r="U1531" s="34"/>
      <c r="V1531" s="34"/>
      <c r="W1531" s="34"/>
      <c r="X1531" s="34"/>
      <c r="Y1531" s="34"/>
      <c r="Z1531" s="34"/>
    </row>
    <row r="1532" spans="1:26" ht="23.25" customHeight="1">
      <c r="A1532" s="29"/>
      <c r="B1532" s="19"/>
      <c r="C1532" s="31"/>
      <c r="D1532" s="32"/>
      <c r="E1532" s="46"/>
      <c r="F1532" s="43"/>
      <c r="G1532" s="34"/>
      <c r="H1532" s="34"/>
      <c r="I1532" s="34"/>
      <c r="J1532" s="34"/>
      <c r="K1532" s="34"/>
      <c r="L1532" s="34"/>
      <c r="M1532" s="34"/>
      <c r="N1532" s="34"/>
      <c r="O1532" s="34"/>
      <c r="P1532" s="34"/>
      <c r="Q1532" s="34"/>
      <c r="R1532" s="34"/>
      <c r="S1532" s="34"/>
      <c r="T1532" s="34"/>
      <c r="U1532" s="34"/>
      <c r="V1532" s="34"/>
      <c r="W1532" s="34"/>
      <c r="X1532" s="34"/>
      <c r="Y1532" s="34"/>
      <c r="Z1532" s="34"/>
    </row>
    <row r="1533" spans="1:26" ht="23.25" customHeight="1">
      <c r="A1533" s="29"/>
      <c r="B1533" s="19"/>
      <c r="C1533" s="31"/>
      <c r="D1533" s="32"/>
      <c r="E1533" s="46"/>
      <c r="F1533" s="43"/>
      <c r="G1533" s="34"/>
      <c r="H1533" s="34"/>
      <c r="I1533" s="34"/>
      <c r="J1533" s="34"/>
      <c r="K1533" s="34"/>
      <c r="L1533" s="34"/>
      <c r="M1533" s="34"/>
      <c r="N1533" s="34"/>
      <c r="O1533" s="34"/>
      <c r="P1533" s="34"/>
      <c r="Q1533" s="34"/>
      <c r="R1533" s="34"/>
      <c r="S1533" s="34"/>
      <c r="T1533" s="34"/>
      <c r="U1533" s="34"/>
      <c r="V1533" s="34"/>
      <c r="W1533" s="34"/>
      <c r="X1533" s="34"/>
      <c r="Y1533" s="34"/>
      <c r="Z1533" s="34"/>
    </row>
    <row r="1534" spans="1:26" ht="23.25" customHeight="1">
      <c r="A1534" s="29"/>
      <c r="B1534" s="19"/>
      <c r="C1534" s="31"/>
      <c r="D1534" s="32"/>
      <c r="E1534" s="46"/>
      <c r="F1534" s="43"/>
      <c r="G1534" s="34"/>
      <c r="H1534" s="34"/>
      <c r="I1534" s="34"/>
      <c r="J1534" s="34"/>
      <c r="K1534" s="34"/>
      <c r="L1534" s="34"/>
      <c r="M1534" s="34"/>
      <c r="N1534" s="34"/>
      <c r="O1534" s="34"/>
      <c r="P1534" s="34"/>
      <c r="Q1534" s="34"/>
      <c r="R1534" s="34"/>
      <c r="S1534" s="34"/>
      <c r="T1534" s="34"/>
      <c r="U1534" s="34"/>
      <c r="V1534" s="34"/>
      <c r="W1534" s="34"/>
      <c r="X1534" s="34"/>
      <c r="Y1534" s="34"/>
      <c r="Z1534" s="34"/>
    </row>
    <row r="1535" spans="1:26" ht="23.25" customHeight="1">
      <c r="A1535" s="29"/>
      <c r="B1535" s="19"/>
      <c r="C1535" s="31"/>
      <c r="D1535" s="32"/>
      <c r="E1535" s="46"/>
      <c r="F1535" s="43"/>
      <c r="G1535" s="34"/>
      <c r="H1535" s="34"/>
      <c r="I1535" s="34"/>
      <c r="J1535" s="34"/>
      <c r="K1535" s="34"/>
      <c r="L1535" s="34"/>
      <c r="M1535" s="34"/>
      <c r="N1535" s="34"/>
      <c r="O1535" s="34"/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</row>
    <row r="1536" spans="1:26" ht="23.25" customHeight="1">
      <c r="A1536" s="29"/>
      <c r="B1536" s="19"/>
      <c r="C1536" s="31"/>
      <c r="D1536" s="32"/>
      <c r="E1536" s="46"/>
      <c r="F1536" s="43"/>
      <c r="G1536" s="34"/>
      <c r="H1536" s="34"/>
      <c r="I1536" s="34"/>
      <c r="J1536" s="34"/>
      <c r="K1536" s="34"/>
      <c r="L1536" s="34"/>
      <c r="M1536" s="34"/>
      <c r="N1536" s="34"/>
      <c r="O1536" s="34"/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</row>
    <row r="1537" spans="1:26" ht="23.25" customHeight="1">
      <c r="A1537" s="29"/>
      <c r="B1537" s="19"/>
      <c r="C1537" s="31"/>
      <c r="D1537" s="32"/>
      <c r="E1537" s="46"/>
      <c r="F1537" s="43"/>
      <c r="G1537" s="34"/>
      <c r="H1537" s="34"/>
      <c r="I1537" s="34"/>
      <c r="J1537" s="34"/>
      <c r="K1537" s="34"/>
      <c r="L1537" s="34"/>
      <c r="M1537" s="34"/>
      <c r="N1537" s="34"/>
      <c r="O1537" s="34"/>
      <c r="P1537" s="34"/>
      <c r="Q1537" s="34"/>
      <c r="R1537" s="34"/>
      <c r="S1537" s="34"/>
      <c r="T1537" s="34"/>
      <c r="U1537" s="34"/>
      <c r="V1537" s="34"/>
      <c r="W1537" s="34"/>
      <c r="X1537" s="34"/>
      <c r="Y1537" s="34"/>
      <c r="Z1537" s="34"/>
    </row>
    <row r="1538" spans="1:26" ht="23.25" customHeight="1">
      <c r="A1538" s="29"/>
      <c r="B1538" s="19"/>
      <c r="C1538" s="31"/>
      <c r="D1538" s="32"/>
      <c r="E1538" s="46"/>
      <c r="F1538" s="43"/>
      <c r="G1538" s="34"/>
      <c r="H1538" s="34"/>
      <c r="I1538" s="34"/>
      <c r="J1538" s="34"/>
      <c r="K1538" s="34"/>
      <c r="L1538" s="34"/>
      <c r="M1538" s="34"/>
      <c r="N1538" s="34"/>
      <c r="O1538" s="34"/>
      <c r="P1538" s="34"/>
      <c r="Q1538" s="34"/>
      <c r="R1538" s="34"/>
      <c r="S1538" s="34"/>
      <c r="T1538" s="34"/>
      <c r="U1538" s="34"/>
      <c r="V1538" s="34"/>
      <c r="W1538" s="34"/>
      <c r="X1538" s="34"/>
      <c r="Y1538" s="34"/>
      <c r="Z1538" s="34"/>
    </row>
    <row r="1539" spans="1:26" ht="23.25" customHeight="1">
      <c r="A1539" s="29"/>
      <c r="B1539" s="19"/>
      <c r="C1539" s="31"/>
      <c r="D1539" s="32"/>
      <c r="E1539" s="46"/>
      <c r="F1539" s="43"/>
      <c r="G1539" s="34"/>
      <c r="H1539" s="34"/>
      <c r="I1539" s="34"/>
      <c r="J1539" s="34"/>
      <c r="K1539" s="34"/>
      <c r="L1539" s="34"/>
      <c r="M1539" s="34"/>
      <c r="N1539" s="34"/>
      <c r="O1539" s="34"/>
      <c r="P1539" s="34"/>
      <c r="Q1539" s="34"/>
      <c r="R1539" s="34"/>
      <c r="S1539" s="34"/>
      <c r="T1539" s="34"/>
      <c r="U1539" s="34"/>
      <c r="V1539" s="34"/>
      <c r="W1539" s="34"/>
      <c r="X1539" s="34"/>
      <c r="Y1539" s="34"/>
      <c r="Z1539" s="34"/>
    </row>
    <row r="1540" spans="1:26" ht="23.25" customHeight="1">
      <c r="A1540" s="29"/>
      <c r="B1540" s="19"/>
      <c r="C1540" s="31"/>
      <c r="D1540" s="32"/>
      <c r="E1540" s="46"/>
      <c r="F1540" s="43"/>
      <c r="G1540" s="34"/>
      <c r="H1540" s="34"/>
      <c r="I1540" s="34"/>
      <c r="J1540" s="34"/>
      <c r="K1540" s="34"/>
      <c r="L1540" s="34"/>
      <c r="M1540" s="34"/>
      <c r="N1540" s="34"/>
      <c r="O1540" s="34"/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</row>
    <row r="1541" spans="1:26" ht="23.25" customHeight="1">
      <c r="A1541" s="29"/>
      <c r="B1541" s="19"/>
      <c r="C1541" s="31"/>
      <c r="D1541" s="32"/>
      <c r="E1541" s="46"/>
      <c r="F1541" s="43"/>
      <c r="G1541" s="34"/>
      <c r="H1541" s="34"/>
      <c r="I1541" s="34"/>
      <c r="J1541" s="34"/>
      <c r="K1541" s="34"/>
      <c r="L1541" s="34"/>
      <c r="M1541" s="34"/>
      <c r="N1541" s="34"/>
      <c r="O1541" s="34"/>
      <c r="P1541" s="34"/>
      <c r="Q1541" s="34"/>
      <c r="R1541" s="34"/>
      <c r="S1541" s="34"/>
      <c r="T1541" s="34"/>
      <c r="U1541" s="34"/>
      <c r="V1541" s="34"/>
      <c r="W1541" s="34"/>
      <c r="X1541" s="34"/>
      <c r="Y1541" s="34"/>
      <c r="Z1541" s="34"/>
    </row>
    <row r="1542" spans="1:26" ht="23.25" customHeight="1">
      <c r="A1542" s="29"/>
      <c r="B1542" s="19"/>
      <c r="C1542" s="31"/>
      <c r="D1542" s="32"/>
      <c r="E1542" s="46"/>
      <c r="F1542" s="43"/>
      <c r="G1542" s="34"/>
      <c r="H1542" s="34"/>
      <c r="I1542" s="34"/>
      <c r="J1542" s="34"/>
      <c r="K1542" s="34"/>
      <c r="L1542" s="34"/>
      <c r="M1542" s="34"/>
      <c r="N1542" s="34"/>
      <c r="O1542" s="34"/>
      <c r="P1542" s="34"/>
      <c r="Q1542" s="34"/>
      <c r="R1542" s="34"/>
      <c r="S1542" s="34"/>
      <c r="T1542" s="34"/>
      <c r="U1542" s="34"/>
      <c r="V1542" s="34"/>
      <c r="W1542" s="34"/>
      <c r="X1542" s="34"/>
      <c r="Y1542" s="34"/>
      <c r="Z1542" s="34"/>
    </row>
    <row r="1543" spans="1:26" ht="23.25" customHeight="1">
      <c r="A1543" s="29"/>
      <c r="B1543" s="19"/>
      <c r="C1543" s="31"/>
      <c r="D1543" s="32"/>
      <c r="E1543" s="46"/>
      <c r="F1543" s="43"/>
      <c r="G1543" s="34"/>
      <c r="H1543" s="34"/>
      <c r="I1543" s="34"/>
      <c r="J1543" s="34"/>
      <c r="K1543" s="34"/>
      <c r="L1543" s="34"/>
      <c r="M1543" s="34"/>
      <c r="N1543" s="34"/>
      <c r="O1543" s="34"/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</row>
    <row r="1544" spans="1:26" ht="23.25" customHeight="1">
      <c r="A1544" s="29"/>
      <c r="B1544" s="19"/>
      <c r="C1544" s="31"/>
      <c r="D1544" s="32"/>
      <c r="E1544" s="46"/>
      <c r="F1544" s="43"/>
      <c r="G1544" s="34"/>
      <c r="H1544" s="34"/>
      <c r="I1544" s="34"/>
      <c r="J1544" s="34"/>
      <c r="K1544" s="34"/>
      <c r="L1544" s="34"/>
      <c r="M1544" s="34"/>
      <c r="N1544" s="34"/>
      <c r="O1544" s="34"/>
      <c r="P1544" s="34"/>
      <c r="Q1544" s="34"/>
      <c r="R1544" s="34"/>
      <c r="S1544" s="34"/>
      <c r="T1544" s="34"/>
      <c r="U1544" s="34"/>
      <c r="V1544" s="34"/>
      <c r="W1544" s="34"/>
      <c r="X1544" s="34"/>
      <c r="Y1544" s="34"/>
      <c r="Z1544" s="34"/>
    </row>
    <row r="1545" spans="1:26" ht="23.25" customHeight="1">
      <c r="A1545" s="29"/>
      <c r="B1545" s="19"/>
      <c r="C1545" s="31"/>
      <c r="D1545" s="32"/>
      <c r="E1545" s="46"/>
      <c r="F1545" s="43"/>
      <c r="G1545" s="34"/>
      <c r="H1545" s="34"/>
      <c r="I1545" s="34"/>
      <c r="J1545" s="34"/>
      <c r="K1545" s="34"/>
      <c r="L1545" s="34"/>
      <c r="M1545" s="34"/>
      <c r="N1545" s="34"/>
      <c r="O1545" s="34"/>
      <c r="P1545" s="34"/>
      <c r="Q1545" s="34"/>
      <c r="R1545" s="34"/>
      <c r="S1545" s="34"/>
      <c r="T1545" s="34"/>
      <c r="U1545" s="34"/>
      <c r="V1545" s="34"/>
      <c r="W1545" s="34"/>
      <c r="X1545" s="34"/>
      <c r="Y1545" s="34"/>
      <c r="Z1545" s="34"/>
    </row>
    <row r="1546" spans="1:26" ht="23.25" customHeight="1">
      <c r="A1546" s="29"/>
      <c r="B1546" s="19"/>
      <c r="C1546" s="31"/>
      <c r="D1546" s="32"/>
      <c r="E1546" s="46"/>
      <c r="F1546" s="43"/>
      <c r="G1546" s="34"/>
      <c r="H1546" s="34"/>
      <c r="I1546" s="34"/>
      <c r="J1546" s="34"/>
      <c r="K1546" s="34"/>
      <c r="L1546" s="34"/>
      <c r="M1546" s="34"/>
      <c r="N1546" s="34"/>
      <c r="O1546" s="34"/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</row>
    <row r="1547" spans="1:26" ht="23.25" customHeight="1">
      <c r="A1547" s="29"/>
      <c r="B1547" s="19"/>
      <c r="C1547" s="31"/>
      <c r="D1547" s="32"/>
      <c r="E1547" s="46"/>
      <c r="F1547" s="43"/>
      <c r="G1547" s="34"/>
      <c r="H1547" s="34"/>
      <c r="I1547" s="34"/>
      <c r="J1547" s="34"/>
      <c r="K1547" s="34"/>
      <c r="L1547" s="34"/>
      <c r="M1547" s="34"/>
      <c r="N1547" s="34"/>
      <c r="O1547" s="34"/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</row>
    <row r="1548" spans="1:26" ht="23.25" customHeight="1">
      <c r="A1548" s="29"/>
      <c r="B1548" s="19"/>
      <c r="C1548" s="31"/>
      <c r="D1548" s="32"/>
      <c r="E1548" s="46"/>
      <c r="F1548" s="43"/>
      <c r="G1548" s="34"/>
      <c r="H1548" s="34"/>
      <c r="I1548" s="34"/>
      <c r="J1548" s="34"/>
      <c r="K1548" s="34"/>
      <c r="L1548" s="34"/>
      <c r="M1548" s="34"/>
      <c r="N1548" s="34"/>
      <c r="O1548" s="34"/>
      <c r="P1548" s="34"/>
      <c r="Q1548" s="34"/>
      <c r="R1548" s="34"/>
      <c r="S1548" s="34"/>
      <c r="T1548" s="34"/>
      <c r="U1548" s="34"/>
      <c r="V1548" s="34"/>
      <c r="W1548" s="34"/>
      <c r="X1548" s="34"/>
      <c r="Y1548" s="34"/>
      <c r="Z1548" s="34"/>
    </row>
    <row r="1549" spans="1:26" ht="23.25" customHeight="1">
      <c r="A1549" s="29"/>
      <c r="B1549" s="19"/>
      <c r="C1549" s="31"/>
      <c r="D1549" s="32"/>
      <c r="E1549" s="46"/>
      <c r="F1549" s="43"/>
      <c r="G1549" s="34"/>
      <c r="H1549" s="34"/>
      <c r="I1549" s="34"/>
      <c r="J1549" s="34"/>
      <c r="K1549" s="34"/>
      <c r="L1549" s="34"/>
      <c r="M1549" s="34"/>
      <c r="N1549" s="34"/>
      <c r="O1549" s="34"/>
      <c r="P1549" s="34"/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</row>
    <row r="1550" spans="1:26" ht="23.25" customHeight="1">
      <c r="A1550" s="29"/>
      <c r="B1550" s="19"/>
      <c r="C1550" s="31"/>
      <c r="D1550" s="32"/>
      <c r="E1550" s="46"/>
      <c r="F1550" s="43"/>
      <c r="G1550" s="34"/>
      <c r="H1550" s="34"/>
      <c r="I1550" s="34"/>
      <c r="J1550" s="34"/>
      <c r="K1550" s="34"/>
      <c r="L1550" s="34"/>
      <c r="M1550" s="34"/>
      <c r="N1550" s="34"/>
      <c r="O1550" s="34"/>
      <c r="P1550" s="34"/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</row>
    <row r="1551" spans="1:26" ht="23.25" customHeight="1">
      <c r="A1551" s="29"/>
      <c r="B1551" s="19"/>
      <c r="C1551" s="31"/>
      <c r="D1551" s="32"/>
      <c r="E1551" s="46"/>
      <c r="F1551" s="43"/>
      <c r="G1551" s="34"/>
      <c r="H1551" s="34"/>
      <c r="I1551" s="34"/>
      <c r="J1551" s="34"/>
      <c r="K1551" s="34"/>
      <c r="L1551" s="34"/>
      <c r="M1551" s="34"/>
      <c r="N1551" s="34"/>
      <c r="O1551" s="34"/>
      <c r="P1551" s="34"/>
      <c r="Q1551" s="34"/>
      <c r="R1551" s="34"/>
      <c r="S1551" s="34"/>
      <c r="T1551" s="34"/>
      <c r="U1551" s="34"/>
      <c r="V1551" s="34"/>
      <c r="W1551" s="34"/>
      <c r="X1551" s="34"/>
      <c r="Y1551" s="34"/>
      <c r="Z1551" s="34"/>
    </row>
    <row r="1552" spans="1:26" ht="23.25" customHeight="1">
      <c r="A1552" s="29"/>
      <c r="B1552" s="19"/>
      <c r="C1552" s="31"/>
      <c r="D1552" s="32"/>
      <c r="E1552" s="46"/>
      <c r="F1552" s="43"/>
      <c r="G1552" s="34"/>
      <c r="H1552" s="34"/>
      <c r="I1552" s="34"/>
      <c r="J1552" s="34"/>
      <c r="K1552" s="34"/>
      <c r="L1552" s="34"/>
      <c r="M1552" s="34"/>
      <c r="N1552" s="34"/>
      <c r="O1552" s="34"/>
      <c r="P1552" s="34"/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</row>
    <row r="1553" spans="1:26" ht="23.25" customHeight="1">
      <c r="A1553" s="29"/>
      <c r="B1553" s="19"/>
      <c r="C1553" s="31"/>
      <c r="D1553" s="32"/>
      <c r="E1553" s="46"/>
      <c r="F1553" s="43"/>
      <c r="G1553" s="34"/>
      <c r="H1553" s="34"/>
      <c r="I1553" s="34"/>
      <c r="J1553" s="34"/>
      <c r="K1553" s="34"/>
      <c r="L1553" s="34"/>
      <c r="M1553" s="34"/>
      <c r="N1553" s="34"/>
      <c r="O1553" s="34"/>
      <c r="P1553" s="34"/>
      <c r="Q1553" s="34"/>
      <c r="R1553" s="34"/>
      <c r="S1553" s="34"/>
      <c r="T1553" s="34"/>
      <c r="U1553" s="34"/>
      <c r="V1553" s="34"/>
      <c r="W1553" s="34"/>
      <c r="X1553" s="34"/>
      <c r="Y1553" s="34"/>
      <c r="Z1553" s="34"/>
    </row>
    <row r="1554" spans="1:26" ht="23.25" customHeight="1">
      <c r="A1554" s="29"/>
      <c r="B1554" s="19"/>
      <c r="C1554" s="31"/>
      <c r="D1554" s="32"/>
      <c r="E1554" s="46"/>
      <c r="F1554" s="43"/>
      <c r="G1554" s="34"/>
      <c r="H1554" s="34"/>
      <c r="I1554" s="34"/>
      <c r="J1554" s="34"/>
      <c r="K1554" s="34"/>
      <c r="L1554" s="34"/>
      <c r="M1554" s="34"/>
      <c r="N1554" s="34"/>
      <c r="O1554" s="34"/>
      <c r="P1554" s="34"/>
      <c r="Q1554" s="34"/>
      <c r="R1554" s="34"/>
      <c r="S1554" s="34"/>
      <c r="T1554" s="34"/>
      <c r="U1554" s="34"/>
      <c r="V1554" s="34"/>
      <c r="W1554" s="34"/>
      <c r="X1554" s="34"/>
      <c r="Y1554" s="34"/>
      <c r="Z1554" s="34"/>
    </row>
    <row r="1555" spans="1:26" ht="23.25" customHeight="1">
      <c r="A1555" s="29"/>
      <c r="B1555" s="19"/>
      <c r="C1555" s="31"/>
      <c r="D1555" s="32"/>
      <c r="E1555" s="46"/>
      <c r="F1555" s="43"/>
      <c r="G1555" s="34"/>
      <c r="H1555" s="34"/>
      <c r="I1555" s="34"/>
      <c r="J1555" s="34"/>
      <c r="K1555" s="34"/>
      <c r="L1555" s="34"/>
      <c r="M1555" s="34"/>
      <c r="N1555" s="34"/>
      <c r="O1555" s="34"/>
      <c r="P1555" s="34"/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</row>
    <row r="1556" spans="1:26" ht="23.25" customHeight="1">
      <c r="A1556" s="29"/>
      <c r="B1556" s="19"/>
      <c r="C1556" s="31"/>
      <c r="D1556" s="32"/>
      <c r="E1556" s="46"/>
      <c r="F1556" s="43"/>
      <c r="G1556" s="34"/>
      <c r="H1556" s="34"/>
      <c r="I1556" s="34"/>
      <c r="J1556" s="34"/>
      <c r="K1556" s="34"/>
      <c r="L1556" s="34"/>
      <c r="M1556" s="34"/>
      <c r="N1556" s="34"/>
      <c r="O1556" s="34"/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</row>
    <row r="1557" spans="1:26" ht="23.25" customHeight="1">
      <c r="A1557" s="29"/>
      <c r="B1557" s="19"/>
      <c r="C1557" s="31"/>
      <c r="D1557" s="32"/>
      <c r="E1557" s="46"/>
      <c r="F1557" s="43"/>
      <c r="G1557" s="34"/>
      <c r="H1557" s="34"/>
      <c r="I1557" s="34"/>
      <c r="J1557" s="34"/>
      <c r="K1557" s="34"/>
      <c r="L1557" s="34"/>
      <c r="M1557" s="34"/>
      <c r="N1557" s="34"/>
      <c r="O1557" s="34"/>
      <c r="P1557" s="34"/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</row>
    <row r="1558" spans="1:26" ht="23.25" customHeight="1">
      <c r="A1558" s="29"/>
      <c r="B1558" s="19"/>
      <c r="C1558" s="31"/>
      <c r="D1558" s="32"/>
      <c r="E1558" s="46"/>
      <c r="F1558" s="43"/>
      <c r="G1558" s="34"/>
      <c r="H1558" s="34"/>
      <c r="I1558" s="34"/>
      <c r="J1558" s="34"/>
      <c r="K1558" s="34"/>
      <c r="L1558" s="34"/>
      <c r="M1558" s="34"/>
      <c r="N1558" s="34"/>
      <c r="O1558" s="34"/>
      <c r="P1558" s="34"/>
      <c r="Q1558" s="34"/>
      <c r="R1558" s="34"/>
      <c r="S1558" s="34"/>
      <c r="T1558" s="34"/>
      <c r="U1558" s="34"/>
      <c r="V1558" s="34"/>
      <c r="W1558" s="34"/>
      <c r="X1558" s="34"/>
      <c r="Y1558" s="34"/>
      <c r="Z1558" s="34"/>
    </row>
    <row r="1559" spans="1:26" ht="23.25" customHeight="1">
      <c r="A1559" s="29"/>
      <c r="B1559" s="19"/>
      <c r="C1559" s="31"/>
      <c r="D1559" s="32"/>
      <c r="E1559" s="46"/>
      <c r="F1559" s="43"/>
      <c r="G1559" s="34"/>
      <c r="H1559" s="34"/>
      <c r="I1559" s="34"/>
      <c r="J1559" s="34"/>
      <c r="K1559" s="34"/>
      <c r="L1559" s="34"/>
      <c r="M1559" s="34"/>
      <c r="N1559" s="34"/>
      <c r="O1559" s="34"/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</row>
    <row r="1560" spans="1:26" ht="23.25" customHeight="1">
      <c r="A1560" s="29"/>
      <c r="B1560" s="19"/>
      <c r="C1560" s="31"/>
      <c r="D1560" s="32"/>
      <c r="E1560" s="46"/>
      <c r="F1560" s="43"/>
      <c r="G1560" s="34"/>
      <c r="H1560" s="34"/>
      <c r="I1560" s="34"/>
      <c r="J1560" s="34"/>
      <c r="K1560" s="34"/>
      <c r="L1560" s="34"/>
      <c r="M1560" s="34"/>
      <c r="N1560" s="34"/>
      <c r="O1560" s="34"/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</row>
    <row r="1561" spans="1:26" ht="23.25" customHeight="1">
      <c r="A1561" s="29"/>
      <c r="B1561" s="19"/>
      <c r="C1561" s="31"/>
      <c r="D1561" s="32"/>
      <c r="E1561" s="46"/>
      <c r="F1561" s="43"/>
      <c r="G1561" s="34"/>
      <c r="H1561" s="34"/>
      <c r="I1561" s="34"/>
      <c r="J1561" s="34"/>
      <c r="K1561" s="34"/>
      <c r="L1561" s="34"/>
      <c r="M1561" s="34"/>
      <c r="N1561" s="34"/>
      <c r="O1561" s="34"/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</row>
    <row r="1562" spans="1:26" ht="23.25" customHeight="1">
      <c r="A1562" s="29"/>
      <c r="B1562" s="19"/>
      <c r="C1562" s="31"/>
      <c r="D1562" s="32"/>
      <c r="E1562" s="46"/>
      <c r="F1562" s="43"/>
      <c r="G1562" s="34"/>
      <c r="H1562" s="34"/>
      <c r="I1562" s="34"/>
      <c r="J1562" s="34"/>
      <c r="K1562" s="34"/>
      <c r="L1562" s="34"/>
      <c r="M1562" s="34"/>
      <c r="N1562" s="34"/>
      <c r="O1562" s="34"/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</row>
    <row r="1563" spans="1:26" ht="23.25" customHeight="1">
      <c r="A1563" s="29"/>
      <c r="B1563" s="19"/>
      <c r="C1563" s="31"/>
      <c r="D1563" s="32"/>
      <c r="E1563" s="46"/>
      <c r="F1563" s="43"/>
      <c r="G1563" s="34"/>
      <c r="H1563" s="34"/>
      <c r="I1563" s="34"/>
      <c r="J1563" s="34"/>
      <c r="K1563" s="34"/>
      <c r="L1563" s="34"/>
      <c r="M1563" s="34"/>
      <c r="N1563" s="34"/>
      <c r="O1563" s="34"/>
      <c r="P1563" s="34"/>
      <c r="Q1563" s="34"/>
      <c r="R1563" s="34"/>
      <c r="S1563" s="34"/>
      <c r="T1563" s="34"/>
      <c r="U1563" s="34"/>
      <c r="V1563" s="34"/>
      <c r="W1563" s="34"/>
      <c r="X1563" s="34"/>
      <c r="Y1563" s="34"/>
      <c r="Z1563" s="34"/>
    </row>
    <row r="1564" spans="1:26" ht="23.25" customHeight="1">
      <c r="A1564" s="29"/>
      <c r="B1564" s="19"/>
      <c r="C1564" s="31"/>
      <c r="D1564" s="32"/>
      <c r="E1564" s="46"/>
      <c r="F1564" s="43"/>
      <c r="G1564" s="34"/>
      <c r="H1564" s="34"/>
      <c r="I1564" s="34"/>
      <c r="J1564" s="34"/>
      <c r="K1564" s="34"/>
      <c r="L1564" s="34"/>
      <c r="M1564" s="34"/>
      <c r="N1564" s="34"/>
      <c r="O1564" s="34"/>
      <c r="P1564" s="34"/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</row>
    <row r="1565" spans="1:26" ht="23.25" customHeight="1">
      <c r="A1565" s="29"/>
      <c r="B1565" s="19"/>
      <c r="C1565" s="31"/>
      <c r="D1565" s="32"/>
      <c r="E1565" s="46"/>
      <c r="F1565" s="43"/>
      <c r="G1565" s="34"/>
      <c r="H1565" s="34"/>
      <c r="I1565" s="34"/>
      <c r="J1565" s="34"/>
      <c r="K1565" s="34"/>
      <c r="L1565" s="34"/>
      <c r="M1565" s="34"/>
      <c r="N1565" s="34"/>
      <c r="O1565" s="34"/>
      <c r="P1565" s="34"/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</row>
    <row r="1566" spans="1:26" ht="23.25" customHeight="1">
      <c r="A1566" s="29"/>
      <c r="B1566" s="19"/>
      <c r="C1566" s="31"/>
      <c r="D1566" s="32"/>
      <c r="E1566" s="46"/>
      <c r="F1566" s="43"/>
      <c r="G1566" s="34"/>
      <c r="H1566" s="34"/>
      <c r="I1566" s="34"/>
      <c r="J1566" s="34"/>
      <c r="K1566" s="34"/>
      <c r="L1566" s="34"/>
      <c r="M1566" s="34"/>
      <c r="N1566" s="34"/>
      <c r="O1566" s="34"/>
      <c r="P1566" s="34"/>
      <c r="Q1566" s="34"/>
      <c r="R1566" s="34"/>
      <c r="S1566" s="34"/>
      <c r="T1566" s="34"/>
      <c r="U1566" s="34"/>
      <c r="V1566" s="34"/>
      <c r="W1566" s="34"/>
      <c r="X1566" s="34"/>
      <c r="Y1566" s="34"/>
      <c r="Z1566" s="34"/>
    </row>
    <row r="1567" spans="1:26" ht="23.25" customHeight="1">
      <c r="A1567" s="29"/>
      <c r="B1567" s="19"/>
      <c r="C1567" s="31"/>
      <c r="D1567" s="32"/>
      <c r="E1567" s="46"/>
      <c r="F1567" s="43"/>
      <c r="G1567" s="34"/>
      <c r="H1567" s="34"/>
      <c r="I1567" s="34"/>
      <c r="J1567" s="34"/>
      <c r="K1567" s="34"/>
      <c r="L1567" s="34"/>
      <c r="M1567" s="34"/>
      <c r="N1567" s="34"/>
      <c r="O1567" s="34"/>
      <c r="P1567" s="34"/>
      <c r="Q1567" s="34"/>
      <c r="R1567" s="34"/>
      <c r="S1567" s="34"/>
      <c r="T1567" s="34"/>
      <c r="U1567" s="34"/>
      <c r="V1567" s="34"/>
      <c r="W1567" s="34"/>
      <c r="X1567" s="34"/>
      <c r="Y1567" s="34"/>
      <c r="Z1567" s="34"/>
    </row>
    <row r="1568" spans="1:26" ht="23.25" customHeight="1">
      <c r="A1568" s="29"/>
      <c r="B1568" s="19"/>
      <c r="C1568" s="31"/>
      <c r="D1568" s="32"/>
      <c r="E1568" s="46"/>
      <c r="F1568" s="43"/>
      <c r="G1568" s="34"/>
      <c r="H1568" s="34"/>
      <c r="I1568" s="34"/>
      <c r="J1568" s="34"/>
      <c r="K1568" s="34"/>
      <c r="L1568" s="34"/>
      <c r="M1568" s="34"/>
      <c r="N1568" s="34"/>
      <c r="O1568" s="34"/>
      <c r="P1568" s="34"/>
      <c r="Q1568" s="34"/>
      <c r="R1568" s="34"/>
      <c r="S1568" s="34"/>
      <c r="T1568" s="34"/>
      <c r="U1568" s="34"/>
      <c r="V1568" s="34"/>
      <c r="W1568" s="34"/>
      <c r="X1568" s="34"/>
      <c r="Y1568" s="34"/>
      <c r="Z1568" s="34"/>
    </row>
    <row r="1569" spans="1:26" ht="23.25" customHeight="1">
      <c r="A1569" s="29"/>
      <c r="B1569" s="19"/>
      <c r="C1569" s="31"/>
      <c r="D1569" s="32"/>
      <c r="E1569" s="46"/>
      <c r="F1569" s="43"/>
      <c r="G1569" s="34"/>
      <c r="H1569" s="34"/>
      <c r="I1569" s="34"/>
      <c r="J1569" s="34"/>
      <c r="K1569" s="34"/>
      <c r="L1569" s="34"/>
      <c r="M1569" s="34"/>
      <c r="N1569" s="34"/>
      <c r="O1569" s="34"/>
      <c r="P1569" s="34"/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</row>
    <row r="1570" spans="1:26" ht="23.25" customHeight="1">
      <c r="A1570" s="29"/>
      <c r="B1570" s="19"/>
      <c r="C1570" s="31"/>
      <c r="D1570" s="32"/>
      <c r="E1570" s="46"/>
      <c r="F1570" s="43"/>
      <c r="G1570" s="34"/>
      <c r="H1570" s="34"/>
      <c r="I1570" s="34"/>
      <c r="J1570" s="34"/>
      <c r="K1570" s="34"/>
      <c r="L1570" s="34"/>
      <c r="M1570" s="34"/>
      <c r="N1570" s="34"/>
      <c r="O1570" s="34"/>
      <c r="P1570" s="34"/>
      <c r="Q1570" s="34"/>
      <c r="R1570" s="34"/>
      <c r="S1570" s="34"/>
      <c r="T1570" s="34"/>
      <c r="U1570" s="34"/>
      <c r="V1570" s="34"/>
      <c r="W1570" s="34"/>
      <c r="X1570" s="34"/>
      <c r="Y1570" s="34"/>
      <c r="Z1570" s="34"/>
    </row>
    <row r="1571" spans="1:26" ht="23.25" customHeight="1">
      <c r="A1571" s="29"/>
      <c r="B1571" s="19"/>
      <c r="C1571" s="31"/>
      <c r="D1571" s="32"/>
      <c r="E1571" s="46"/>
      <c r="F1571" s="43"/>
      <c r="G1571" s="34"/>
      <c r="H1571" s="34"/>
      <c r="I1571" s="34"/>
      <c r="J1571" s="34"/>
      <c r="K1571" s="34"/>
      <c r="L1571" s="34"/>
      <c r="M1571" s="34"/>
      <c r="N1571" s="34"/>
      <c r="O1571" s="34"/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</row>
    <row r="1572" spans="1:26" ht="23.25" customHeight="1">
      <c r="A1572" s="29"/>
      <c r="B1572" s="19"/>
      <c r="C1572" s="31"/>
      <c r="D1572" s="32"/>
      <c r="E1572" s="46"/>
      <c r="F1572" s="43"/>
      <c r="G1572" s="34"/>
      <c r="H1572" s="34"/>
      <c r="I1572" s="34"/>
      <c r="J1572" s="34"/>
      <c r="K1572" s="34"/>
      <c r="L1572" s="34"/>
      <c r="M1572" s="34"/>
      <c r="N1572" s="34"/>
      <c r="O1572" s="34"/>
      <c r="P1572" s="34"/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</row>
    <row r="1573" spans="1:26" ht="23.25" customHeight="1">
      <c r="A1573" s="29"/>
      <c r="B1573" s="19"/>
      <c r="C1573" s="31"/>
      <c r="D1573" s="32"/>
      <c r="E1573" s="46"/>
      <c r="F1573" s="43"/>
      <c r="G1573" s="34"/>
      <c r="H1573" s="34"/>
      <c r="I1573" s="34"/>
      <c r="J1573" s="34"/>
      <c r="K1573" s="34"/>
      <c r="L1573" s="34"/>
      <c r="M1573" s="34"/>
      <c r="N1573" s="34"/>
      <c r="O1573" s="34"/>
      <c r="P1573" s="34"/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</row>
    <row r="1574" spans="1:26" ht="23.25" customHeight="1">
      <c r="A1574" s="29"/>
      <c r="B1574" s="19"/>
      <c r="C1574" s="31"/>
      <c r="D1574" s="32"/>
      <c r="E1574" s="46"/>
      <c r="F1574" s="43"/>
      <c r="G1574" s="34"/>
      <c r="H1574" s="34"/>
      <c r="I1574" s="34"/>
      <c r="J1574" s="34"/>
      <c r="K1574" s="34"/>
      <c r="L1574" s="34"/>
      <c r="M1574" s="34"/>
      <c r="N1574" s="34"/>
      <c r="O1574" s="34"/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</row>
    <row r="1575" spans="1:26" ht="23.25" customHeight="1">
      <c r="A1575" s="29"/>
      <c r="B1575" s="19"/>
      <c r="C1575" s="31"/>
      <c r="D1575" s="32"/>
      <c r="E1575" s="46"/>
      <c r="F1575" s="43"/>
      <c r="G1575" s="34"/>
      <c r="H1575" s="34"/>
      <c r="I1575" s="34"/>
      <c r="J1575" s="34"/>
      <c r="K1575" s="34"/>
      <c r="L1575" s="34"/>
      <c r="M1575" s="34"/>
      <c r="N1575" s="34"/>
      <c r="O1575" s="34"/>
      <c r="P1575" s="34"/>
      <c r="Q1575" s="34"/>
      <c r="R1575" s="34"/>
      <c r="S1575" s="34"/>
      <c r="T1575" s="34"/>
      <c r="U1575" s="34"/>
      <c r="V1575" s="34"/>
      <c r="W1575" s="34"/>
      <c r="X1575" s="34"/>
      <c r="Y1575" s="34"/>
      <c r="Z1575" s="34"/>
    </row>
    <row r="1576" spans="1:26" ht="23.25" customHeight="1">
      <c r="A1576" s="29"/>
      <c r="B1576" s="19"/>
      <c r="C1576" s="31"/>
      <c r="D1576" s="32"/>
      <c r="E1576" s="46"/>
      <c r="F1576" s="43"/>
      <c r="G1576" s="34"/>
      <c r="H1576" s="34"/>
      <c r="I1576" s="34"/>
      <c r="J1576" s="34"/>
      <c r="K1576" s="34"/>
      <c r="L1576" s="34"/>
      <c r="M1576" s="34"/>
      <c r="N1576" s="34"/>
      <c r="O1576" s="34"/>
      <c r="P1576" s="34"/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</row>
    <row r="1577" spans="1:26" ht="23.25" customHeight="1">
      <c r="A1577" s="29"/>
      <c r="B1577" s="19"/>
      <c r="C1577" s="31"/>
      <c r="D1577" s="32"/>
      <c r="E1577" s="46"/>
      <c r="F1577" s="43"/>
      <c r="G1577" s="34"/>
      <c r="H1577" s="34"/>
      <c r="I1577" s="34"/>
      <c r="J1577" s="34"/>
      <c r="K1577" s="34"/>
      <c r="L1577" s="34"/>
      <c r="M1577" s="34"/>
      <c r="N1577" s="34"/>
      <c r="O1577" s="34"/>
      <c r="P1577" s="34"/>
      <c r="Q1577" s="34"/>
      <c r="R1577" s="34"/>
      <c r="S1577" s="34"/>
      <c r="T1577" s="34"/>
      <c r="U1577" s="34"/>
      <c r="V1577" s="34"/>
      <c r="W1577" s="34"/>
      <c r="X1577" s="34"/>
      <c r="Y1577" s="34"/>
      <c r="Z1577" s="34"/>
    </row>
    <row r="1578" spans="1:26" ht="23.25" customHeight="1">
      <c r="A1578" s="29"/>
      <c r="B1578" s="19"/>
      <c r="C1578" s="31"/>
      <c r="D1578" s="32"/>
      <c r="E1578" s="46"/>
      <c r="F1578" s="43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</row>
    <row r="1579" spans="1:26" ht="23.25" customHeight="1">
      <c r="A1579" s="29"/>
      <c r="B1579" s="19"/>
      <c r="C1579" s="31"/>
      <c r="D1579" s="32"/>
      <c r="E1579" s="46"/>
      <c r="F1579" s="43"/>
      <c r="G1579" s="34"/>
      <c r="H1579" s="34"/>
      <c r="I1579" s="34"/>
      <c r="J1579" s="34"/>
      <c r="K1579" s="34"/>
      <c r="L1579" s="34"/>
      <c r="M1579" s="34"/>
      <c r="N1579" s="34"/>
      <c r="O1579" s="34"/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</row>
    <row r="1580" spans="1:26" ht="23.25" customHeight="1">
      <c r="A1580" s="29"/>
      <c r="B1580" s="19"/>
      <c r="C1580" s="31"/>
      <c r="D1580" s="32"/>
      <c r="E1580" s="46"/>
      <c r="F1580" s="43"/>
      <c r="G1580" s="34"/>
      <c r="H1580" s="34"/>
      <c r="I1580" s="34"/>
      <c r="J1580" s="34"/>
      <c r="K1580" s="34"/>
      <c r="L1580" s="34"/>
      <c r="M1580" s="34"/>
      <c r="N1580" s="34"/>
      <c r="O1580" s="34"/>
      <c r="P1580" s="34"/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</row>
    <row r="1581" spans="1:26" ht="23.25" customHeight="1">
      <c r="A1581" s="29"/>
      <c r="B1581" s="19"/>
      <c r="C1581" s="31"/>
      <c r="D1581" s="32"/>
      <c r="E1581" s="46"/>
      <c r="F1581" s="43"/>
      <c r="G1581" s="34"/>
      <c r="H1581" s="34"/>
      <c r="I1581" s="34"/>
      <c r="J1581" s="34"/>
      <c r="K1581" s="34"/>
      <c r="L1581" s="34"/>
      <c r="M1581" s="34"/>
      <c r="N1581" s="34"/>
      <c r="O1581" s="34"/>
      <c r="P1581" s="34"/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</row>
    <row r="1582" spans="1:26" ht="23.25" customHeight="1">
      <c r="A1582" s="29"/>
      <c r="B1582" s="19"/>
      <c r="C1582" s="31"/>
      <c r="D1582" s="32"/>
      <c r="E1582" s="46"/>
      <c r="F1582" s="43"/>
      <c r="G1582" s="34"/>
      <c r="H1582" s="34"/>
      <c r="I1582" s="34"/>
      <c r="J1582" s="34"/>
      <c r="K1582" s="34"/>
      <c r="L1582" s="34"/>
      <c r="M1582" s="34"/>
      <c r="N1582" s="34"/>
      <c r="O1582" s="34"/>
      <c r="P1582" s="34"/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</row>
    <row r="1583" spans="1:26" ht="23.25" customHeight="1">
      <c r="A1583" s="29"/>
      <c r="B1583" s="19"/>
      <c r="C1583" s="31"/>
      <c r="D1583" s="32"/>
      <c r="E1583" s="46"/>
      <c r="F1583" s="43"/>
      <c r="G1583" s="34"/>
      <c r="H1583" s="34"/>
      <c r="I1583" s="34"/>
      <c r="J1583" s="34"/>
      <c r="K1583" s="34"/>
      <c r="L1583" s="34"/>
      <c r="M1583" s="34"/>
      <c r="N1583" s="34"/>
      <c r="O1583" s="34"/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</row>
    <row r="1584" spans="1:26" ht="23.25" customHeight="1">
      <c r="A1584" s="29"/>
      <c r="B1584" s="19"/>
      <c r="C1584" s="31"/>
      <c r="D1584" s="32"/>
      <c r="E1584" s="46"/>
      <c r="F1584" s="43"/>
      <c r="G1584" s="34"/>
      <c r="H1584" s="34"/>
      <c r="I1584" s="34"/>
      <c r="J1584" s="34"/>
      <c r="K1584" s="34"/>
      <c r="L1584" s="34"/>
      <c r="M1584" s="34"/>
      <c r="N1584" s="34"/>
      <c r="O1584" s="34"/>
      <c r="P1584" s="34"/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</row>
    <row r="1585" spans="1:26" ht="23.25" customHeight="1">
      <c r="A1585" s="29"/>
      <c r="B1585" s="19"/>
      <c r="C1585" s="31"/>
      <c r="D1585" s="32"/>
      <c r="E1585" s="46"/>
      <c r="F1585" s="43"/>
      <c r="G1585" s="34"/>
      <c r="H1585" s="34"/>
      <c r="I1585" s="34"/>
      <c r="J1585" s="34"/>
      <c r="K1585" s="34"/>
      <c r="L1585" s="34"/>
      <c r="M1585" s="34"/>
      <c r="N1585" s="34"/>
      <c r="O1585" s="34"/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</row>
    <row r="1586" spans="1:26" ht="23.25" customHeight="1">
      <c r="A1586" s="29"/>
      <c r="B1586" s="19"/>
      <c r="C1586" s="31"/>
      <c r="D1586" s="32"/>
      <c r="E1586" s="46"/>
      <c r="F1586" s="43"/>
      <c r="G1586" s="34"/>
      <c r="H1586" s="34"/>
      <c r="I1586" s="34"/>
      <c r="J1586" s="34"/>
      <c r="K1586" s="34"/>
      <c r="L1586" s="34"/>
      <c r="M1586" s="34"/>
      <c r="N1586" s="34"/>
      <c r="O1586" s="34"/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</row>
    <row r="1587" spans="1:26" ht="23.25" customHeight="1">
      <c r="A1587" s="29"/>
      <c r="B1587" s="19"/>
      <c r="C1587" s="31"/>
      <c r="D1587" s="32"/>
      <c r="E1587" s="46"/>
      <c r="F1587" s="43"/>
      <c r="G1587" s="34"/>
      <c r="H1587" s="34"/>
      <c r="I1587" s="34"/>
      <c r="J1587" s="34"/>
      <c r="K1587" s="34"/>
      <c r="L1587" s="34"/>
      <c r="M1587" s="34"/>
      <c r="N1587" s="34"/>
      <c r="O1587" s="34"/>
      <c r="P1587" s="34"/>
      <c r="Q1587" s="34"/>
      <c r="R1587" s="34"/>
      <c r="S1587" s="34"/>
      <c r="T1587" s="34"/>
      <c r="U1587" s="34"/>
      <c r="V1587" s="34"/>
      <c r="W1587" s="34"/>
      <c r="X1587" s="34"/>
      <c r="Y1587" s="34"/>
      <c r="Z1587" s="34"/>
    </row>
    <row r="1588" spans="1:26" ht="23.25" customHeight="1">
      <c r="A1588" s="29"/>
      <c r="B1588" s="19"/>
      <c r="C1588" s="31"/>
      <c r="D1588" s="32"/>
      <c r="E1588" s="46"/>
      <c r="F1588" s="43"/>
      <c r="G1588" s="34"/>
      <c r="H1588" s="34"/>
      <c r="I1588" s="34"/>
      <c r="J1588" s="34"/>
      <c r="K1588" s="34"/>
      <c r="L1588" s="34"/>
      <c r="M1588" s="34"/>
      <c r="N1588" s="34"/>
      <c r="O1588" s="34"/>
      <c r="P1588" s="34"/>
      <c r="Q1588" s="34"/>
      <c r="R1588" s="34"/>
      <c r="S1588" s="34"/>
      <c r="T1588" s="34"/>
      <c r="U1588" s="34"/>
      <c r="V1588" s="34"/>
      <c r="W1588" s="34"/>
      <c r="X1588" s="34"/>
      <c r="Y1588" s="34"/>
      <c r="Z1588" s="34"/>
    </row>
    <row r="1589" spans="1:26" ht="23.25" customHeight="1">
      <c r="A1589" s="29"/>
      <c r="B1589" s="19"/>
      <c r="C1589" s="31"/>
      <c r="D1589" s="32"/>
      <c r="E1589" s="46"/>
      <c r="F1589" s="43"/>
      <c r="G1589" s="34"/>
      <c r="H1589" s="34"/>
      <c r="I1589" s="34"/>
      <c r="J1589" s="34"/>
      <c r="K1589" s="34"/>
      <c r="L1589" s="34"/>
      <c r="M1589" s="34"/>
      <c r="N1589" s="34"/>
      <c r="O1589" s="34"/>
      <c r="P1589" s="34"/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</row>
    <row r="1590" spans="1:26" ht="23.25" customHeight="1">
      <c r="A1590" s="29"/>
      <c r="B1590" s="19"/>
      <c r="C1590" s="31"/>
      <c r="D1590" s="32"/>
      <c r="E1590" s="46"/>
      <c r="F1590" s="43"/>
      <c r="G1590" s="34"/>
      <c r="H1590" s="34"/>
      <c r="I1590" s="34"/>
      <c r="J1590" s="34"/>
      <c r="K1590" s="34"/>
      <c r="L1590" s="34"/>
      <c r="M1590" s="34"/>
      <c r="N1590" s="34"/>
      <c r="O1590" s="34"/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</row>
    <row r="1591" spans="1:26" ht="23.25" customHeight="1">
      <c r="A1591" s="29"/>
      <c r="B1591" s="19"/>
      <c r="C1591" s="31"/>
      <c r="D1591" s="32"/>
      <c r="E1591" s="46"/>
      <c r="F1591" s="43"/>
      <c r="G1591" s="34"/>
      <c r="H1591" s="34"/>
      <c r="I1591" s="34"/>
      <c r="J1591" s="34"/>
      <c r="K1591" s="34"/>
      <c r="L1591" s="34"/>
      <c r="M1591" s="34"/>
      <c r="N1591" s="34"/>
      <c r="O1591" s="34"/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</row>
    <row r="1592" spans="1:26" ht="23.25" customHeight="1">
      <c r="A1592" s="29"/>
      <c r="B1592" s="19"/>
      <c r="C1592" s="31"/>
      <c r="D1592" s="32"/>
      <c r="E1592" s="46"/>
      <c r="F1592" s="43"/>
      <c r="G1592" s="34"/>
      <c r="H1592" s="34"/>
      <c r="I1592" s="34"/>
      <c r="J1592" s="34"/>
      <c r="K1592" s="34"/>
      <c r="L1592" s="34"/>
      <c r="M1592" s="34"/>
      <c r="N1592" s="34"/>
      <c r="O1592" s="34"/>
      <c r="P1592" s="34"/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</row>
    <row r="1593" spans="1:26" ht="23.25" customHeight="1">
      <c r="A1593" s="29"/>
      <c r="B1593" s="19"/>
      <c r="C1593" s="31"/>
      <c r="D1593" s="32"/>
      <c r="E1593" s="46"/>
      <c r="F1593" s="43"/>
      <c r="G1593" s="34"/>
      <c r="H1593" s="34"/>
      <c r="I1593" s="34"/>
      <c r="J1593" s="34"/>
      <c r="K1593" s="34"/>
      <c r="L1593" s="34"/>
      <c r="M1593" s="34"/>
      <c r="N1593" s="34"/>
      <c r="O1593" s="34"/>
      <c r="P1593" s="34"/>
      <c r="Q1593" s="34"/>
      <c r="R1593" s="34"/>
      <c r="S1593" s="34"/>
      <c r="T1593" s="34"/>
      <c r="U1593" s="34"/>
      <c r="V1593" s="34"/>
      <c r="W1593" s="34"/>
      <c r="X1593" s="34"/>
      <c r="Y1593" s="34"/>
      <c r="Z1593" s="34"/>
    </row>
    <row r="1594" spans="1:26" ht="23.25" customHeight="1">
      <c r="A1594" s="29"/>
      <c r="B1594" s="19"/>
      <c r="C1594" s="31"/>
      <c r="D1594" s="32"/>
      <c r="E1594" s="46"/>
      <c r="F1594" s="43"/>
      <c r="G1594" s="34"/>
      <c r="H1594" s="34"/>
      <c r="I1594" s="34"/>
      <c r="J1594" s="34"/>
      <c r="K1594" s="34"/>
      <c r="L1594" s="34"/>
      <c r="M1594" s="34"/>
      <c r="N1594" s="34"/>
      <c r="O1594" s="34"/>
      <c r="P1594" s="34"/>
      <c r="Q1594" s="34"/>
      <c r="R1594" s="34"/>
      <c r="S1594" s="34"/>
      <c r="T1594" s="34"/>
      <c r="U1594" s="34"/>
      <c r="V1594" s="34"/>
      <c r="W1594" s="34"/>
      <c r="X1594" s="34"/>
      <c r="Y1594" s="34"/>
      <c r="Z1594" s="34"/>
    </row>
    <row r="1595" spans="1:26" ht="23.25" customHeight="1">
      <c r="A1595" s="29"/>
      <c r="B1595" s="19"/>
      <c r="C1595" s="31"/>
      <c r="D1595" s="32"/>
      <c r="E1595" s="46"/>
      <c r="F1595" s="43"/>
      <c r="G1595" s="34"/>
      <c r="H1595" s="34"/>
      <c r="I1595" s="34"/>
      <c r="J1595" s="34"/>
      <c r="K1595" s="34"/>
      <c r="L1595" s="34"/>
      <c r="M1595" s="34"/>
      <c r="N1595" s="34"/>
      <c r="O1595" s="34"/>
      <c r="P1595" s="34"/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</row>
    <row r="1596" spans="1:26" ht="23.25" customHeight="1">
      <c r="A1596" s="29"/>
      <c r="B1596" s="19"/>
      <c r="C1596" s="31"/>
      <c r="D1596" s="32"/>
      <c r="E1596" s="46"/>
      <c r="F1596" s="43"/>
      <c r="G1596" s="34"/>
      <c r="H1596" s="34"/>
      <c r="I1596" s="34"/>
      <c r="J1596" s="34"/>
      <c r="K1596" s="34"/>
      <c r="L1596" s="34"/>
      <c r="M1596" s="34"/>
      <c r="N1596" s="34"/>
      <c r="O1596" s="34"/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</row>
    <row r="1597" spans="1:26" ht="23.25" customHeight="1">
      <c r="A1597" s="29"/>
      <c r="B1597" s="19"/>
      <c r="C1597" s="31"/>
      <c r="D1597" s="32"/>
      <c r="E1597" s="46"/>
      <c r="F1597" s="43"/>
      <c r="G1597" s="34"/>
      <c r="H1597" s="34"/>
      <c r="I1597" s="34"/>
      <c r="J1597" s="34"/>
      <c r="K1597" s="34"/>
      <c r="L1597" s="34"/>
      <c r="M1597" s="34"/>
      <c r="N1597" s="34"/>
      <c r="O1597" s="34"/>
      <c r="P1597" s="34"/>
      <c r="Q1597" s="34"/>
      <c r="R1597" s="34"/>
      <c r="S1597" s="34"/>
      <c r="T1597" s="34"/>
      <c r="U1597" s="34"/>
      <c r="V1597" s="34"/>
      <c r="W1597" s="34"/>
      <c r="X1597" s="34"/>
      <c r="Y1597" s="34"/>
      <c r="Z1597" s="34"/>
    </row>
    <row r="1598" spans="1:26" ht="23.25" customHeight="1">
      <c r="A1598" s="29"/>
      <c r="B1598" s="19"/>
      <c r="C1598" s="31"/>
      <c r="D1598" s="32"/>
      <c r="E1598" s="46"/>
      <c r="F1598" s="43"/>
      <c r="G1598" s="34"/>
      <c r="H1598" s="34"/>
      <c r="I1598" s="34"/>
      <c r="J1598" s="34"/>
      <c r="K1598" s="34"/>
      <c r="L1598" s="34"/>
      <c r="M1598" s="34"/>
      <c r="N1598" s="34"/>
      <c r="O1598" s="34"/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</row>
    <row r="1599" spans="1:26" ht="23.25" customHeight="1">
      <c r="A1599" s="29"/>
      <c r="B1599" s="19"/>
      <c r="C1599" s="31"/>
      <c r="D1599" s="32"/>
      <c r="E1599" s="46"/>
      <c r="F1599" s="43"/>
      <c r="G1599" s="34"/>
      <c r="H1599" s="34"/>
      <c r="I1599" s="34"/>
      <c r="J1599" s="34"/>
      <c r="K1599" s="34"/>
      <c r="L1599" s="34"/>
      <c r="M1599" s="34"/>
      <c r="N1599" s="34"/>
      <c r="O1599" s="34"/>
      <c r="P1599" s="34"/>
      <c r="Q1599" s="34"/>
      <c r="R1599" s="34"/>
      <c r="S1599" s="34"/>
      <c r="T1599" s="34"/>
      <c r="U1599" s="34"/>
      <c r="V1599" s="34"/>
      <c r="W1599" s="34"/>
      <c r="X1599" s="34"/>
      <c r="Y1599" s="34"/>
      <c r="Z1599" s="34"/>
    </row>
    <row r="1600" spans="1:26" ht="23.25" customHeight="1">
      <c r="A1600" s="29"/>
      <c r="B1600" s="19"/>
      <c r="C1600" s="31"/>
      <c r="D1600" s="32"/>
      <c r="E1600" s="46"/>
      <c r="F1600" s="43"/>
      <c r="G1600" s="34"/>
      <c r="H1600" s="34"/>
      <c r="I1600" s="34"/>
      <c r="J1600" s="34"/>
      <c r="K1600" s="34"/>
      <c r="L1600" s="34"/>
      <c r="M1600" s="34"/>
      <c r="N1600" s="34"/>
      <c r="O1600" s="34"/>
      <c r="P1600" s="34"/>
      <c r="Q1600" s="34"/>
      <c r="R1600" s="34"/>
      <c r="S1600" s="34"/>
      <c r="T1600" s="34"/>
      <c r="U1600" s="34"/>
      <c r="V1600" s="34"/>
      <c r="W1600" s="34"/>
      <c r="X1600" s="34"/>
      <c r="Y1600" s="34"/>
      <c r="Z1600" s="34"/>
    </row>
    <row r="1601" spans="1:26" ht="23.25" customHeight="1">
      <c r="A1601" s="29"/>
      <c r="B1601" s="19"/>
      <c r="C1601" s="31"/>
      <c r="D1601" s="32"/>
      <c r="E1601" s="46"/>
      <c r="F1601" s="43"/>
      <c r="G1601" s="34"/>
      <c r="H1601" s="34"/>
      <c r="I1601" s="34"/>
      <c r="J1601" s="34"/>
      <c r="K1601" s="34"/>
      <c r="L1601" s="34"/>
      <c r="M1601" s="34"/>
      <c r="N1601" s="34"/>
      <c r="O1601" s="34"/>
      <c r="P1601" s="34"/>
      <c r="Q1601" s="34"/>
      <c r="R1601" s="34"/>
      <c r="S1601" s="34"/>
      <c r="T1601" s="34"/>
      <c r="U1601" s="34"/>
      <c r="V1601" s="34"/>
      <c r="W1601" s="34"/>
      <c r="X1601" s="34"/>
      <c r="Y1601" s="34"/>
      <c r="Z1601" s="34"/>
    </row>
    <row r="1602" spans="1:26" ht="23.25" customHeight="1">
      <c r="A1602" s="29"/>
      <c r="B1602" s="19"/>
      <c r="C1602" s="31"/>
      <c r="D1602" s="32"/>
      <c r="E1602" s="46"/>
      <c r="F1602" s="43"/>
      <c r="G1602" s="34"/>
      <c r="H1602" s="34"/>
      <c r="I1602" s="34"/>
      <c r="J1602" s="34"/>
      <c r="K1602" s="34"/>
      <c r="L1602" s="34"/>
      <c r="M1602" s="34"/>
      <c r="N1602" s="34"/>
      <c r="O1602" s="34"/>
      <c r="P1602" s="34"/>
      <c r="Q1602" s="34"/>
      <c r="R1602" s="34"/>
      <c r="S1602" s="34"/>
      <c r="T1602" s="34"/>
      <c r="U1602" s="34"/>
      <c r="V1602" s="34"/>
      <c r="W1602" s="34"/>
      <c r="X1602" s="34"/>
      <c r="Y1602" s="34"/>
      <c r="Z1602" s="34"/>
    </row>
    <row r="1603" spans="1:26" ht="23.25" customHeight="1">
      <c r="A1603" s="29"/>
      <c r="B1603" s="19"/>
      <c r="C1603" s="31"/>
      <c r="D1603" s="32"/>
      <c r="E1603" s="46"/>
      <c r="F1603" s="43"/>
      <c r="G1603" s="34"/>
      <c r="H1603" s="34"/>
      <c r="I1603" s="34"/>
      <c r="J1603" s="34"/>
      <c r="K1603" s="34"/>
      <c r="L1603" s="34"/>
      <c r="M1603" s="34"/>
      <c r="N1603" s="34"/>
      <c r="O1603" s="34"/>
      <c r="P1603" s="34"/>
      <c r="Q1603" s="34"/>
      <c r="R1603" s="34"/>
      <c r="S1603" s="34"/>
      <c r="T1603" s="34"/>
      <c r="U1603" s="34"/>
      <c r="V1603" s="34"/>
      <c r="W1603" s="34"/>
      <c r="X1603" s="34"/>
      <c r="Y1603" s="34"/>
      <c r="Z1603" s="34"/>
    </row>
    <row r="1604" spans="1:26" ht="23.25" customHeight="1">
      <c r="A1604" s="29"/>
      <c r="B1604" s="19"/>
      <c r="C1604" s="31"/>
      <c r="D1604" s="32"/>
      <c r="E1604" s="46"/>
      <c r="F1604" s="43"/>
      <c r="G1604" s="34"/>
      <c r="H1604" s="34"/>
      <c r="I1604" s="34"/>
      <c r="J1604" s="34"/>
      <c r="K1604" s="34"/>
      <c r="L1604" s="34"/>
      <c r="M1604" s="34"/>
      <c r="N1604" s="34"/>
      <c r="O1604" s="34"/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</row>
    <row r="1605" spans="1:26" ht="23.25" customHeight="1">
      <c r="A1605" s="29"/>
      <c r="B1605" s="19"/>
      <c r="C1605" s="31"/>
      <c r="D1605" s="32"/>
      <c r="E1605" s="46"/>
      <c r="F1605" s="43"/>
      <c r="G1605" s="34"/>
      <c r="H1605" s="34"/>
      <c r="I1605" s="34"/>
      <c r="J1605" s="34"/>
      <c r="K1605" s="34"/>
      <c r="L1605" s="34"/>
      <c r="M1605" s="34"/>
      <c r="N1605" s="34"/>
      <c r="O1605" s="34"/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</row>
    <row r="1606" spans="1:26" ht="23.25" customHeight="1">
      <c r="A1606" s="29"/>
      <c r="B1606" s="19"/>
      <c r="C1606" s="31"/>
      <c r="D1606" s="32"/>
      <c r="E1606" s="46"/>
      <c r="F1606" s="43"/>
      <c r="G1606" s="34"/>
      <c r="H1606" s="34"/>
      <c r="I1606" s="34"/>
      <c r="J1606" s="34"/>
      <c r="K1606" s="34"/>
      <c r="L1606" s="34"/>
      <c r="M1606" s="34"/>
      <c r="N1606" s="34"/>
      <c r="O1606" s="34"/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</row>
    <row r="1607" spans="1:26" ht="23.25" customHeight="1">
      <c r="A1607" s="29"/>
      <c r="B1607" s="19"/>
      <c r="C1607" s="31"/>
      <c r="D1607" s="32"/>
      <c r="E1607" s="46"/>
      <c r="F1607" s="43"/>
      <c r="G1607" s="34"/>
      <c r="H1607" s="34"/>
      <c r="I1607" s="34"/>
      <c r="J1607" s="34"/>
      <c r="K1607" s="34"/>
      <c r="L1607" s="34"/>
      <c r="M1607" s="34"/>
      <c r="N1607" s="34"/>
      <c r="O1607" s="34"/>
      <c r="P1607" s="34"/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</row>
    <row r="1608" spans="1:26" ht="23.25" customHeight="1">
      <c r="A1608" s="29"/>
      <c r="B1608" s="19"/>
      <c r="C1608" s="31"/>
      <c r="D1608" s="32"/>
      <c r="E1608" s="46"/>
      <c r="F1608" s="43"/>
      <c r="G1608" s="34"/>
      <c r="H1608" s="34"/>
      <c r="I1608" s="34"/>
      <c r="J1608" s="34"/>
      <c r="K1608" s="34"/>
      <c r="L1608" s="34"/>
      <c r="M1608" s="34"/>
      <c r="N1608" s="34"/>
      <c r="O1608" s="34"/>
      <c r="P1608" s="34"/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</row>
    <row r="1609" spans="1:26" ht="23.25" customHeight="1">
      <c r="A1609" s="29"/>
      <c r="B1609" s="19"/>
      <c r="C1609" s="31"/>
      <c r="D1609" s="32"/>
      <c r="E1609" s="46"/>
      <c r="F1609" s="43"/>
      <c r="G1609" s="34"/>
      <c r="H1609" s="34"/>
      <c r="I1609" s="34"/>
      <c r="J1609" s="34"/>
      <c r="K1609" s="34"/>
      <c r="L1609" s="34"/>
      <c r="M1609" s="34"/>
      <c r="N1609" s="34"/>
      <c r="O1609" s="34"/>
      <c r="P1609" s="34"/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</row>
    <row r="1610" spans="1:26" ht="23.25" customHeight="1">
      <c r="A1610" s="29"/>
      <c r="B1610" s="19"/>
      <c r="C1610" s="31"/>
      <c r="D1610" s="32"/>
      <c r="E1610" s="46"/>
      <c r="F1610" s="43"/>
      <c r="G1610" s="34"/>
      <c r="H1610" s="34"/>
      <c r="I1610" s="34"/>
      <c r="J1610" s="34"/>
      <c r="K1610" s="34"/>
      <c r="L1610" s="34"/>
      <c r="M1610" s="34"/>
      <c r="N1610" s="34"/>
      <c r="O1610" s="34"/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</row>
    <row r="1611" spans="1:26" ht="23.25" customHeight="1">
      <c r="A1611" s="29"/>
      <c r="B1611" s="19"/>
      <c r="C1611" s="31"/>
      <c r="D1611" s="32"/>
      <c r="E1611" s="46"/>
      <c r="F1611" s="43"/>
      <c r="G1611" s="34"/>
      <c r="H1611" s="34"/>
      <c r="I1611" s="34"/>
      <c r="J1611" s="34"/>
      <c r="K1611" s="34"/>
      <c r="L1611" s="34"/>
      <c r="M1611" s="34"/>
      <c r="N1611" s="34"/>
      <c r="O1611" s="34"/>
      <c r="P1611" s="34"/>
      <c r="Q1611" s="34"/>
      <c r="R1611" s="34"/>
      <c r="S1611" s="34"/>
      <c r="T1611" s="34"/>
      <c r="U1611" s="34"/>
      <c r="V1611" s="34"/>
      <c r="W1611" s="34"/>
      <c r="X1611" s="34"/>
      <c r="Y1611" s="34"/>
      <c r="Z1611" s="34"/>
    </row>
    <row r="1612" spans="1:26" ht="23.25" customHeight="1">
      <c r="A1612" s="29"/>
      <c r="B1612" s="19"/>
      <c r="C1612" s="31"/>
      <c r="D1612" s="32"/>
      <c r="E1612" s="46"/>
      <c r="F1612" s="43"/>
      <c r="G1612" s="34"/>
      <c r="H1612" s="34"/>
      <c r="I1612" s="34"/>
      <c r="J1612" s="34"/>
      <c r="K1612" s="34"/>
      <c r="L1612" s="34"/>
      <c r="M1612" s="34"/>
      <c r="N1612" s="34"/>
      <c r="O1612" s="34"/>
      <c r="P1612" s="34"/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</row>
    <row r="1613" spans="1:26" ht="23.25" customHeight="1">
      <c r="A1613" s="29"/>
      <c r="B1613" s="19"/>
      <c r="C1613" s="31"/>
      <c r="D1613" s="32"/>
      <c r="E1613" s="46"/>
      <c r="F1613" s="43"/>
      <c r="G1613" s="34"/>
      <c r="H1613" s="34"/>
      <c r="I1613" s="34"/>
      <c r="J1613" s="34"/>
      <c r="K1613" s="34"/>
      <c r="L1613" s="34"/>
      <c r="M1613" s="34"/>
      <c r="N1613" s="34"/>
      <c r="O1613" s="34"/>
      <c r="P1613" s="34"/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</row>
    <row r="1614" spans="1:26" ht="23.25" customHeight="1">
      <c r="A1614" s="29"/>
      <c r="B1614" s="19"/>
      <c r="C1614" s="31"/>
      <c r="D1614" s="32"/>
      <c r="E1614" s="46"/>
      <c r="F1614" s="43"/>
      <c r="G1614" s="34"/>
      <c r="H1614" s="34"/>
      <c r="I1614" s="34"/>
      <c r="J1614" s="34"/>
      <c r="K1614" s="34"/>
      <c r="L1614" s="34"/>
      <c r="M1614" s="34"/>
      <c r="N1614" s="34"/>
      <c r="O1614" s="34"/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</row>
    <row r="1615" spans="1:26" ht="23.25" customHeight="1">
      <c r="A1615" s="29"/>
      <c r="B1615" s="19"/>
      <c r="C1615" s="31"/>
      <c r="D1615" s="32"/>
      <c r="E1615" s="46"/>
      <c r="F1615" s="43"/>
      <c r="G1615" s="34"/>
      <c r="H1615" s="34"/>
      <c r="I1615" s="34"/>
      <c r="J1615" s="34"/>
      <c r="K1615" s="34"/>
      <c r="L1615" s="34"/>
      <c r="M1615" s="34"/>
      <c r="N1615" s="34"/>
      <c r="O1615" s="34"/>
      <c r="P1615" s="34"/>
      <c r="Q1615" s="34"/>
      <c r="R1615" s="34"/>
      <c r="S1615" s="34"/>
      <c r="T1615" s="34"/>
      <c r="U1615" s="34"/>
      <c r="V1615" s="34"/>
      <c r="W1615" s="34"/>
      <c r="X1615" s="34"/>
      <c r="Y1615" s="34"/>
      <c r="Z1615" s="34"/>
    </row>
    <row r="1616" spans="1:26" ht="23.25" customHeight="1">
      <c r="A1616" s="29"/>
      <c r="B1616" s="19"/>
      <c r="C1616" s="31"/>
      <c r="D1616" s="32"/>
      <c r="E1616" s="46"/>
      <c r="F1616" s="43"/>
      <c r="G1616" s="34"/>
      <c r="H1616" s="34"/>
      <c r="I1616" s="34"/>
      <c r="J1616" s="34"/>
      <c r="K1616" s="34"/>
      <c r="L1616" s="34"/>
      <c r="M1616" s="34"/>
      <c r="N1616" s="34"/>
      <c r="O1616" s="34"/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</row>
    <row r="1617" spans="1:26" ht="23.25" customHeight="1">
      <c r="A1617" s="29"/>
      <c r="B1617" s="19"/>
      <c r="C1617" s="31"/>
      <c r="D1617" s="32"/>
      <c r="E1617" s="46"/>
      <c r="F1617" s="43"/>
      <c r="G1617" s="34"/>
      <c r="H1617" s="34"/>
      <c r="I1617" s="34"/>
      <c r="J1617" s="34"/>
      <c r="K1617" s="34"/>
      <c r="L1617" s="34"/>
      <c r="M1617" s="34"/>
      <c r="N1617" s="34"/>
      <c r="O1617" s="34"/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</row>
    <row r="1618" spans="1:26" ht="23.25" customHeight="1">
      <c r="A1618" s="29"/>
      <c r="B1618" s="19"/>
      <c r="C1618" s="31"/>
      <c r="D1618" s="32"/>
      <c r="E1618" s="46"/>
      <c r="F1618" s="43"/>
      <c r="G1618" s="34"/>
      <c r="H1618" s="34"/>
      <c r="I1618" s="34"/>
      <c r="J1618" s="34"/>
      <c r="K1618" s="34"/>
      <c r="L1618" s="34"/>
      <c r="M1618" s="34"/>
      <c r="N1618" s="34"/>
      <c r="O1618" s="34"/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</row>
    <row r="1619" spans="1:26" ht="23.25" customHeight="1">
      <c r="A1619" s="29"/>
      <c r="B1619" s="19"/>
      <c r="C1619" s="31"/>
      <c r="D1619" s="32"/>
      <c r="E1619" s="46"/>
      <c r="F1619" s="43"/>
      <c r="G1619" s="34"/>
      <c r="H1619" s="34"/>
      <c r="I1619" s="34"/>
      <c r="J1619" s="34"/>
      <c r="K1619" s="34"/>
      <c r="L1619" s="34"/>
      <c r="M1619" s="34"/>
      <c r="N1619" s="34"/>
      <c r="O1619" s="34"/>
      <c r="P1619" s="34"/>
      <c r="Q1619" s="34"/>
      <c r="R1619" s="34"/>
      <c r="S1619" s="34"/>
      <c r="T1619" s="34"/>
      <c r="U1619" s="34"/>
      <c r="V1619" s="34"/>
      <c r="W1619" s="34"/>
      <c r="X1619" s="34"/>
      <c r="Y1619" s="34"/>
      <c r="Z1619" s="34"/>
    </row>
    <row r="1620" spans="1:26" ht="23.25" customHeight="1">
      <c r="A1620" s="29"/>
      <c r="B1620" s="19"/>
      <c r="C1620" s="31"/>
      <c r="D1620" s="32"/>
      <c r="E1620" s="46"/>
      <c r="F1620" s="43"/>
      <c r="G1620" s="34"/>
      <c r="H1620" s="34"/>
      <c r="I1620" s="34"/>
      <c r="J1620" s="34"/>
      <c r="K1620" s="34"/>
      <c r="L1620" s="34"/>
      <c r="M1620" s="34"/>
      <c r="N1620" s="34"/>
      <c r="O1620" s="34"/>
      <c r="P1620" s="34"/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</row>
    <row r="1621" spans="1:26" ht="23.25" customHeight="1">
      <c r="A1621" s="29"/>
      <c r="B1621" s="19"/>
      <c r="C1621" s="31"/>
      <c r="D1621" s="32"/>
      <c r="E1621" s="46"/>
      <c r="F1621" s="43"/>
      <c r="G1621" s="34"/>
      <c r="H1621" s="34"/>
      <c r="I1621" s="34"/>
      <c r="J1621" s="34"/>
      <c r="K1621" s="34"/>
      <c r="L1621" s="34"/>
      <c r="M1621" s="34"/>
      <c r="N1621" s="34"/>
      <c r="O1621" s="34"/>
      <c r="P1621" s="34"/>
      <c r="Q1621" s="34"/>
      <c r="R1621" s="34"/>
      <c r="S1621" s="34"/>
      <c r="T1621" s="34"/>
      <c r="U1621" s="34"/>
      <c r="V1621" s="34"/>
      <c r="W1621" s="34"/>
      <c r="X1621" s="34"/>
      <c r="Y1621" s="34"/>
      <c r="Z1621" s="34"/>
    </row>
    <row r="1622" spans="1:26" ht="23.25" customHeight="1">
      <c r="A1622" s="29"/>
      <c r="B1622" s="19"/>
      <c r="C1622" s="31"/>
      <c r="D1622" s="32"/>
      <c r="E1622" s="46"/>
      <c r="F1622" s="43"/>
      <c r="G1622" s="34"/>
      <c r="H1622" s="34"/>
      <c r="I1622" s="34"/>
      <c r="J1622" s="34"/>
      <c r="K1622" s="34"/>
      <c r="L1622" s="34"/>
      <c r="M1622" s="34"/>
      <c r="N1622" s="34"/>
      <c r="O1622" s="34"/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</row>
    <row r="1623" spans="1:26" ht="23.25" customHeight="1">
      <c r="A1623" s="29"/>
      <c r="B1623" s="19"/>
      <c r="C1623" s="31"/>
      <c r="D1623" s="32"/>
      <c r="E1623" s="46"/>
      <c r="F1623" s="43"/>
      <c r="G1623" s="34"/>
      <c r="H1623" s="34"/>
      <c r="I1623" s="34"/>
      <c r="J1623" s="34"/>
      <c r="K1623" s="34"/>
      <c r="L1623" s="34"/>
      <c r="M1623" s="34"/>
      <c r="N1623" s="34"/>
      <c r="O1623" s="34"/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</row>
    <row r="1624" spans="1:26" ht="23.25" customHeight="1">
      <c r="A1624" s="29"/>
      <c r="B1624" s="19"/>
      <c r="C1624" s="31"/>
      <c r="D1624" s="32"/>
      <c r="E1624" s="46"/>
      <c r="F1624" s="43"/>
      <c r="G1624" s="34"/>
      <c r="H1624" s="34"/>
      <c r="I1624" s="34"/>
      <c r="J1624" s="34"/>
      <c r="K1624" s="34"/>
      <c r="L1624" s="34"/>
      <c r="M1624" s="34"/>
      <c r="N1624" s="34"/>
      <c r="O1624" s="34"/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</row>
    <row r="1625" spans="1:26" ht="23.25" customHeight="1">
      <c r="A1625" s="29"/>
      <c r="B1625" s="19"/>
      <c r="C1625" s="31"/>
      <c r="D1625" s="32"/>
      <c r="E1625" s="46"/>
      <c r="F1625" s="43"/>
      <c r="G1625" s="34"/>
      <c r="H1625" s="34"/>
      <c r="I1625" s="34"/>
      <c r="J1625" s="34"/>
      <c r="K1625" s="34"/>
      <c r="L1625" s="34"/>
      <c r="M1625" s="34"/>
      <c r="N1625" s="34"/>
      <c r="O1625" s="34"/>
      <c r="P1625" s="34"/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</row>
    <row r="1626" spans="1:26" ht="23.25" customHeight="1">
      <c r="A1626" s="29"/>
      <c r="B1626" s="19"/>
      <c r="C1626" s="31"/>
      <c r="D1626" s="32"/>
      <c r="E1626" s="46"/>
      <c r="F1626" s="43"/>
      <c r="G1626" s="34"/>
      <c r="H1626" s="34"/>
      <c r="I1626" s="34"/>
      <c r="J1626" s="34"/>
      <c r="K1626" s="34"/>
      <c r="L1626" s="34"/>
      <c r="M1626" s="34"/>
      <c r="N1626" s="34"/>
      <c r="O1626" s="34"/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</row>
    <row r="1627" spans="1:26" ht="23.25" customHeight="1">
      <c r="A1627" s="29"/>
      <c r="B1627" s="19"/>
      <c r="C1627" s="31"/>
      <c r="D1627" s="32"/>
      <c r="E1627" s="46"/>
      <c r="F1627" s="43"/>
      <c r="G1627" s="34"/>
      <c r="H1627" s="34"/>
      <c r="I1627" s="34"/>
      <c r="J1627" s="34"/>
      <c r="K1627" s="34"/>
      <c r="L1627" s="34"/>
      <c r="M1627" s="34"/>
      <c r="N1627" s="34"/>
      <c r="O1627" s="34"/>
      <c r="P1627" s="34"/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</row>
    <row r="1628" spans="1:26" ht="23.25" customHeight="1">
      <c r="A1628" s="29"/>
      <c r="B1628" s="19"/>
      <c r="C1628" s="31"/>
      <c r="D1628" s="32"/>
      <c r="E1628" s="46"/>
      <c r="F1628" s="43"/>
      <c r="G1628" s="34"/>
      <c r="H1628" s="34"/>
      <c r="I1628" s="34"/>
      <c r="J1628" s="34"/>
      <c r="K1628" s="34"/>
      <c r="L1628" s="34"/>
      <c r="M1628" s="34"/>
      <c r="N1628" s="34"/>
      <c r="O1628" s="34"/>
      <c r="P1628" s="34"/>
      <c r="Q1628" s="34"/>
      <c r="R1628" s="34"/>
      <c r="S1628" s="34"/>
      <c r="T1628" s="34"/>
      <c r="U1628" s="34"/>
      <c r="V1628" s="34"/>
      <c r="W1628" s="34"/>
      <c r="X1628" s="34"/>
      <c r="Y1628" s="34"/>
      <c r="Z1628" s="34"/>
    </row>
    <row r="1629" spans="1:26" ht="23.25" customHeight="1">
      <c r="A1629" s="29"/>
      <c r="B1629" s="19"/>
      <c r="C1629" s="31"/>
      <c r="D1629" s="32"/>
      <c r="E1629" s="46"/>
      <c r="F1629" s="43"/>
      <c r="G1629" s="34"/>
      <c r="H1629" s="34"/>
      <c r="I1629" s="34"/>
      <c r="J1629" s="34"/>
      <c r="K1629" s="34"/>
      <c r="L1629" s="34"/>
      <c r="M1629" s="34"/>
      <c r="N1629" s="34"/>
      <c r="O1629" s="34"/>
      <c r="P1629" s="34"/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</row>
    <row r="1630" spans="1:26" ht="23.25" customHeight="1">
      <c r="A1630" s="29"/>
      <c r="B1630" s="19"/>
      <c r="C1630" s="31"/>
      <c r="D1630" s="32"/>
      <c r="E1630" s="46"/>
      <c r="F1630" s="43"/>
      <c r="G1630" s="34"/>
      <c r="H1630" s="34"/>
      <c r="I1630" s="34"/>
      <c r="J1630" s="34"/>
      <c r="K1630" s="34"/>
      <c r="L1630" s="34"/>
      <c r="M1630" s="34"/>
      <c r="N1630" s="34"/>
      <c r="O1630" s="34"/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</row>
    <row r="1631" spans="1:26" ht="23.25" customHeight="1">
      <c r="A1631" s="29"/>
      <c r="B1631" s="19"/>
      <c r="C1631" s="31"/>
      <c r="D1631" s="32"/>
      <c r="E1631" s="46"/>
      <c r="F1631" s="43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</row>
    <row r="1632" spans="1:26" ht="23.25" customHeight="1">
      <c r="A1632" s="29"/>
      <c r="B1632" s="19"/>
      <c r="C1632" s="31"/>
      <c r="D1632" s="32"/>
      <c r="E1632" s="46"/>
      <c r="F1632" s="43"/>
      <c r="G1632" s="34"/>
      <c r="H1632" s="34"/>
      <c r="I1632" s="34"/>
      <c r="J1632" s="34"/>
      <c r="K1632" s="34"/>
      <c r="L1632" s="34"/>
      <c r="M1632" s="34"/>
      <c r="N1632" s="34"/>
      <c r="O1632" s="34"/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</row>
    <row r="1633" spans="1:26" ht="23.25" customHeight="1">
      <c r="A1633" s="29"/>
      <c r="B1633" s="19"/>
      <c r="C1633" s="31"/>
      <c r="D1633" s="32"/>
      <c r="E1633" s="46"/>
      <c r="F1633" s="43"/>
      <c r="G1633" s="34"/>
      <c r="H1633" s="34"/>
      <c r="I1633" s="34"/>
      <c r="J1633" s="34"/>
      <c r="K1633" s="34"/>
      <c r="L1633" s="34"/>
      <c r="M1633" s="34"/>
      <c r="N1633" s="34"/>
      <c r="O1633" s="34"/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</row>
    <row r="1634" spans="1:26" ht="23.25" customHeight="1">
      <c r="A1634" s="29"/>
      <c r="B1634" s="19"/>
      <c r="C1634" s="31"/>
      <c r="D1634" s="32"/>
      <c r="E1634" s="46"/>
      <c r="F1634" s="43"/>
      <c r="G1634" s="34"/>
      <c r="H1634" s="34"/>
      <c r="I1634" s="34"/>
      <c r="J1634" s="34"/>
      <c r="K1634" s="34"/>
      <c r="L1634" s="34"/>
      <c r="M1634" s="34"/>
      <c r="N1634" s="34"/>
      <c r="O1634" s="34"/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</row>
    <row r="1635" spans="1:26" ht="23.25" customHeight="1">
      <c r="A1635" s="29"/>
      <c r="B1635" s="19"/>
      <c r="C1635" s="31"/>
      <c r="D1635" s="32"/>
      <c r="E1635" s="46"/>
      <c r="F1635" s="43"/>
      <c r="G1635" s="34"/>
      <c r="H1635" s="34"/>
      <c r="I1635" s="34"/>
      <c r="J1635" s="34"/>
      <c r="K1635" s="34"/>
      <c r="L1635" s="34"/>
      <c r="M1635" s="34"/>
      <c r="N1635" s="34"/>
      <c r="O1635" s="34"/>
      <c r="P1635" s="34"/>
      <c r="Q1635" s="34"/>
      <c r="R1635" s="34"/>
      <c r="S1635" s="34"/>
      <c r="T1635" s="34"/>
      <c r="U1635" s="34"/>
      <c r="V1635" s="34"/>
      <c r="W1635" s="34"/>
      <c r="X1635" s="34"/>
      <c r="Y1635" s="34"/>
      <c r="Z1635" s="34"/>
    </row>
    <row r="1636" spans="1:26" ht="23.25" customHeight="1">
      <c r="A1636" s="29"/>
      <c r="B1636" s="19"/>
      <c r="C1636" s="31"/>
      <c r="D1636" s="32"/>
      <c r="E1636" s="46"/>
      <c r="F1636" s="43"/>
      <c r="G1636" s="34"/>
      <c r="H1636" s="34"/>
      <c r="I1636" s="34"/>
      <c r="J1636" s="34"/>
      <c r="K1636" s="34"/>
      <c r="L1636" s="34"/>
      <c r="M1636" s="34"/>
      <c r="N1636" s="34"/>
      <c r="O1636" s="34"/>
      <c r="P1636" s="34"/>
      <c r="Q1636" s="34"/>
      <c r="R1636" s="34"/>
      <c r="S1636" s="34"/>
      <c r="T1636" s="34"/>
      <c r="U1636" s="34"/>
      <c r="V1636" s="34"/>
      <c r="W1636" s="34"/>
      <c r="X1636" s="34"/>
      <c r="Y1636" s="34"/>
      <c r="Z1636" s="34"/>
    </row>
    <row r="1637" spans="1:26" ht="23.25" customHeight="1">
      <c r="A1637" s="29"/>
      <c r="B1637" s="19"/>
      <c r="C1637" s="31"/>
      <c r="D1637" s="32"/>
      <c r="E1637" s="46"/>
      <c r="F1637" s="43"/>
      <c r="G1637" s="34"/>
      <c r="H1637" s="34"/>
      <c r="I1637" s="34"/>
      <c r="J1637" s="34"/>
      <c r="K1637" s="34"/>
      <c r="L1637" s="34"/>
      <c r="M1637" s="34"/>
      <c r="N1637" s="34"/>
      <c r="O1637" s="34"/>
      <c r="P1637" s="34"/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</row>
    <row r="1638" spans="1:26" ht="23.25" customHeight="1">
      <c r="A1638" s="29"/>
      <c r="B1638" s="19"/>
      <c r="C1638" s="31"/>
      <c r="D1638" s="32"/>
      <c r="E1638" s="46"/>
      <c r="F1638" s="43"/>
      <c r="G1638" s="34"/>
      <c r="H1638" s="34"/>
      <c r="I1638" s="34"/>
      <c r="J1638" s="34"/>
      <c r="K1638" s="34"/>
      <c r="L1638" s="34"/>
      <c r="M1638" s="34"/>
      <c r="N1638" s="34"/>
      <c r="O1638" s="34"/>
      <c r="P1638" s="34"/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</row>
    <row r="1639" spans="1:26" ht="23.25" customHeight="1">
      <c r="A1639" s="29"/>
      <c r="B1639" s="19"/>
      <c r="C1639" s="31"/>
      <c r="D1639" s="32"/>
      <c r="E1639" s="46"/>
      <c r="F1639" s="43"/>
      <c r="G1639" s="34"/>
      <c r="H1639" s="34"/>
      <c r="I1639" s="34"/>
      <c r="J1639" s="34"/>
      <c r="K1639" s="34"/>
      <c r="L1639" s="34"/>
      <c r="M1639" s="34"/>
      <c r="N1639" s="34"/>
      <c r="O1639" s="34"/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</row>
    <row r="1640" spans="1:26" ht="23.25" customHeight="1">
      <c r="A1640" s="29"/>
      <c r="B1640" s="19"/>
      <c r="C1640" s="31"/>
      <c r="D1640" s="32"/>
      <c r="E1640" s="46"/>
      <c r="F1640" s="43"/>
      <c r="G1640" s="34"/>
      <c r="H1640" s="34"/>
      <c r="I1640" s="34"/>
      <c r="J1640" s="34"/>
      <c r="K1640" s="34"/>
      <c r="L1640" s="34"/>
      <c r="M1640" s="34"/>
      <c r="N1640" s="34"/>
      <c r="O1640" s="34"/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</row>
    <row r="1641" spans="1:26" ht="23.25" customHeight="1">
      <c r="A1641" s="29"/>
      <c r="B1641" s="19"/>
      <c r="C1641" s="31"/>
      <c r="D1641" s="32"/>
      <c r="E1641" s="46"/>
      <c r="F1641" s="43"/>
      <c r="G1641" s="34"/>
      <c r="H1641" s="34"/>
      <c r="I1641" s="34"/>
      <c r="J1641" s="34"/>
      <c r="K1641" s="34"/>
      <c r="L1641" s="34"/>
      <c r="M1641" s="34"/>
      <c r="N1641" s="34"/>
      <c r="O1641" s="34"/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</row>
    <row r="1642" spans="1:26" ht="23.25" customHeight="1">
      <c r="A1642" s="29"/>
      <c r="B1642" s="19"/>
      <c r="C1642" s="31"/>
      <c r="D1642" s="32"/>
      <c r="E1642" s="46"/>
      <c r="F1642" s="43"/>
      <c r="G1642" s="34"/>
      <c r="H1642" s="34"/>
      <c r="I1642" s="34"/>
      <c r="J1642" s="34"/>
      <c r="K1642" s="34"/>
      <c r="L1642" s="34"/>
      <c r="M1642" s="34"/>
      <c r="N1642" s="34"/>
      <c r="O1642" s="34"/>
      <c r="P1642" s="34"/>
      <c r="Q1642" s="34"/>
      <c r="R1642" s="34"/>
      <c r="S1642" s="34"/>
      <c r="T1642" s="34"/>
      <c r="U1642" s="34"/>
      <c r="V1642" s="34"/>
      <c r="W1642" s="34"/>
      <c r="X1642" s="34"/>
      <c r="Y1642" s="34"/>
      <c r="Z1642" s="34"/>
    </row>
    <row r="1643" spans="1:26" ht="23.25" customHeight="1">
      <c r="A1643" s="29"/>
      <c r="B1643" s="19"/>
      <c r="C1643" s="31"/>
      <c r="D1643" s="32"/>
      <c r="E1643" s="46"/>
      <c r="F1643" s="43"/>
      <c r="G1643" s="34"/>
      <c r="H1643" s="34"/>
      <c r="I1643" s="34"/>
      <c r="J1643" s="34"/>
      <c r="K1643" s="34"/>
      <c r="L1643" s="34"/>
      <c r="M1643" s="34"/>
      <c r="N1643" s="34"/>
      <c r="O1643" s="34"/>
      <c r="P1643" s="34"/>
      <c r="Q1643" s="34"/>
      <c r="R1643" s="34"/>
      <c r="S1643" s="34"/>
      <c r="T1643" s="34"/>
      <c r="U1643" s="34"/>
      <c r="V1643" s="34"/>
      <c r="W1643" s="34"/>
      <c r="X1643" s="34"/>
      <c r="Y1643" s="34"/>
      <c r="Z1643" s="34"/>
    </row>
    <row r="1644" spans="1:26" ht="23.25" customHeight="1">
      <c r="A1644" s="29"/>
      <c r="B1644" s="19"/>
      <c r="C1644" s="31"/>
      <c r="D1644" s="32"/>
      <c r="E1644" s="46"/>
      <c r="F1644" s="43"/>
      <c r="G1644" s="34"/>
      <c r="H1644" s="34"/>
      <c r="I1644" s="34"/>
      <c r="J1644" s="34"/>
      <c r="K1644" s="34"/>
      <c r="L1644" s="34"/>
      <c r="M1644" s="34"/>
      <c r="N1644" s="34"/>
      <c r="O1644" s="34"/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</row>
    <row r="1645" spans="1:26" ht="23.25" customHeight="1">
      <c r="A1645" s="29"/>
      <c r="B1645" s="19"/>
      <c r="C1645" s="31"/>
      <c r="D1645" s="32"/>
      <c r="E1645" s="46"/>
      <c r="F1645" s="43"/>
      <c r="G1645" s="34"/>
      <c r="H1645" s="34"/>
      <c r="I1645" s="34"/>
      <c r="J1645" s="34"/>
      <c r="K1645" s="34"/>
      <c r="L1645" s="34"/>
      <c r="M1645" s="34"/>
      <c r="N1645" s="34"/>
      <c r="O1645" s="34"/>
      <c r="P1645" s="34"/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</row>
    <row r="1646" spans="1:26" ht="23.25" customHeight="1">
      <c r="A1646" s="29"/>
      <c r="B1646" s="19"/>
      <c r="C1646" s="31"/>
      <c r="D1646" s="32"/>
      <c r="E1646" s="46"/>
      <c r="F1646" s="43"/>
      <c r="G1646" s="34"/>
      <c r="H1646" s="34"/>
      <c r="I1646" s="34"/>
      <c r="J1646" s="34"/>
      <c r="K1646" s="34"/>
      <c r="L1646" s="34"/>
      <c r="M1646" s="34"/>
      <c r="N1646" s="34"/>
      <c r="O1646" s="34"/>
      <c r="P1646" s="34"/>
      <c r="Q1646" s="34"/>
      <c r="R1646" s="34"/>
      <c r="S1646" s="34"/>
      <c r="T1646" s="34"/>
      <c r="U1646" s="34"/>
      <c r="V1646" s="34"/>
      <c r="W1646" s="34"/>
      <c r="X1646" s="34"/>
      <c r="Y1646" s="34"/>
      <c r="Z1646" s="34"/>
    </row>
    <row r="1647" spans="1:26" ht="23.25" customHeight="1">
      <c r="A1647" s="29"/>
      <c r="B1647" s="19"/>
      <c r="C1647" s="31"/>
      <c r="D1647" s="32"/>
      <c r="E1647" s="46"/>
      <c r="F1647" s="43"/>
      <c r="G1647" s="34"/>
      <c r="H1647" s="34"/>
      <c r="I1647" s="34"/>
      <c r="J1647" s="34"/>
      <c r="K1647" s="34"/>
      <c r="L1647" s="34"/>
      <c r="M1647" s="34"/>
      <c r="N1647" s="34"/>
      <c r="O1647" s="34"/>
      <c r="P1647" s="34"/>
      <c r="Q1647" s="34"/>
      <c r="R1647" s="34"/>
      <c r="S1647" s="34"/>
      <c r="T1647" s="34"/>
      <c r="U1647" s="34"/>
      <c r="V1647" s="34"/>
      <c r="W1647" s="34"/>
      <c r="X1647" s="34"/>
      <c r="Y1647" s="34"/>
      <c r="Z1647" s="34"/>
    </row>
    <row r="1648" spans="1:26" ht="23.25" customHeight="1">
      <c r="A1648" s="29"/>
      <c r="B1648" s="19"/>
      <c r="C1648" s="31"/>
      <c r="D1648" s="32"/>
      <c r="E1648" s="46"/>
      <c r="F1648" s="43"/>
      <c r="G1648" s="34"/>
      <c r="H1648" s="34"/>
      <c r="I1648" s="34"/>
      <c r="J1648" s="34"/>
      <c r="K1648" s="34"/>
      <c r="L1648" s="34"/>
      <c r="M1648" s="34"/>
      <c r="N1648" s="34"/>
      <c r="O1648" s="34"/>
      <c r="P1648" s="34"/>
      <c r="Q1648" s="34"/>
      <c r="R1648" s="34"/>
      <c r="S1648" s="34"/>
      <c r="T1648" s="34"/>
      <c r="U1648" s="34"/>
      <c r="V1648" s="34"/>
      <c r="W1648" s="34"/>
      <c r="X1648" s="34"/>
      <c r="Y1648" s="34"/>
      <c r="Z1648" s="34"/>
    </row>
    <row r="1649" spans="1:26" ht="23.25" customHeight="1">
      <c r="A1649" s="29"/>
      <c r="B1649" s="19"/>
      <c r="C1649" s="31"/>
      <c r="D1649" s="32"/>
      <c r="E1649" s="46"/>
      <c r="F1649" s="43"/>
      <c r="G1649" s="34"/>
      <c r="H1649" s="34"/>
      <c r="I1649" s="34"/>
      <c r="J1649" s="34"/>
      <c r="K1649" s="34"/>
      <c r="L1649" s="34"/>
      <c r="M1649" s="34"/>
      <c r="N1649" s="34"/>
      <c r="O1649" s="34"/>
      <c r="P1649" s="34"/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</row>
    <row r="1650" spans="1:26" ht="23.25" customHeight="1">
      <c r="A1650" s="29"/>
      <c r="B1650" s="19"/>
      <c r="C1650" s="31"/>
      <c r="D1650" s="32"/>
      <c r="E1650" s="46"/>
      <c r="F1650" s="43"/>
      <c r="G1650" s="34"/>
      <c r="H1650" s="34"/>
      <c r="I1650" s="34"/>
      <c r="J1650" s="34"/>
      <c r="K1650" s="34"/>
      <c r="L1650" s="34"/>
      <c r="M1650" s="34"/>
      <c r="N1650" s="34"/>
      <c r="O1650" s="34"/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</row>
    <row r="1651" spans="1:26" ht="23.25" customHeight="1">
      <c r="A1651" s="29"/>
      <c r="B1651" s="19"/>
      <c r="C1651" s="31"/>
      <c r="D1651" s="32"/>
      <c r="E1651" s="46"/>
      <c r="F1651" s="43"/>
      <c r="G1651" s="34"/>
      <c r="H1651" s="34"/>
      <c r="I1651" s="34"/>
      <c r="J1651" s="34"/>
      <c r="K1651" s="34"/>
      <c r="L1651" s="34"/>
      <c r="M1651" s="34"/>
      <c r="N1651" s="34"/>
      <c r="O1651" s="34"/>
      <c r="P1651" s="34"/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</row>
    <row r="1652" spans="1:26" ht="23.25" customHeight="1">
      <c r="A1652" s="29"/>
      <c r="B1652" s="19"/>
      <c r="C1652" s="31"/>
      <c r="D1652" s="32"/>
      <c r="E1652" s="46"/>
      <c r="F1652" s="43"/>
      <c r="G1652" s="34"/>
      <c r="H1652" s="34"/>
      <c r="I1652" s="34"/>
      <c r="J1652" s="34"/>
      <c r="K1652" s="34"/>
      <c r="L1652" s="34"/>
      <c r="M1652" s="34"/>
      <c r="N1652" s="34"/>
      <c r="O1652" s="34"/>
      <c r="P1652" s="34"/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</row>
    <row r="1653" spans="1:26" ht="23.25" customHeight="1">
      <c r="A1653" s="29"/>
      <c r="B1653" s="19"/>
      <c r="C1653" s="31"/>
      <c r="D1653" s="32"/>
      <c r="E1653" s="46"/>
      <c r="F1653" s="43"/>
      <c r="G1653" s="34"/>
      <c r="H1653" s="34"/>
      <c r="I1653" s="34"/>
      <c r="J1653" s="34"/>
      <c r="K1653" s="34"/>
      <c r="L1653" s="34"/>
      <c r="M1653" s="34"/>
      <c r="N1653" s="34"/>
      <c r="O1653" s="34"/>
      <c r="P1653" s="34"/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</row>
    <row r="1654" spans="1:26" ht="23.25" customHeight="1">
      <c r="A1654" s="29"/>
      <c r="B1654" s="19"/>
      <c r="C1654" s="31"/>
      <c r="D1654" s="32"/>
      <c r="E1654" s="46"/>
      <c r="F1654" s="43"/>
      <c r="G1654" s="34"/>
      <c r="H1654" s="34"/>
      <c r="I1654" s="34"/>
      <c r="J1654" s="34"/>
      <c r="K1654" s="34"/>
      <c r="L1654" s="34"/>
      <c r="M1654" s="34"/>
      <c r="N1654" s="34"/>
      <c r="O1654" s="34"/>
      <c r="P1654" s="34"/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</row>
    <row r="1655" spans="1:26" ht="23.25" customHeight="1">
      <c r="A1655" s="29"/>
      <c r="B1655" s="19"/>
      <c r="C1655" s="31"/>
      <c r="D1655" s="32"/>
      <c r="E1655" s="46"/>
      <c r="F1655" s="43"/>
      <c r="G1655" s="34"/>
      <c r="H1655" s="34"/>
      <c r="I1655" s="34"/>
      <c r="J1655" s="34"/>
      <c r="K1655" s="34"/>
      <c r="L1655" s="34"/>
      <c r="M1655" s="34"/>
      <c r="N1655" s="34"/>
      <c r="O1655" s="34"/>
      <c r="P1655" s="34"/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</row>
    <row r="1656" spans="1:26" ht="23.25" customHeight="1">
      <c r="A1656" s="29"/>
      <c r="B1656" s="19"/>
      <c r="C1656" s="31"/>
      <c r="D1656" s="32"/>
      <c r="E1656" s="46"/>
      <c r="F1656" s="43"/>
      <c r="G1656" s="34"/>
      <c r="H1656" s="34"/>
      <c r="I1656" s="34"/>
      <c r="J1656" s="34"/>
      <c r="K1656" s="34"/>
      <c r="L1656" s="34"/>
      <c r="M1656" s="34"/>
      <c r="N1656" s="34"/>
      <c r="O1656" s="34"/>
      <c r="P1656" s="34"/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</row>
    <row r="1657" spans="1:26" ht="23.25" customHeight="1">
      <c r="A1657" s="29"/>
      <c r="B1657" s="19"/>
      <c r="C1657" s="31"/>
      <c r="D1657" s="32"/>
      <c r="E1657" s="46"/>
      <c r="F1657" s="43"/>
      <c r="G1657" s="34"/>
      <c r="H1657" s="34"/>
      <c r="I1657" s="34"/>
      <c r="J1657" s="34"/>
      <c r="K1657" s="34"/>
      <c r="L1657" s="34"/>
      <c r="M1657" s="34"/>
      <c r="N1657" s="34"/>
      <c r="O1657" s="34"/>
      <c r="P1657" s="34"/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</row>
    <row r="1658" spans="1:26" ht="23.25" customHeight="1">
      <c r="A1658" s="29"/>
      <c r="B1658" s="19"/>
      <c r="C1658" s="31"/>
      <c r="D1658" s="32"/>
      <c r="E1658" s="46"/>
      <c r="F1658" s="43"/>
      <c r="G1658" s="34"/>
      <c r="H1658" s="34"/>
      <c r="I1658" s="34"/>
      <c r="J1658" s="34"/>
      <c r="K1658" s="34"/>
      <c r="L1658" s="34"/>
      <c r="M1658" s="34"/>
      <c r="N1658" s="34"/>
      <c r="O1658" s="34"/>
      <c r="P1658" s="34"/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</row>
    <row r="1659" spans="1:26" ht="23.25" customHeight="1">
      <c r="A1659" s="29"/>
      <c r="B1659" s="19"/>
      <c r="C1659" s="31"/>
      <c r="D1659" s="32"/>
      <c r="E1659" s="46"/>
      <c r="F1659" s="43"/>
      <c r="G1659" s="34"/>
      <c r="H1659" s="34"/>
      <c r="I1659" s="34"/>
      <c r="J1659" s="34"/>
      <c r="K1659" s="34"/>
      <c r="L1659" s="34"/>
      <c r="M1659" s="34"/>
      <c r="N1659" s="34"/>
      <c r="O1659" s="34"/>
      <c r="P1659" s="34"/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</row>
    <row r="1660" spans="1:26" ht="23.25" customHeight="1">
      <c r="A1660" s="29"/>
      <c r="B1660" s="19"/>
      <c r="C1660" s="31"/>
      <c r="D1660" s="32"/>
      <c r="E1660" s="46"/>
      <c r="F1660" s="43"/>
      <c r="G1660" s="34"/>
      <c r="H1660" s="34"/>
      <c r="I1660" s="34"/>
      <c r="J1660" s="34"/>
      <c r="K1660" s="34"/>
      <c r="L1660" s="34"/>
      <c r="M1660" s="34"/>
      <c r="N1660" s="34"/>
      <c r="O1660" s="34"/>
      <c r="P1660" s="34"/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</row>
    <row r="1661" spans="1:26" ht="23.25" customHeight="1">
      <c r="A1661" s="29"/>
      <c r="B1661" s="19"/>
      <c r="C1661" s="31"/>
      <c r="D1661" s="32"/>
      <c r="E1661" s="46"/>
      <c r="F1661" s="43"/>
      <c r="G1661" s="34"/>
      <c r="H1661" s="34"/>
      <c r="I1661" s="34"/>
      <c r="J1661" s="34"/>
      <c r="K1661" s="34"/>
      <c r="L1661" s="34"/>
      <c r="M1661" s="34"/>
      <c r="N1661" s="34"/>
      <c r="O1661" s="34"/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</row>
    <row r="1662" spans="1:26" ht="23.25" customHeight="1">
      <c r="A1662" s="29"/>
      <c r="B1662" s="19"/>
      <c r="C1662" s="31"/>
      <c r="D1662" s="32"/>
      <c r="E1662" s="46"/>
      <c r="F1662" s="43"/>
      <c r="G1662" s="34"/>
      <c r="H1662" s="34"/>
      <c r="I1662" s="34"/>
      <c r="J1662" s="34"/>
      <c r="K1662" s="34"/>
      <c r="L1662" s="34"/>
      <c r="M1662" s="34"/>
      <c r="N1662" s="34"/>
      <c r="O1662" s="34"/>
      <c r="P1662" s="34"/>
      <c r="Q1662" s="34"/>
      <c r="R1662" s="34"/>
      <c r="S1662" s="34"/>
      <c r="T1662" s="34"/>
      <c r="U1662" s="34"/>
      <c r="V1662" s="34"/>
      <c r="W1662" s="34"/>
      <c r="X1662" s="34"/>
      <c r="Y1662" s="34"/>
      <c r="Z1662" s="34"/>
    </row>
    <row r="1663" spans="1:26" ht="23.25" customHeight="1">
      <c r="A1663" s="29"/>
      <c r="B1663" s="19"/>
      <c r="C1663" s="31"/>
      <c r="D1663" s="32"/>
      <c r="E1663" s="46"/>
      <c r="F1663" s="43"/>
      <c r="G1663" s="34"/>
      <c r="H1663" s="34"/>
      <c r="I1663" s="34"/>
      <c r="J1663" s="34"/>
      <c r="K1663" s="34"/>
      <c r="L1663" s="34"/>
      <c r="M1663" s="34"/>
      <c r="N1663" s="34"/>
      <c r="O1663" s="34"/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</row>
    <row r="1664" spans="1:26" ht="23.25" customHeight="1">
      <c r="A1664" s="29"/>
      <c r="B1664" s="19"/>
      <c r="C1664" s="31"/>
      <c r="D1664" s="32"/>
      <c r="E1664" s="46"/>
      <c r="F1664" s="43"/>
      <c r="G1664" s="34"/>
      <c r="H1664" s="34"/>
      <c r="I1664" s="34"/>
      <c r="J1664" s="34"/>
      <c r="K1664" s="34"/>
      <c r="L1664" s="34"/>
      <c r="M1664" s="34"/>
      <c r="N1664" s="34"/>
      <c r="O1664" s="34"/>
      <c r="P1664" s="34"/>
      <c r="Q1664" s="34"/>
      <c r="R1664" s="34"/>
      <c r="S1664" s="34"/>
      <c r="T1664" s="34"/>
      <c r="U1664" s="34"/>
      <c r="V1664" s="34"/>
      <c r="W1664" s="34"/>
      <c r="X1664" s="34"/>
      <c r="Y1664" s="34"/>
      <c r="Z1664" s="34"/>
    </row>
    <row r="1665" spans="1:26" ht="23.25" customHeight="1">
      <c r="A1665" s="29"/>
      <c r="B1665" s="19"/>
      <c r="C1665" s="31"/>
      <c r="D1665" s="32"/>
      <c r="E1665" s="46"/>
      <c r="F1665" s="43"/>
      <c r="G1665" s="34"/>
      <c r="H1665" s="34"/>
      <c r="I1665" s="34"/>
      <c r="J1665" s="34"/>
      <c r="K1665" s="34"/>
      <c r="L1665" s="34"/>
      <c r="M1665" s="34"/>
      <c r="N1665" s="34"/>
      <c r="O1665" s="34"/>
      <c r="P1665" s="34"/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</row>
    <row r="1666" spans="1:26" ht="23.25" customHeight="1">
      <c r="A1666" s="29"/>
      <c r="B1666" s="19"/>
      <c r="C1666" s="31"/>
      <c r="D1666" s="32"/>
      <c r="E1666" s="46"/>
      <c r="F1666" s="43"/>
      <c r="G1666" s="34"/>
      <c r="H1666" s="34"/>
      <c r="I1666" s="34"/>
      <c r="J1666" s="34"/>
      <c r="K1666" s="34"/>
      <c r="L1666" s="34"/>
      <c r="M1666" s="34"/>
      <c r="N1666" s="34"/>
      <c r="O1666" s="34"/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</row>
    <row r="1667" spans="1:26" ht="23.25" customHeight="1">
      <c r="A1667" s="29"/>
      <c r="B1667" s="19"/>
      <c r="C1667" s="31"/>
      <c r="D1667" s="32"/>
      <c r="E1667" s="46"/>
      <c r="F1667" s="43"/>
      <c r="G1667" s="34"/>
      <c r="H1667" s="34"/>
      <c r="I1667" s="34"/>
      <c r="J1667" s="34"/>
      <c r="K1667" s="34"/>
      <c r="L1667" s="34"/>
      <c r="M1667" s="34"/>
      <c r="N1667" s="34"/>
      <c r="O1667" s="34"/>
      <c r="P1667" s="34"/>
      <c r="Q1667" s="34"/>
      <c r="R1667" s="34"/>
      <c r="S1667" s="34"/>
      <c r="T1667" s="34"/>
      <c r="U1667" s="34"/>
      <c r="V1667" s="34"/>
      <c r="W1667" s="34"/>
      <c r="X1667" s="34"/>
      <c r="Y1667" s="34"/>
      <c r="Z1667" s="34"/>
    </row>
    <row r="1668" spans="1:26" ht="23.25" customHeight="1">
      <c r="A1668" s="29"/>
      <c r="B1668" s="19"/>
      <c r="C1668" s="31"/>
      <c r="D1668" s="32"/>
      <c r="E1668" s="46"/>
      <c r="F1668" s="43"/>
      <c r="G1668" s="34"/>
      <c r="H1668" s="34"/>
      <c r="I1668" s="34"/>
      <c r="J1668" s="34"/>
      <c r="K1668" s="34"/>
      <c r="L1668" s="34"/>
      <c r="M1668" s="34"/>
      <c r="N1668" s="34"/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</row>
    <row r="1669" spans="1:26" ht="23.25" customHeight="1">
      <c r="A1669" s="29"/>
      <c r="B1669" s="19"/>
      <c r="C1669" s="31"/>
      <c r="D1669" s="32"/>
      <c r="E1669" s="46"/>
      <c r="F1669" s="43"/>
      <c r="G1669" s="34"/>
      <c r="H1669" s="34"/>
      <c r="I1669" s="34"/>
      <c r="J1669" s="34"/>
      <c r="K1669" s="34"/>
      <c r="L1669" s="34"/>
      <c r="M1669" s="34"/>
      <c r="N1669" s="34"/>
      <c r="O1669" s="34"/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</row>
    <row r="1670" spans="1:26" ht="23.25" customHeight="1">
      <c r="A1670" s="29"/>
      <c r="B1670" s="19"/>
      <c r="C1670" s="31"/>
      <c r="D1670" s="32"/>
      <c r="E1670" s="46"/>
      <c r="F1670" s="43"/>
      <c r="G1670" s="34"/>
      <c r="H1670" s="34"/>
      <c r="I1670" s="34"/>
      <c r="J1670" s="34"/>
      <c r="K1670" s="34"/>
      <c r="L1670" s="34"/>
      <c r="M1670" s="34"/>
      <c r="N1670" s="34"/>
      <c r="O1670" s="34"/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</row>
    <row r="1671" spans="1:26" ht="23.25" customHeight="1">
      <c r="A1671" s="29"/>
      <c r="B1671" s="19"/>
      <c r="C1671" s="31"/>
      <c r="D1671" s="32"/>
      <c r="E1671" s="46"/>
      <c r="F1671" s="43"/>
      <c r="G1671" s="34"/>
      <c r="H1671" s="34"/>
      <c r="I1671" s="34"/>
      <c r="J1671" s="34"/>
      <c r="K1671" s="34"/>
      <c r="L1671" s="34"/>
      <c r="M1671" s="34"/>
      <c r="N1671" s="34"/>
      <c r="O1671" s="34"/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</row>
    <row r="1672" spans="1:26" ht="23.25" customHeight="1">
      <c r="A1672" s="29"/>
      <c r="B1672" s="19"/>
      <c r="C1672" s="31"/>
      <c r="D1672" s="32"/>
      <c r="E1672" s="46"/>
      <c r="F1672" s="43"/>
      <c r="G1672" s="34"/>
      <c r="H1672" s="34"/>
      <c r="I1672" s="34"/>
      <c r="J1672" s="34"/>
      <c r="K1672" s="34"/>
      <c r="L1672" s="34"/>
      <c r="M1672" s="34"/>
      <c r="N1672" s="34"/>
      <c r="O1672" s="34"/>
      <c r="P1672" s="34"/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</row>
    <row r="1673" spans="1:26" ht="23.25" customHeight="1">
      <c r="A1673" s="29"/>
      <c r="B1673" s="19"/>
      <c r="C1673" s="31"/>
      <c r="D1673" s="32"/>
      <c r="E1673" s="46"/>
      <c r="F1673" s="43"/>
      <c r="G1673" s="34"/>
      <c r="H1673" s="34"/>
      <c r="I1673" s="34"/>
      <c r="J1673" s="34"/>
      <c r="K1673" s="34"/>
      <c r="L1673" s="34"/>
      <c r="M1673" s="34"/>
      <c r="N1673" s="34"/>
      <c r="O1673" s="34"/>
      <c r="P1673" s="34"/>
      <c r="Q1673" s="34"/>
      <c r="R1673" s="34"/>
      <c r="S1673" s="34"/>
      <c r="T1673" s="34"/>
      <c r="U1673" s="34"/>
      <c r="V1673" s="34"/>
      <c r="W1673" s="34"/>
      <c r="X1673" s="34"/>
      <c r="Y1673" s="34"/>
      <c r="Z1673" s="34"/>
    </row>
    <row r="1674" spans="1:26" ht="23.25" customHeight="1">
      <c r="A1674" s="29"/>
      <c r="B1674" s="19"/>
      <c r="C1674" s="31"/>
      <c r="D1674" s="32"/>
      <c r="E1674" s="46"/>
      <c r="F1674" s="43"/>
      <c r="G1674" s="34"/>
      <c r="H1674" s="34"/>
      <c r="I1674" s="34"/>
      <c r="J1674" s="34"/>
      <c r="K1674" s="34"/>
      <c r="L1674" s="34"/>
      <c r="M1674" s="34"/>
      <c r="N1674" s="34"/>
      <c r="O1674" s="34"/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</row>
    <row r="1675" spans="1:26" ht="23.25" customHeight="1">
      <c r="A1675" s="29"/>
      <c r="B1675" s="19"/>
      <c r="C1675" s="31"/>
      <c r="D1675" s="32"/>
      <c r="E1675" s="46"/>
      <c r="F1675" s="43"/>
      <c r="G1675" s="34"/>
      <c r="H1675" s="34"/>
      <c r="I1675" s="34"/>
      <c r="J1675" s="34"/>
      <c r="K1675" s="34"/>
      <c r="L1675" s="34"/>
      <c r="M1675" s="34"/>
      <c r="N1675" s="34"/>
      <c r="O1675" s="34"/>
      <c r="P1675" s="34"/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</row>
    <row r="1676" spans="1:26" ht="23.25" customHeight="1">
      <c r="A1676" s="29"/>
      <c r="B1676" s="19"/>
      <c r="C1676" s="31"/>
      <c r="D1676" s="32"/>
      <c r="E1676" s="46"/>
      <c r="F1676" s="43"/>
      <c r="G1676" s="34"/>
      <c r="H1676" s="34"/>
      <c r="I1676" s="34"/>
      <c r="J1676" s="34"/>
      <c r="K1676" s="34"/>
      <c r="L1676" s="34"/>
      <c r="M1676" s="34"/>
      <c r="N1676" s="34"/>
      <c r="O1676" s="34"/>
      <c r="P1676" s="34"/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</row>
    <row r="1677" spans="1:26" ht="23.25" customHeight="1">
      <c r="A1677" s="29"/>
      <c r="B1677" s="19"/>
      <c r="C1677" s="31"/>
      <c r="D1677" s="32"/>
      <c r="E1677" s="46"/>
      <c r="F1677" s="43"/>
      <c r="G1677" s="34"/>
      <c r="H1677" s="34"/>
      <c r="I1677" s="34"/>
      <c r="J1677" s="34"/>
      <c r="K1677" s="34"/>
      <c r="L1677" s="34"/>
      <c r="M1677" s="34"/>
      <c r="N1677" s="34"/>
      <c r="O1677" s="34"/>
      <c r="P1677" s="34"/>
      <c r="Q1677" s="34"/>
      <c r="R1677" s="34"/>
      <c r="S1677" s="34"/>
      <c r="T1677" s="34"/>
      <c r="U1677" s="34"/>
      <c r="V1677" s="34"/>
      <c r="W1677" s="34"/>
      <c r="X1677" s="34"/>
      <c r="Y1677" s="34"/>
      <c r="Z1677" s="34"/>
    </row>
    <row r="1678" spans="1:26" ht="23.25" customHeight="1">
      <c r="A1678" s="29"/>
      <c r="B1678" s="19"/>
      <c r="C1678" s="31"/>
      <c r="D1678" s="32"/>
      <c r="E1678" s="46"/>
      <c r="F1678" s="43"/>
      <c r="G1678" s="34"/>
      <c r="H1678" s="34"/>
      <c r="I1678" s="34"/>
      <c r="J1678" s="34"/>
      <c r="K1678" s="34"/>
      <c r="L1678" s="34"/>
      <c r="M1678" s="34"/>
      <c r="N1678" s="34"/>
      <c r="O1678" s="34"/>
      <c r="P1678" s="34"/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</row>
    <row r="1679" spans="1:26" ht="23.25" customHeight="1">
      <c r="A1679" s="29"/>
      <c r="B1679" s="19"/>
      <c r="C1679" s="31"/>
      <c r="D1679" s="32"/>
      <c r="E1679" s="46"/>
      <c r="F1679" s="43"/>
      <c r="G1679" s="34"/>
      <c r="H1679" s="34"/>
      <c r="I1679" s="34"/>
      <c r="J1679" s="34"/>
      <c r="K1679" s="34"/>
      <c r="L1679" s="34"/>
      <c r="M1679" s="34"/>
      <c r="N1679" s="34"/>
      <c r="O1679" s="34"/>
      <c r="P1679" s="34"/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</row>
    <row r="1680" spans="1:26" ht="23.25" customHeight="1">
      <c r="A1680" s="29"/>
      <c r="B1680" s="19"/>
      <c r="C1680" s="31"/>
      <c r="D1680" s="32"/>
      <c r="E1680" s="46"/>
      <c r="F1680" s="43"/>
      <c r="G1680" s="34"/>
      <c r="H1680" s="34"/>
      <c r="I1680" s="34"/>
      <c r="J1680" s="34"/>
      <c r="K1680" s="34"/>
      <c r="L1680" s="34"/>
      <c r="M1680" s="34"/>
      <c r="N1680" s="34"/>
      <c r="O1680" s="34"/>
      <c r="P1680" s="34"/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</row>
    <row r="1681" spans="1:26" ht="23.25" customHeight="1">
      <c r="A1681" s="29"/>
      <c r="B1681" s="19"/>
      <c r="C1681" s="31"/>
      <c r="D1681" s="32"/>
      <c r="E1681" s="46"/>
      <c r="F1681" s="43"/>
      <c r="G1681" s="34"/>
      <c r="H1681" s="34"/>
      <c r="I1681" s="34"/>
      <c r="J1681" s="34"/>
      <c r="K1681" s="34"/>
      <c r="L1681" s="34"/>
      <c r="M1681" s="34"/>
      <c r="N1681" s="34"/>
      <c r="O1681" s="34"/>
      <c r="P1681" s="34"/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</row>
    <row r="1682" spans="1:26" ht="23.25" customHeight="1">
      <c r="A1682" s="29"/>
      <c r="B1682" s="19"/>
      <c r="C1682" s="31"/>
      <c r="D1682" s="32"/>
      <c r="E1682" s="46"/>
      <c r="F1682" s="43"/>
      <c r="G1682" s="34"/>
      <c r="H1682" s="34"/>
      <c r="I1682" s="34"/>
      <c r="J1682" s="34"/>
      <c r="K1682" s="34"/>
      <c r="L1682" s="34"/>
      <c r="M1682" s="34"/>
      <c r="N1682" s="34"/>
      <c r="O1682" s="34"/>
      <c r="P1682" s="34"/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</row>
    <row r="1683" spans="1:26" ht="23.25" customHeight="1">
      <c r="A1683" s="29"/>
      <c r="B1683" s="19"/>
      <c r="C1683" s="31"/>
      <c r="D1683" s="32"/>
      <c r="E1683" s="46"/>
      <c r="F1683" s="43"/>
      <c r="G1683" s="34"/>
      <c r="H1683" s="34"/>
      <c r="I1683" s="34"/>
      <c r="J1683" s="34"/>
      <c r="K1683" s="34"/>
      <c r="L1683" s="34"/>
      <c r="M1683" s="34"/>
      <c r="N1683" s="34"/>
      <c r="O1683" s="34"/>
      <c r="P1683" s="34"/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</row>
    <row r="1684" spans="1:26" ht="23.25" customHeight="1">
      <c r="A1684" s="29"/>
      <c r="B1684" s="19"/>
      <c r="C1684" s="31"/>
      <c r="D1684" s="32"/>
      <c r="E1684" s="46"/>
      <c r="F1684" s="43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</row>
    <row r="1685" spans="1:26" ht="23.25" customHeight="1">
      <c r="A1685" s="29"/>
      <c r="B1685" s="19"/>
      <c r="C1685" s="31"/>
      <c r="D1685" s="32"/>
      <c r="E1685" s="46"/>
      <c r="F1685" s="43"/>
      <c r="G1685" s="34"/>
      <c r="H1685" s="34"/>
      <c r="I1685" s="34"/>
      <c r="J1685" s="34"/>
      <c r="K1685" s="34"/>
      <c r="L1685" s="34"/>
      <c r="M1685" s="34"/>
      <c r="N1685" s="34"/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</row>
    <row r="1686" spans="1:26" ht="23.25" customHeight="1">
      <c r="A1686" s="29"/>
      <c r="B1686" s="19"/>
      <c r="C1686" s="31"/>
      <c r="D1686" s="32"/>
      <c r="E1686" s="46"/>
      <c r="F1686" s="43"/>
      <c r="G1686" s="34"/>
      <c r="H1686" s="34"/>
      <c r="I1686" s="34"/>
      <c r="J1686" s="34"/>
      <c r="K1686" s="34"/>
      <c r="L1686" s="34"/>
      <c r="M1686" s="34"/>
      <c r="N1686" s="34"/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</row>
    <row r="1687" spans="1:26" ht="23.25" customHeight="1">
      <c r="A1687" s="29"/>
      <c r="B1687" s="19"/>
      <c r="C1687" s="31"/>
      <c r="D1687" s="32"/>
      <c r="E1687" s="46"/>
      <c r="F1687" s="43"/>
      <c r="G1687" s="34"/>
      <c r="H1687" s="34"/>
      <c r="I1687" s="34"/>
      <c r="J1687" s="34"/>
      <c r="K1687" s="34"/>
      <c r="L1687" s="34"/>
      <c r="M1687" s="34"/>
      <c r="N1687" s="34"/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</row>
    <row r="1688" spans="1:26" ht="23.25" customHeight="1">
      <c r="A1688" s="29"/>
      <c r="B1688" s="19"/>
      <c r="C1688" s="31"/>
      <c r="D1688" s="32"/>
      <c r="E1688" s="46"/>
      <c r="F1688" s="43"/>
      <c r="G1688" s="34"/>
      <c r="H1688" s="34"/>
      <c r="I1688" s="34"/>
      <c r="J1688" s="34"/>
      <c r="K1688" s="34"/>
      <c r="L1688" s="34"/>
      <c r="M1688" s="34"/>
      <c r="N1688" s="34"/>
      <c r="O1688" s="34"/>
      <c r="P1688" s="34"/>
      <c r="Q1688" s="34"/>
      <c r="R1688" s="34"/>
      <c r="S1688" s="34"/>
      <c r="T1688" s="34"/>
      <c r="U1688" s="34"/>
      <c r="V1688" s="34"/>
      <c r="W1688" s="34"/>
      <c r="X1688" s="34"/>
      <c r="Y1688" s="34"/>
      <c r="Z1688" s="34"/>
    </row>
    <row r="1689" spans="1:26" ht="23.25" customHeight="1">
      <c r="A1689" s="29"/>
      <c r="B1689" s="19"/>
      <c r="C1689" s="31"/>
      <c r="D1689" s="32"/>
      <c r="E1689" s="46"/>
      <c r="F1689" s="43"/>
      <c r="G1689" s="34"/>
      <c r="H1689" s="34"/>
      <c r="I1689" s="34"/>
      <c r="J1689" s="34"/>
      <c r="K1689" s="34"/>
      <c r="L1689" s="34"/>
      <c r="M1689" s="34"/>
      <c r="N1689" s="34"/>
      <c r="O1689" s="34"/>
      <c r="P1689" s="34"/>
      <c r="Q1689" s="34"/>
      <c r="R1689" s="34"/>
      <c r="S1689" s="34"/>
      <c r="T1689" s="34"/>
      <c r="U1689" s="34"/>
      <c r="V1689" s="34"/>
      <c r="W1689" s="34"/>
      <c r="X1689" s="34"/>
      <c r="Y1689" s="34"/>
      <c r="Z1689" s="34"/>
    </row>
    <row r="1690" spans="1:26" ht="23.25" customHeight="1">
      <c r="A1690" s="29"/>
      <c r="B1690" s="19"/>
      <c r="C1690" s="31"/>
      <c r="D1690" s="32"/>
      <c r="E1690" s="46"/>
      <c r="F1690" s="43"/>
      <c r="G1690" s="34"/>
      <c r="H1690" s="34"/>
      <c r="I1690" s="34"/>
      <c r="J1690" s="34"/>
      <c r="K1690" s="34"/>
      <c r="L1690" s="34"/>
      <c r="M1690" s="34"/>
      <c r="N1690" s="34"/>
      <c r="O1690" s="34"/>
      <c r="P1690" s="34"/>
      <c r="Q1690" s="34"/>
      <c r="R1690" s="34"/>
      <c r="S1690" s="34"/>
      <c r="T1690" s="34"/>
      <c r="U1690" s="34"/>
      <c r="V1690" s="34"/>
      <c r="W1690" s="34"/>
      <c r="X1690" s="34"/>
      <c r="Y1690" s="34"/>
      <c r="Z1690" s="34"/>
    </row>
    <row r="1691" spans="1:26" ht="23.25" customHeight="1">
      <c r="A1691" s="29"/>
      <c r="B1691" s="19"/>
      <c r="C1691" s="31"/>
      <c r="D1691" s="32"/>
      <c r="E1691" s="46"/>
      <c r="F1691" s="43"/>
      <c r="G1691" s="34"/>
      <c r="H1691" s="34"/>
      <c r="I1691" s="34"/>
      <c r="J1691" s="34"/>
      <c r="K1691" s="34"/>
      <c r="L1691" s="34"/>
      <c r="M1691" s="34"/>
      <c r="N1691" s="34"/>
      <c r="O1691" s="34"/>
      <c r="P1691" s="34"/>
      <c r="Q1691" s="34"/>
      <c r="R1691" s="34"/>
      <c r="S1691" s="34"/>
      <c r="T1691" s="34"/>
      <c r="U1691" s="34"/>
      <c r="V1691" s="34"/>
      <c r="W1691" s="34"/>
      <c r="X1691" s="34"/>
      <c r="Y1691" s="34"/>
      <c r="Z1691" s="34"/>
    </row>
    <row r="1692" spans="1:26" ht="23.25" customHeight="1">
      <c r="A1692" s="29"/>
      <c r="B1692" s="19"/>
      <c r="C1692" s="31"/>
      <c r="D1692" s="32"/>
      <c r="E1692" s="46"/>
      <c r="F1692" s="43"/>
      <c r="G1692" s="34"/>
      <c r="H1692" s="34"/>
      <c r="I1692" s="34"/>
      <c r="J1692" s="34"/>
      <c r="K1692" s="34"/>
      <c r="L1692" s="34"/>
      <c r="M1692" s="34"/>
      <c r="N1692" s="34"/>
      <c r="O1692" s="34"/>
      <c r="P1692" s="34"/>
      <c r="Q1692" s="34"/>
      <c r="R1692" s="34"/>
      <c r="S1692" s="34"/>
      <c r="T1692" s="34"/>
      <c r="U1692" s="34"/>
      <c r="V1692" s="34"/>
      <c r="W1692" s="34"/>
      <c r="X1692" s="34"/>
      <c r="Y1692" s="34"/>
      <c r="Z1692" s="34"/>
    </row>
    <row r="1693" spans="1:26" ht="23.25" customHeight="1">
      <c r="A1693" s="29"/>
      <c r="B1693" s="19"/>
      <c r="C1693" s="31"/>
      <c r="D1693" s="32"/>
      <c r="E1693" s="46"/>
      <c r="F1693" s="43"/>
      <c r="G1693" s="34"/>
      <c r="H1693" s="34"/>
      <c r="I1693" s="34"/>
      <c r="J1693" s="34"/>
      <c r="K1693" s="34"/>
      <c r="L1693" s="34"/>
      <c r="M1693" s="34"/>
      <c r="N1693" s="34"/>
      <c r="O1693" s="34"/>
      <c r="P1693" s="34"/>
      <c r="Q1693" s="34"/>
      <c r="R1693" s="34"/>
      <c r="S1693" s="34"/>
      <c r="T1693" s="34"/>
      <c r="U1693" s="34"/>
      <c r="V1693" s="34"/>
      <c r="W1693" s="34"/>
      <c r="X1693" s="34"/>
      <c r="Y1693" s="34"/>
      <c r="Z1693" s="34"/>
    </row>
    <row r="1694" spans="1:26" ht="23.25" customHeight="1">
      <c r="A1694" s="29"/>
      <c r="B1694" s="19"/>
      <c r="C1694" s="31"/>
      <c r="D1694" s="32"/>
      <c r="E1694" s="46"/>
      <c r="F1694" s="43"/>
      <c r="G1694" s="34"/>
      <c r="H1694" s="34"/>
      <c r="I1694" s="34"/>
      <c r="J1694" s="34"/>
      <c r="K1694" s="34"/>
      <c r="L1694" s="34"/>
      <c r="M1694" s="34"/>
      <c r="N1694" s="34"/>
      <c r="O1694" s="34"/>
      <c r="P1694" s="34"/>
      <c r="Q1694" s="34"/>
      <c r="R1694" s="34"/>
      <c r="S1694" s="34"/>
      <c r="T1694" s="34"/>
      <c r="U1694" s="34"/>
      <c r="V1694" s="34"/>
      <c r="W1694" s="34"/>
      <c r="X1694" s="34"/>
      <c r="Y1694" s="34"/>
      <c r="Z1694" s="34"/>
    </row>
    <row r="1695" spans="1:26" ht="23.25" customHeight="1">
      <c r="A1695" s="29"/>
      <c r="B1695" s="19"/>
      <c r="C1695" s="31"/>
      <c r="D1695" s="32"/>
      <c r="E1695" s="46"/>
      <c r="F1695" s="43"/>
      <c r="G1695" s="34"/>
      <c r="H1695" s="34"/>
      <c r="I1695" s="34"/>
      <c r="J1695" s="34"/>
      <c r="K1695" s="34"/>
      <c r="L1695" s="34"/>
      <c r="M1695" s="34"/>
      <c r="N1695" s="34"/>
      <c r="O1695" s="34"/>
      <c r="P1695" s="34"/>
      <c r="Q1695" s="34"/>
      <c r="R1695" s="34"/>
      <c r="S1695" s="34"/>
      <c r="T1695" s="34"/>
      <c r="U1695" s="34"/>
      <c r="V1695" s="34"/>
      <c r="W1695" s="34"/>
      <c r="X1695" s="34"/>
      <c r="Y1695" s="34"/>
      <c r="Z1695" s="34"/>
    </row>
    <row r="1696" spans="1:26" ht="23.25" customHeight="1">
      <c r="A1696" s="29"/>
      <c r="B1696" s="19"/>
      <c r="C1696" s="31"/>
      <c r="D1696" s="32"/>
      <c r="E1696" s="46"/>
      <c r="F1696" s="43"/>
      <c r="G1696" s="34"/>
      <c r="H1696" s="34"/>
      <c r="I1696" s="34"/>
      <c r="J1696" s="34"/>
      <c r="K1696" s="34"/>
      <c r="L1696" s="34"/>
      <c r="M1696" s="34"/>
      <c r="N1696" s="34"/>
      <c r="O1696" s="34"/>
      <c r="P1696" s="34"/>
      <c r="Q1696" s="34"/>
      <c r="R1696" s="34"/>
      <c r="S1696" s="34"/>
      <c r="T1696" s="34"/>
      <c r="U1696" s="34"/>
      <c r="V1696" s="34"/>
      <c r="W1696" s="34"/>
      <c r="X1696" s="34"/>
      <c r="Y1696" s="34"/>
      <c r="Z1696" s="34"/>
    </row>
    <row r="1697" spans="1:26" ht="23.25" customHeight="1">
      <c r="A1697" s="29"/>
      <c r="B1697" s="19"/>
      <c r="C1697" s="31"/>
      <c r="D1697" s="32"/>
      <c r="E1697" s="46"/>
      <c r="F1697" s="43"/>
      <c r="G1697" s="34"/>
      <c r="H1697" s="34"/>
      <c r="I1697" s="34"/>
      <c r="J1697" s="34"/>
      <c r="K1697" s="34"/>
      <c r="L1697" s="34"/>
      <c r="M1697" s="34"/>
      <c r="N1697" s="34"/>
      <c r="O1697" s="34"/>
      <c r="P1697" s="34"/>
      <c r="Q1697" s="34"/>
      <c r="R1697" s="34"/>
      <c r="S1697" s="34"/>
      <c r="T1697" s="34"/>
      <c r="U1697" s="34"/>
      <c r="V1697" s="34"/>
      <c r="W1697" s="34"/>
      <c r="X1697" s="34"/>
      <c r="Y1697" s="34"/>
      <c r="Z1697" s="34"/>
    </row>
    <row r="1698" spans="1:26" ht="23.25" customHeight="1">
      <c r="A1698" s="29"/>
      <c r="B1698" s="19"/>
      <c r="C1698" s="31"/>
      <c r="D1698" s="32"/>
      <c r="E1698" s="46"/>
      <c r="F1698" s="43"/>
      <c r="G1698" s="34"/>
      <c r="H1698" s="34"/>
      <c r="I1698" s="34"/>
      <c r="J1698" s="34"/>
      <c r="K1698" s="34"/>
      <c r="L1698" s="34"/>
      <c r="M1698" s="34"/>
      <c r="N1698" s="34"/>
      <c r="O1698" s="34"/>
      <c r="P1698" s="34"/>
      <c r="Q1698" s="34"/>
      <c r="R1698" s="34"/>
      <c r="S1698" s="34"/>
      <c r="T1698" s="34"/>
      <c r="U1698" s="34"/>
      <c r="V1698" s="34"/>
      <c r="W1698" s="34"/>
      <c r="X1698" s="34"/>
      <c r="Y1698" s="34"/>
      <c r="Z1698" s="34"/>
    </row>
    <row r="1699" spans="1:26" ht="23.25" customHeight="1">
      <c r="A1699" s="29"/>
      <c r="B1699" s="19"/>
      <c r="C1699" s="31"/>
      <c r="D1699" s="32"/>
      <c r="E1699" s="46"/>
      <c r="F1699" s="43"/>
      <c r="G1699" s="34"/>
      <c r="H1699" s="34"/>
      <c r="I1699" s="34"/>
      <c r="J1699" s="34"/>
      <c r="K1699" s="34"/>
      <c r="L1699" s="34"/>
      <c r="M1699" s="34"/>
      <c r="N1699" s="34"/>
      <c r="O1699" s="34"/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</row>
    <row r="1700" spans="1:26" ht="23.25" customHeight="1">
      <c r="A1700" s="29"/>
      <c r="B1700" s="19"/>
      <c r="C1700" s="31"/>
      <c r="D1700" s="32"/>
      <c r="E1700" s="46"/>
      <c r="F1700" s="43"/>
      <c r="G1700" s="34"/>
      <c r="H1700" s="34"/>
      <c r="I1700" s="34"/>
      <c r="J1700" s="34"/>
      <c r="K1700" s="34"/>
      <c r="L1700" s="34"/>
      <c r="M1700" s="34"/>
      <c r="N1700" s="34"/>
      <c r="O1700" s="34"/>
      <c r="P1700" s="34"/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</row>
    <row r="1701" spans="1:26" ht="23.25" customHeight="1">
      <c r="A1701" s="29"/>
      <c r="B1701" s="19"/>
      <c r="C1701" s="31"/>
      <c r="D1701" s="32"/>
      <c r="E1701" s="46"/>
      <c r="F1701" s="43"/>
      <c r="G1701" s="34"/>
      <c r="H1701" s="34"/>
      <c r="I1701" s="34"/>
      <c r="J1701" s="34"/>
      <c r="K1701" s="34"/>
      <c r="L1701" s="34"/>
      <c r="M1701" s="34"/>
      <c r="N1701" s="34"/>
      <c r="O1701" s="34"/>
      <c r="P1701" s="34"/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</row>
    <row r="1702" spans="1:26" ht="23.25" customHeight="1">
      <c r="A1702" s="29"/>
      <c r="B1702" s="19"/>
      <c r="C1702" s="31"/>
      <c r="D1702" s="32"/>
      <c r="E1702" s="46"/>
      <c r="F1702" s="43"/>
      <c r="G1702" s="34"/>
      <c r="H1702" s="34"/>
      <c r="I1702" s="34"/>
      <c r="J1702" s="34"/>
      <c r="K1702" s="34"/>
      <c r="L1702" s="34"/>
      <c r="M1702" s="34"/>
      <c r="N1702" s="34"/>
      <c r="O1702" s="34"/>
      <c r="P1702" s="34"/>
      <c r="Q1702" s="34"/>
      <c r="R1702" s="34"/>
      <c r="S1702" s="34"/>
      <c r="T1702" s="34"/>
      <c r="U1702" s="34"/>
      <c r="V1702" s="34"/>
      <c r="W1702" s="34"/>
      <c r="X1702" s="34"/>
      <c r="Y1702" s="34"/>
      <c r="Z1702" s="34"/>
    </row>
    <row r="1703" spans="1:26" ht="23.25" customHeight="1">
      <c r="A1703" s="29"/>
      <c r="B1703" s="19"/>
      <c r="C1703" s="31"/>
      <c r="D1703" s="32"/>
      <c r="E1703" s="46"/>
      <c r="F1703" s="43"/>
      <c r="G1703" s="34"/>
      <c r="H1703" s="34"/>
      <c r="I1703" s="34"/>
      <c r="J1703" s="34"/>
      <c r="K1703" s="34"/>
      <c r="L1703" s="34"/>
      <c r="M1703" s="34"/>
      <c r="N1703" s="34"/>
      <c r="O1703" s="34"/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</row>
    <row r="1704" spans="1:26" ht="23.25" customHeight="1">
      <c r="A1704" s="29"/>
      <c r="B1704" s="19"/>
      <c r="C1704" s="31"/>
      <c r="D1704" s="32"/>
      <c r="E1704" s="46"/>
      <c r="F1704" s="43"/>
      <c r="G1704" s="34"/>
      <c r="H1704" s="34"/>
      <c r="I1704" s="34"/>
      <c r="J1704" s="34"/>
      <c r="K1704" s="34"/>
      <c r="L1704" s="34"/>
      <c r="M1704" s="34"/>
      <c r="N1704" s="34"/>
      <c r="O1704" s="34"/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</row>
    <row r="1705" spans="1:26" ht="23.25" customHeight="1">
      <c r="A1705" s="29"/>
      <c r="B1705" s="19"/>
      <c r="C1705" s="31"/>
      <c r="D1705" s="32"/>
      <c r="E1705" s="46"/>
      <c r="F1705" s="43"/>
      <c r="G1705" s="34"/>
      <c r="H1705" s="34"/>
      <c r="I1705" s="34"/>
      <c r="J1705" s="34"/>
      <c r="K1705" s="34"/>
      <c r="L1705" s="34"/>
      <c r="M1705" s="34"/>
      <c r="N1705" s="34"/>
      <c r="O1705" s="34"/>
      <c r="P1705" s="34"/>
      <c r="Q1705" s="34"/>
      <c r="R1705" s="34"/>
      <c r="S1705" s="34"/>
      <c r="T1705" s="34"/>
      <c r="U1705" s="34"/>
      <c r="V1705" s="34"/>
      <c r="W1705" s="34"/>
      <c r="X1705" s="34"/>
      <c r="Y1705" s="34"/>
      <c r="Z1705" s="34"/>
    </row>
    <row r="1706" spans="1:26" ht="23.25" customHeight="1">
      <c r="A1706" s="29"/>
      <c r="B1706" s="19"/>
      <c r="C1706" s="31"/>
      <c r="D1706" s="32"/>
      <c r="E1706" s="46"/>
      <c r="F1706" s="43"/>
      <c r="G1706" s="34"/>
      <c r="H1706" s="34"/>
      <c r="I1706" s="34"/>
      <c r="J1706" s="34"/>
      <c r="K1706" s="34"/>
      <c r="L1706" s="34"/>
      <c r="M1706" s="34"/>
      <c r="N1706" s="34"/>
      <c r="O1706" s="34"/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</row>
    <row r="1707" spans="1:26" ht="23.25" customHeight="1">
      <c r="A1707" s="29"/>
      <c r="B1707" s="19"/>
      <c r="C1707" s="31"/>
      <c r="D1707" s="32"/>
      <c r="E1707" s="46"/>
      <c r="F1707" s="43"/>
      <c r="G1707" s="34"/>
      <c r="H1707" s="34"/>
      <c r="I1707" s="34"/>
      <c r="J1707" s="34"/>
      <c r="K1707" s="34"/>
      <c r="L1707" s="34"/>
      <c r="M1707" s="34"/>
      <c r="N1707" s="34"/>
      <c r="O1707" s="34"/>
      <c r="P1707" s="34"/>
      <c r="Q1707" s="34"/>
      <c r="R1707" s="34"/>
      <c r="S1707" s="34"/>
      <c r="T1707" s="34"/>
      <c r="U1707" s="34"/>
      <c r="V1707" s="34"/>
      <c r="W1707" s="34"/>
      <c r="X1707" s="34"/>
      <c r="Y1707" s="34"/>
      <c r="Z1707" s="34"/>
    </row>
    <row r="1708" spans="1:26" ht="23.25" customHeight="1">
      <c r="A1708" s="29"/>
      <c r="B1708" s="19"/>
      <c r="C1708" s="31"/>
      <c r="D1708" s="32"/>
      <c r="E1708" s="46"/>
      <c r="F1708" s="43"/>
      <c r="G1708" s="34"/>
      <c r="H1708" s="34"/>
      <c r="I1708" s="34"/>
      <c r="J1708" s="34"/>
      <c r="K1708" s="34"/>
      <c r="L1708" s="34"/>
      <c r="M1708" s="34"/>
      <c r="N1708" s="34"/>
      <c r="O1708" s="34"/>
      <c r="P1708" s="34"/>
      <c r="Q1708" s="34"/>
      <c r="R1708" s="34"/>
      <c r="S1708" s="34"/>
      <c r="T1708" s="34"/>
      <c r="U1708" s="34"/>
      <c r="V1708" s="34"/>
      <c r="W1708" s="34"/>
      <c r="X1708" s="34"/>
      <c r="Y1708" s="34"/>
      <c r="Z1708" s="34"/>
    </row>
    <row r="1709" spans="1:26" ht="23.25" customHeight="1">
      <c r="A1709" s="29"/>
      <c r="B1709" s="19"/>
      <c r="C1709" s="31"/>
      <c r="D1709" s="32"/>
      <c r="E1709" s="46"/>
      <c r="F1709" s="43"/>
      <c r="G1709" s="34"/>
      <c r="H1709" s="34"/>
      <c r="I1709" s="34"/>
      <c r="J1709" s="34"/>
      <c r="K1709" s="34"/>
      <c r="L1709" s="34"/>
      <c r="M1709" s="34"/>
      <c r="N1709" s="34"/>
      <c r="O1709" s="34"/>
      <c r="P1709" s="34"/>
      <c r="Q1709" s="34"/>
      <c r="R1709" s="34"/>
      <c r="S1709" s="34"/>
      <c r="T1709" s="34"/>
      <c r="U1709" s="34"/>
      <c r="V1709" s="34"/>
      <c r="W1709" s="34"/>
      <c r="X1709" s="34"/>
      <c r="Y1709" s="34"/>
      <c r="Z1709" s="34"/>
    </row>
    <row r="1710" spans="1:26" ht="23.25" customHeight="1">
      <c r="A1710" s="29"/>
      <c r="B1710" s="19"/>
      <c r="C1710" s="31"/>
      <c r="D1710" s="32"/>
      <c r="E1710" s="46"/>
      <c r="F1710" s="43"/>
      <c r="G1710" s="34"/>
      <c r="H1710" s="34"/>
      <c r="I1710" s="34"/>
      <c r="J1710" s="34"/>
      <c r="K1710" s="34"/>
      <c r="L1710" s="34"/>
      <c r="M1710" s="34"/>
      <c r="N1710" s="34"/>
      <c r="O1710" s="34"/>
      <c r="P1710" s="34"/>
      <c r="Q1710" s="34"/>
      <c r="R1710" s="34"/>
      <c r="S1710" s="34"/>
      <c r="T1710" s="34"/>
      <c r="U1710" s="34"/>
      <c r="V1710" s="34"/>
      <c r="W1710" s="34"/>
      <c r="X1710" s="34"/>
      <c r="Y1710" s="34"/>
      <c r="Z1710" s="34"/>
    </row>
    <row r="1711" spans="1:26" ht="23.25" customHeight="1">
      <c r="A1711" s="29"/>
      <c r="B1711" s="19"/>
      <c r="C1711" s="31"/>
      <c r="D1711" s="32"/>
      <c r="E1711" s="46"/>
      <c r="F1711" s="43"/>
      <c r="G1711" s="34"/>
      <c r="H1711" s="34"/>
      <c r="I1711" s="34"/>
      <c r="J1711" s="34"/>
      <c r="K1711" s="34"/>
      <c r="L1711" s="34"/>
      <c r="M1711" s="34"/>
      <c r="N1711" s="34"/>
      <c r="O1711" s="34"/>
      <c r="P1711" s="34"/>
      <c r="Q1711" s="34"/>
      <c r="R1711" s="34"/>
      <c r="S1711" s="34"/>
      <c r="T1711" s="34"/>
      <c r="U1711" s="34"/>
      <c r="V1711" s="34"/>
      <c r="W1711" s="34"/>
      <c r="X1711" s="34"/>
      <c r="Y1711" s="34"/>
      <c r="Z1711" s="34"/>
    </row>
  </sheetData>
  <autoFilter ref="A2:Z72" xr:uid="{00000000-0009-0000-0000-000001000000}"/>
  <mergeCells count="1">
    <mergeCell ref="A1:F1"/>
  </mergeCell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6.28515625" customWidth="1"/>
    <col min="2" max="2" width="13.85546875" customWidth="1"/>
    <col min="3" max="3" width="63.28515625" customWidth="1"/>
    <col min="4" max="4" width="48.42578125" customWidth="1"/>
    <col min="5" max="5" width="26" customWidth="1"/>
    <col min="6" max="6" width="23.140625" customWidth="1"/>
    <col min="7" max="26" width="9.140625" customWidth="1"/>
  </cols>
  <sheetData>
    <row r="1" spans="1:26" ht="46.5" customHeight="1">
      <c r="A1" s="110">
        <v>89</v>
      </c>
      <c r="B1" s="107"/>
      <c r="C1" s="107"/>
      <c r="D1" s="107"/>
      <c r="E1" s="107"/>
      <c r="F1" s="108"/>
      <c r="G1" s="47"/>
      <c r="H1" s="47"/>
      <c r="I1" s="48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26.25" customHeight="1">
      <c r="A2" s="50" t="s">
        <v>554</v>
      </c>
      <c r="B2" s="51" t="s">
        <v>1</v>
      </c>
      <c r="C2" s="52" t="s">
        <v>3</v>
      </c>
      <c r="D2" s="53" t="s">
        <v>4</v>
      </c>
      <c r="E2" s="54" t="s">
        <v>5</v>
      </c>
      <c r="F2" s="55" t="s">
        <v>557</v>
      </c>
      <c r="G2" s="56"/>
      <c r="H2" s="56"/>
      <c r="I2" s="5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6.25" customHeight="1">
      <c r="A3" s="57">
        <v>46076</v>
      </c>
      <c r="B3" s="14">
        <v>268</v>
      </c>
      <c r="C3" s="58" t="str">
        <f>IFERROR(VLOOKUP(B:B,'SALDO ATUAL'!$A$3:$E$238,3,0),"")</f>
        <v>PONTEIRA F TIP DENSITY</v>
      </c>
      <c r="D3" s="59" t="str">
        <f>IFERROR(VLOOKUP(B:B,'SALDO ATUAL'!$A$3:$E$238,4,0),"")</f>
        <v>PONTEIRA</v>
      </c>
      <c r="E3" s="60" t="str">
        <f>IFERROR(VLOOKUP(B:B,'SALDO ATUAL'!$A$3:$E$238,5,0),"")</f>
        <v>036-Unidade</v>
      </c>
      <c r="F3" s="15">
        <v>1</v>
      </c>
      <c r="G3" s="61"/>
      <c r="H3" s="56"/>
      <c r="I3" s="5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6.25" customHeight="1">
      <c r="A4" s="57">
        <v>46076</v>
      </c>
      <c r="B4" s="14">
        <v>11</v>
      </c>
      <c r="C4" s="58" t="str">
        <f>IFERROR(VLOOKUP(B:B,'SALDO ATUAL'!$A$3:$E$238,3,0),"")</f>
        <v>ÁGUA TERMAL MINERAUX</v>
      </c>
      <c r="D4" s="59" t="str">
        <f>IFERROR(VLOOKUP(B:B,'SALDO ATUAL'!$A$3:$E$238,4,0),"")</f>
        <v>DERMOCOSMÉTICO E COSMÉTICO</v>
      </c>
      <c r="E4" s="60" t="str">
        <f>IFERROR(VLOOKUP(B:B,'SALDO ATUAL'!$A$3:$E$238,5,0),"")</f>
        <v>013 - Frasco</v>
      </c>
      <c r="F4" s="15">
        <v>1</v>
      </c>
      <c r="G4" s="61"/>
      <c r="H4" s="56"/>
      <c r="I4" s="5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6.25" customHeight="1">
      <c r="A5" s="57">
        <v>46077</v>
      </c>
      <c r="B5" s="14">
        <v>98</v>
      </c>
      <c r="C5" s="58" t="str">
        <f>IFERROR(VLOOKUP(B:B,'SALDO ATUAL'!$A$3:$E$506,3,0),"")</f>
        <v>CREME COM NUTRI OMEGA + ASSOCIAÇÕES INC BEAUTY</v>
      </c>
      <c r="D5" s="59" t="str">
        <f>IFERROR(VLOOKUP(B:B,'SALDO ATUAL'!$A$3:$E$506,4,0),"")</f>
        <v>MANIPULADOS</v>
      </c>
      <c r="E5" s="60" t="str">
        <f>IFERROR(VLOOKUP(B:B,'SALDO ATUAL'!$A$3:$E$506,5,0),"")</f>
        <v>018 - Grama</v>
      </c>
      <c r="F5" s="15">
        <v>1</v>
      </c>
      <c r="G5" s="61"/>
      <c r="H5" s="56"/>
      <c r="I5" s="5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6.25" customHeight="1">
      <c r="A6" s="57">
        <v>46078</v>
      </c>
      <c r="B6" s="14">
        <v>83</v>
      </c>
      <c r="C6" s="58" t="str">
        <f>IFERROR(VLOOKUP(B:B,'SALDO ATUAL'!$A$3:$E$238,3,0),"")</f>
        <v>CLOREX AQUOSO 0,2% 100ML RIOHEX</v>
      </c>
      <c r="D6" s="59" t="str">
        <f>IFERROR(VLOOKUP(B:B,'SALDO ATUAL'!$A$3:$E$238,4,0),"")</f>
        <v>SOLUÇÕES</v>
      </c>
      <c r="E6" s="60" t="str">
        <f>IFERROR(VLOOKUP(B:B,'SALDO ATUAL'!$A$3:$E$238,5,0),"")</f>
        <v>023 - Mililitro</v>
      </c>
      <c r="F6" s="15">
        <v>3</v>
      </c>
      <c r="G6" s="61"/>
      <c r="H6" s="56"/>
      <c r="I6" s="5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6.25" customHeight="1">
      <c r="A7" s="57">
        <v>46078</v>
      </c>
      <c r="B7" s="14">
        <v>306</v>
      </c>
      <c r="C7" s="58" t="str">
        <f>IFERROR(VLOOKUP(B:B,'SALDO ATUAL'!$A$3:$E$9999,3,0),"")</f>
        <v>SERINGA ULTRA FINE 0,3ML 0,8x0,30 BD</v>
      </c>
      <c r="D7" s="59" t="str">
        <f>IFERROR(VLOOKUP(B:B,'SALDO ATUAL'!$A$3:$E999,4,0),"")</f>
        <v>SERINGA</v>
      </c>
      <c r="E7" s="60" t="str">
        <f>IFERROR(VLOOKUP(B:B,'SALDO ATUAL'!$A$3:$E$999,5,0),"")</f>
        <v>043- Pacotes</v>
      </c>
      <c r="F7" s="15">
        <v>1</v>
      </c>
      <c r="G7" s="61"/>
      <c r="H7" s="56"/>
      <c r="I7" s="5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6.25" customHeight="1">
      <c r="A8" s="57">
        <v>46078</v>
      </c>
      <c r="B8" s="62">
        <v>38</v>
      </c>
      <c r="C8" s="58" t="str">
        <f>IFERROR(VLOOKUP(B:B,'SALDO ATUAL'!$A$3:$E$9999,3,0),"")</f>
        <v>ALCOOL 70% SEPTPRO 70</v>
      </c>
      <c r="D8" s="59" t="str">
        <f>IFERROR(VLOOKUP(B:B,'SALDO ATUAL'!$A$3:$E1000,4,0),"")</f>
        <v>INSUMOS</v>
      </c>
      <c r="E8" s="60" t="str">
        <f>IFERROR(VLOOKUP(B:B,'SALDO ATUAL'!$A$3:$E$999,5,0),"")</f>
        <v>023 - Mililitro</v>
      </c>
      <c r="F8" s="15">
        <v>3</v>
      </c>
      <c r="G8" s="61"/>
      <c r="H8" s="56"/>
      <c r="I8" s="56"/>
      <c r="J8" s="63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6.25" customHeight="1">
      <c r="A9" s="57">
        <v>46078</v>
      </c>
      <c r="B9" s="62">
        <v>298</v>
      </c>
      <c r="C9" s="58" t="str">
        <f>IFERROR(VLOOKUP(B:B,'SALDO ATUAL'!$A$3:$E$9999,3,0),"")</f>
        <v>SERINGA 5ML LOCK - ROSCA BD</v>
      </c>
      <c r="D9" s="59" t="str">
        <f>IFERROR(VLOOKUP(B:B,'SALDO ATUAL'!$A$3:$E1001,4,0),"")</f>
        <v>SERINGA</v>
      </c>
      <c r="E9" s="60" t="str">
        <f>IFERROR(VLOOKUP(B:B,'SALDO ATUAL'!$A$3:$E$999,5,0),"")</f>
        <v>036- Unidade</v>
      </c>
      <c r="F9" s="15">
        <v>10</v>
      </c>
      <c r="G9" s="61"/>
      <c r="H9" s="56"/>
      <c r="I9" s="5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6.25" customHeight="1">
      <c r="A10" s="57">
        <v>46078</v>
      </c>
      <c r="B10" s="62">
        <v>201</v>
      </c>
      <c r="C10" s="58" t="str">
        <f>IFERROR(VLOOKUP(B:B,'SALDO ATUAL'!$A$3:$E$9999,3,0),"")</f>
        <v>KIT PONTEIRA HAIR D&amp;D EVO</v>
      </c>
      <c r="D10" s="59" t="str">
        <f>IFERROR(VLOOKUP(B:B,'SALDO ATUAL'!$A$3:$E1002,4,0),"")</f>
        <v>PONTEIRA</v>
      </c>
      <c r="E10" s="60" t="str">
        <f>IFERROR(VLOOKUP(B:B,'SALDO ATUAL'!$A$3:$E$999,5,0),"")</f>
        <v>036-Unidades</v>
      </c>
      <c r="F10" s="15">
        <v>5</v>
      </c>
      <c r="G10" s="61"/>
      <c r="H10" s="56"/>
      <c r="I10" s="5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6.25" customHeight="1">
      <c r="A11" s="57">
        <v>46078</v>
      </c>
      <c r="B11" s="62">
        <v>316</v>
      </c>
      <c r="C11" s="58" t="str">
        <f>IFERROR(VLOOKUP(B:B,'SALDO ATUAL'!$A$3:$E$9999,3,0),"")</f>
        <v>SORO ESTÉRIL 10 ML ISOFARMA</v>
      </c>
      <c r="D11" s="59" t="str">
        <f>IFERROR(VLOOKUP(B:B,'SALDO ATUAL'!$A$3:$E1003,4,0),"")</f>
        <v>SOLUÇÕES</v>
      </c>
      <c r="E11" s="60" t="str">
        <f>IFERROR(VLOOKUP(B:B,'SALDO ATUAL'!$A$3:$E$999,5,0),"")</f>
        <v>012- Floconete</v>
      </c>
      <c r="F11" s="15">
        <v>5</v>
      </c>
      <c r="G11" s="61"/>
      <c r="H11" s="56"/>
      <c r="I11" s="5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6.25" customHeight="1">
      <c r="A12" s="57">
        <v>46078</v>
      </c>
      <c r="B12" s="14">
        <v>89</v>
      </c>
      <c r="C12" s="58" t="str">
        <f>IFERROR(VLOOKUP(B:B,'SALDO ATUAL'!$A$3:$E$9999,3,0),"")</f>
        <v>COMPRESSA GAZE 13 FIOS C/ 500 UNID MEDI HOUSE</v>
      </c>
      <c r="D12" s="59" t="str">
        <f>IFERROR(VLOOKUP(B:B,'SALDO ATUAL'!$A$3:$E1004,4,0),"")</f>
        <v>MATERIAIS DESCARTÁVEIS E APOIO</v>
      </c>
      <c r="E12" s="60" t="str">
        <f>IFERROR(VLOOKUP(B:B,'SALDO ATUAL'!$A$3:$E$999,5,0),"")</f>
        <v>036 - Unidade</v>
      </c>
      <c r="F12" s="15">
        <v>1</v>
      </c>
      <c r="G12" s="61"/>
      <c r="H12" s="56"/>
      <c r="I12" s="5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6.25" customHeight="1">
      <c r="A13" s="57">
        <v>46078</v>
      </c>
      <c r="B13" s="62">
        <v>84</v>
      </c>
      <c r="C13" s="58" t="str">
        <f>IFERROR(VLOOKUP(B:B,'SALDO ATUAL'!$A$3:$E$9999,3,0),"")</f>
        <v>COLETOR PERFUROCORTANTE 3L DESCARPACK</v>
      </c>
      <c r="D13" s="59" t="str">
        <f>IFERROR(VLOOKUP(B:B,'SALDO ATUAL'!$A$3:$E1005,4,0),"")</f>
        <v>MATERIAIS DESCARTÁVEIS E APOIO</v>
      </c>
      <c r="E13" s="60" t="str">
        <f>IFERROR(VLOOKUP(B:B,'SALDO ATUAL'!$A$3:$E$999,5,0),"")</f>
        <v>036 - Unidade</v>
      </c>
      <c r="F13" s="15">
        <v>1</v>
      </c>
      <c r="G13" s="61"/>
      <c r="H13" s="56"/>
      <c r="I13" s="5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6.25" customHeight="1">
      <c r="A14" s="57">
        <v>46078</v>
      </c>
      <c r="B14" s="62">
        <v>50</v>
      </c>
      <c r="C14" s="58" t="str">
        <f>IFERROR(VLOOKUP(B:B,'SALDO ATUAL'!$A$3:$E$9999,3,0),"")</f>
        <v>BÁLSAMO DE LIMPEZA FACIAL OLERA</v>
      </c>
      <c r="D14" s="59" t="str">
        <f>IFERROR(VLOOKUP(B:B,'SALDO ATUAL'!$A$3:$E1006,4,0),"")</f>
        <v>DERMOCOSMÉTICO E COSMÉTICO</v>
      </c>
      <c r="E14" s="60" t="str">
        <f>IFERROR(VLOOKUP(B:B,'SALDO ATUAL'!$A$3:$E$999,5,0),"")</f>
        <v>013 - Frasco</v>
      </c>
      <c r="F14" s="15">
        <v>1</v>
      </c>
      <c r="G14" s="61"/>
      <c r="H14" s="56"/>
      <c r="I14" s="5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6.25" customHeight="1">
      <c r="A15" s="57">
        <v>46078</v>
      </c>
      <c r="B15" s="62">
        <v>83</v>
      </c>
      <c r="C15" s="58" t="str">
        <f>IFERROR(VLOOKUP(B:B,'SALDO ATUAL'!$A$3:$E$9999,3,0),"")</f>
        <v>CLOREX AQUOSO 0,2% 100ML RIOHEX</v>
      </c>
      <c r="D15" s="59" t="str">
        <f>IFERROR(VLOOKUP(B:B,'SALDO ATUAL'!$A$3:$E1007,4,0),"")</f>
        <v>SOLUÇÕES</v>
      </c>
      <c r="E15" s="60" t="str">
        <f>IFERROR(VLOOKUP(B:B,'SALDO ATUAL'!$A$3:$E$999,5,0),"")</f>
        <v>023 - Mililitro</v>
      </c>
      <c r="F15" s="15">
        <v>1</v>
      </c>
      <c r="G15" s="61"/>
      <c r="H15" s="56"/>
      <c r="I15" s="5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6.25" customHeight="1">
      <c r="A16" s="57">
        <v>46078</v>
      </c>
      <c r="B16" s="62">
        <v>218</v>
      </c>
      <c r="C16" s="58" t="str">
        <f>IFERROR(VLOOKUP(B:B,'SALDO ATUAL'!$A$3:$E$9999,3,0),"")</f>
        <v>LUVA P SEM PÓ DESCARPACK</v>
      </c>
      <c r="D16" s="59" t="str">
        <f>IFERROR(VLOOKUP(B:B,'SALDO ATUAL'!$A$3:$E1008,4,0),"")</f>
        <v>MATERIAIS DESCARTÁVEIS E APOIO</v>
      </c>
      <c r="E16" s="60" t="str">
        <f>IFERROR(VLOOKUP(B:B,'SALDO ATUAL'!$A$3:$E$999,5,0),"")</f>
        <v>005- Caixa</v>
      </c>
      <c r="F16" s="15">
        <v>1</v>
      </c>
      <c r="G16" s="61"/>
      <c r="H16" s="56"/>
      <c r="I16" s="5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6.25" customHeight="1">
      <c r="A17" s="57">
        <v>46078</v>
      </c>
      <c r="B17" s="14">
        <v>275</v>
      </c>
      <c r="C17" s="58" t="str">
        <f>IFERROR(VLOOKUP(B:B,'SALDO ATUAL'!$A$3:$E$9999,3,0),"")</f>
        <v>PROFHILO</v>
      </c>
      <c r="D17" s="59" t="str">
        <f>IFERROR(VLOOKUP(B:B,'SALDO ATUAL'!$A$3:$E1009,4,0),"")</f>
        <v>BIORREMODULADOR</v>
      </c>
      <c r="E17" s="60" t="str">
        <f>IFERROR(VLOOKUP(B:B,'SALDO ATUAL'!$A$3:$E$999,5,0),"")</f>
        <v>031- Seringa</v>
      </c>
      <c r="F17" s="15">
        <v>6</v>
      </c>
      <c r="G17" s="61"/>
      <c r="H17" s="56"/>
      <c r="I17" s="5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6.25" customHeight="1">
      <c r="A18" s="57">
        <v>46078</v>
      </c>
      <c r="B18" s="62">
        <v>24</v>
      </c>
      <c r="C18" s="58" t="str">
        <f>IFERROR(VLOOKUP(B:B,'SALDO ATUAL'!$A$3:$E$9999,3,0),"")</f>
        <v>AH BELOTERO BALANCE</v>
      </c>
      <c r="D18" s="59" t="str">
        <f>IFERROR(VLOOKUP(B:B,'SALDO ATUAL'!$A$3:$E1010,4,0),"")</f>
        <v>PREENCHEDOR</v>
      </c>
      <c r="E18" s="60" t="str">
        <f>IFERROR(VLOOKUP(B:B,'SALDO ATUAL'!$A$3:$E$999,5,0),"")</f>
        <v>023 - Mililitro</v>
      </c>
      <c r="F18" s="15">
        <v>3</v>
      </c>
      <c r="G18" s="61"/>
      <c r="H18" s="56"/>
      <c r="I18" s="5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6.25" customHeight="1">
      <c r="A19" s="57">
        <v>46078</v>
      </c>
      <c r="B19" s="62">
        <v>329</v>
      </c>
      <c r="C19" s="58" t="str">
        <f>IFERROR(VLOOKUP(B:B,'SALDO ATUAL'!$A$3:$E$9999,3,0),"")</f>
        <v>TOXINA BOTULÍNICA XEOMIN 100UI</v>
      </c>
      <c r="D19" s="59" t="str">
        <f>IFERROR(VLOOKUP(B:B,'SALDO ATUAL'!$A$3:$E1011,4,0),"")</f>
        <v>TOXINA</v>
      </c>
      <c r="E19" s="60" t="str">
        <f>IFERROR(VLOOKUP(B:B,'SALDO ATUAL'!$A$3:$E$999,5,0),"")</f>
        <v>037 - Unidade Internacional</v>
      </c>
      <c r="F19" s="15">
        <v>2</v>
      </c>
      <c r="G19" s="61"/>
      <c r="H19" s="56"/>
      <c r="I19" s="5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6.25" customHeight="1">
      <c r="A20" s="57">
        <v>46079</v>
      </c>
      <c r="B20" s="14">
        <v>275</v>
      </c>
      <c r="C20" s="58" t="str">
        <f>IFERROR(VLOOKUP(B:B,'SALDO ATUAL'!$A$3:$E$9999,3,0),"")</f>
        <v>PROFHILO</v>
      </c>
      <c r="D20" s="59" t="str">
        <f>IFERROR(VLOOKUP(B:B,'SALDO ATUAL'!$A$3:$E1012,4,0),"")</f>
        <v>BIORREMODULADOR</v>
      </c>
      <c r="E20" s="60" t="str">
        <f>IFERROR(VLOOKUP(B:B,'SALDO ATUAL'!$A$3:$E$999,5,0),"")</f>
        <v>031- Seringa</v>
      </c>
      <c r="F20" s="15">
        <v>6</v>
      </c>
      <c r="G20" s="61"/>
      <c r="H20" s="56"/>
      <c r="I20" s="5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6.25" customHeight="1">
      <c r="A21" s="57">
        <v>46079</v>
      </c>
      <c r="B21" s="62">
        <v>374</v>
      </c>
      <c r="C21" s="58" t="str">
        <f>IFERROR(VLOOKUP(B:B,'SALDO ATUAL'!$A$3:$E$9999,3,0),"")</f>
        <v>DIPROSPAN</v>
      </c>
      <c r="D21" s="59" t="str">
        <f>IFERROR(VLOOKUP(B:B,'SALDO ATUAL'!$A$3:$E1013,4,0),"")</f>
        <v>SERINGA</v>
      </c>
      <c r="E21" s="60" t="str">
        <f>IFERROR(VLOOKUP(B:B,'SALDO ATUAL'!$A$3:$E$999,5,0),"")</f>
        <v>001- Ampola</v>
      </c>
      <c r="F21" s="15">
        <v>1</v>
      </c>
      <c r="G21" s="61"/>
      <c r="H21" s="56"/>
      <c r="I21" s="5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6.25" customHeight="1">
      <c r="A22" s="57">
        <v>46079</v>
      </c>
      <c r="B22" s="62">
        <v>26</v>
      </c>
      <c r="C22" s="58" t="str">
        <f>IFERROR(VLOOKUP(B:B,'SALDO ATUAL'!$A$3:$E$9999,3,0),"")</f>
        <v>AH BELOTERO VOLUME</v>
      </c>
      <c r="D22" s="59" t="str">
        <f>IFERROR(VLOOKUP(B:B,'SALDO ATUAL'!$A$3:$E1014,4,0),"")</f>
        <v>PREENCHEDOR</v>
      </c>
      <c r="E22" s="60" t="str">
        <f>IFERROR(VLOOKUP(B:B,'SALDO ATUAL'!$A$3:$E$999,5,0),"")</f>
        <v>023 - Mililitro</v>
      </c>
      <c r="F22" s="15">
        <v>1</v>
      </c>
      <c r="G22" s="61"/>
      <c r="H22" s="56"/>
      <c r="I22" s="5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6.25" customHeight="1">
      <c r="A23" s="57">
        <v>46079</v>
      </c>
      <c r="B23" s="62">
        <v>25</v>
      </c>
      <c r="C23" s="58" t="str">
        <f>IFERROR(VLOOKUP(B:B,'SALDO ATUAL'!$A$3:$E$9999,3,0),"")</f>
        <v>AH BELOTERO INTENSE</v>
      </c>
      <c r="D23" s="59" t="str">
        <f>IFERROR(VLOOKUP(B:B,'SALDO ATUAL'!$A$3:$E1015,4,0),"")</f>
        <v>PREENCHEDOR</v>
      </c>
      <c r="E23" s="60" t="str">
        <f>IFERROR(VLOOKUP(B:B,'SALDO ATUAL'!$A$3:$E$999,5,0),"")</f>
        <v>023 - Mililitro</v>
      </c>
      <c r="F23" s="15">
        <v>1</v>
      </c>
      <c r="G23" s="61"/>
      <c r="H23" s="56"/>
      <c r="I23" s="5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6.25" customHeight="1">
      <c r="A24" s="57">
        <v>46079</v>
      </c>
      <c r="B24" s="62">
        <v>218</v>
      </c>
      <c r="C24" s="58" t="str">
        <f>IFERROR(VLOOKUP(B:B,'SALDO ATUAL'!$A$3:$E$9999,3,0),"")</f>
        <v>LUVA P SEM PÓ DESCARPACK</v>
      </c>
      <c r="D24" s="59" t="str">
        <f>IFERROR(VLOOKUP(B:B,'SALDO ATUAL'!$A$3:$E1016,4,0),"")</f>
        <v>MATERIAIS DESCARTÁVEIS E APOIO</v>
      </c>
      <c r="E24" s="60" t="str">
        <f>IFERROR(VLOOKUP(B:B,'SALDO ATUAL'!$A$3:$E$999,5,0),"")</f>
        <v>005- Caixa</v>
      </c>
      <c r="F24" s="15">
        <v>1</v>
      </c>
      <c r="G24" s="61"/>
      <c r="H24" s="56"/>
      <c r="I24" s="5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6.25" customHeight="1">
      <c r="A25" s="57">
        <v>46079</v>
      </c>
      <c r="B25" s="62">
        <v>249</v>
      </c>
      <c r="C25" s="58" t="str">
        <f>IFERROR(VLOOKUP(B:B,'SALDO ATUAL'!$A$3:$E$9999,3,0),"")</f>
        <v>PANCAKE FPS 50 PEACH INC BEAUTY</v>
      </c>
      <c r="D25" s="59" t="str">
        <f>IFERROR(VLOOKUP(B:B,'SALDO ATUAL'!$A$3:$E1017,4,0),"")</f>
        <v>MANIPULADOS</v>
      </c>
      <c r="E25" s="60" t="str">
        <f>IFERROR(VLOOKUP(B:B,'SALDO ATUAL'!$A$3:$E$999,5,0),"")</f>
        <v>036-Unidade</v>
      </c>
      <c r="F25" s="15">
        <v>1</v>
      </c>
      <c r="G25" s="61"/>
      <c r="H25" s="56"/>
      <c r="I25" s="5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6.25" customHeight="1">
      <c r="A26" s="57">
        <v>46079</v>
      </c>
      <c r="B26" s="62">
        <v>98</v>
      </c>
      <c r="C26" s="58" t="str">
        <f>IFERROR(VLOOKUP(B:B,'SALDO ATUAL'!$A$3:$E$9999,3,0),"")</f>
        <v>CREME COM NUTRI OMEGA + ASSOCIAÇÕES INC BEAUTY</v>
      </c>
      <c r="D26" s="59" t="str">
        <f>IFERROR(VLOOKUP(B:B,'SALDO ATUAL'!$A$3:$E1018,4,0),"")</f>
        <v>MANIPULADOS</v>
      </c>
      <c r="E26" s="60" t="str">
        <f>IFERROR(VLOOKUP(B:B,'SALDO ATUAL'!$A$3:$E$999,5,0),"")</f>
        <v>018 - Grama</v>
      </c>
      <c r="F26" s="15">
        <v>1</v>
      </c>
      <c r="G26" s="61"/>
      <c r="H26" s="56"/>
      <c r="I26" s="5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6.25" customHeight="1">
      <c r="A27" s="57">
        <v>46079</v>
      </c>
      <c r="B27" s="62">
        <v>220</v>
      </c>
      <c r="C27" s="58" t="str">
        <f>IFERROR(VLOOKUP(B:B,'SALDO ATUAL'!$A$3:$E$9999,3,0),"")</f>
        <v>MASCARA ARGILA INC BEAUTY</v>
      </c>
      <c r="D27" s="59" t="str">
        <f>IFERROR(VLOOKUP(B:B,'SALDO ATUAL'!$A$3:$E1019,4,0),"")</f>
        <v>MANIPULADOS</v>
      </c>
      <c r="E27" s="60" t="str">
        <f>IFERROR(VLOOKUP(B:B,'SALDO ATUAL'!$A$3:$E$999,5,0),"")</f>
        <v>018 - Grama</v>
      </c>
      <c r="F27" s="15">
        <v>1</v>
      </c>
      <c r="G27" s="61"/>
      <c r="H27" s="56"/>
      <c r="I27" s="5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6.25" customHeight="1">
      <c r="A28" s="57">
        <v>46080</v>
      </c>
      <c r="B28" s="62">
        <v>294</v>
      </c>
      <c r="C28" s="58" t="str">
        <f>IFERROR(VLOOKUP(B:B,'SALDO ATUAL'!$A$3:$E$9999,3,0),"")</f>
        <v>SERINGA 3ML LOCK - ROSCA DESCARPACK</v>
      </c>
      <c r="D28" s="59" t="str">
        <f>IFERROR(VLOOKUP(B:B,'SALDO ATUAL'!$A$3:$E1020,4,0),"")</f>
        <v>SERINGA</v>
      </c>
      <c r="E28" s="60" t="str">
        <f>IFERROR(VLOOKUP(B:B,'SALDO ATUAL'!$A$3:$E$999,5,0),"")</f>
        <v>031- Seringa</v>
      </c>
      <c r="F28" s="15">
        <v>10</v>
      </c>
      <c r="G28" s="61"/>
      <c r="H28" s="56"/>
      <c r="I28" s="5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6.25" customHeight="1">
      <c r="A29" s="57">
        <v>46080</v>
      </c>
      <c r="B29" s="62">
        <v>306</v>
      </c>
      <c r="C29" s="58" t="str">
        <f>IFERROR(VLOOKUP(B:B,'SALDO ATUAL'!$A$3:$E$9999,3,0),"")</f>
        <v>SERINGA ULTRA FINE 0,3ML 0,8x0,30 BD</v>
      </c>
      <c r="D29" s="59" t="str">
        <f>IFERROR(VLOOKUP(B:B,'SALDO ATUAL'!$A$3:$E1021,4,0),"")</f>
        <v>SERINGA</v>
      </c>
      <c r="E29" s="60" t="str">
        <f>IFERROR(VLOOKUP(B:B,'SALDO ATUAL'!$A$3:$E$999,5,0),"")</f>
        <v>043- Pacotes</v>
      </c>
      <c r="F29" s="15">
        <v>3</v>
      </c>
      <c r="G29" s="61"/>
      <c r="H29" s="56"/>
      <c r="I29" s="5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6.25" customHeight="1">
      <c r="A30" s="57">
        <v>46080</v>
      </c>
      <c r="B30" s="62">
        <v>72</v>
      </c>
      <c r="C30" s="58" t="str">
        <f>IFERROR(VLOOKUP(B:B,'SALDO ATUAL'!$A$3:$E$9999,3,0),"")</f>
        <v>CANULA 22G 50MM - 0,7x50 FABINJECT</v>
      </c>
      <c r="D30" s="59" t="str">
        <f>IFERROR(VLOOKUP(B:B,'SALDO ATUAL'!$A$3:$E1022,4,0),"")</f>
        <v>CANULAS</v>
      </c>
      <c r="E30" s="60" t="str">
        <f>IFERROR(VLOOKUP(B:B,'SALDO ATUAL'!$A$3:$E$999,5,0),"")</f>
        <v>036 - Unidade</v>
      </c>
      <c r="F30" s="15">
        <v>1</v>
      </c>
      <c r="G30" s="61"/>
      <c r="H30" s="56"/>
      <c r="I30" s="5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6.25" customHeight="1">
      <c r="A31" s="57">
        <v>46080</v>
      </c>
      <c r="B31" s="62">
        <v>73</v>
      </c>
      <c r="C31" s="58" t="str">
        <f>IFERROR(VLOOKUP(B:B,'SALDO ATUAL'!$A$3:$E$9999,3,0),"")</f>
        <v>CANULA 25G 50MM x 50MM FABINJECT</v>
      </c>
      <c r="D31" s="59" t="str">
        <f>IFERROR(VLOOKUP(B:B,'SALDO ATUAL'!$A$3:$E1023,4,0),"")</f>
        <v>CANULAS</v>
      </c>
      <c r="E31" s="60" t="str">
        <f>IFERROR(VLOOKUP(B:B,'SALDO ATUAL'!$A$3:$E$999,5,0),"")</f>
        <v>036 - Unidade</v>
      </c>
      <c r="F31" s="15">
        <v>1</v>
      </c>
      <c r="G31" s="61"/>
      <c r="H31" s="56"/>
      <c r="I31" s="5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6.25" customHeight="1">
      <c r="A32" s="57">
        <v>46080</v>
      </c>
      <c r="B32" s="14">
        <v>329</v>
      </c>
      <c r="C32" s="58" t="str">
        <f>IFERROR(VLOOKUP(B:B,'SALDO ATUAL'!$A$3:$E$9999,3,0),"")</f>
        <v>TOXINA BOTULÍNICA XEOMIN 100UI</v>
      </c>
      <c r="D32" s="59" t="str">
        <f>IFERROR(VLOOKUP(B:B,'SALDO ATUAL'!$A$3:$E1024,4,0),"")</f>
        <v>TOXINA</v>
      </c>
      <c r="E32" s="60" t="str">
        <f>IFERROR(VLOOKUP(B:B,'SALDO ATUAL'!$A$3:$E$999,5,0),"")</f>
        <v>037 - Unidade Internacional</v>
      </c>
      <c r="F32" s="15">
        <v>1</v>
      </c>
      <c r="G32" s="61"/>
      <c r="H32" s="56"/>
      <c r="I32" s="5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6.25" customHeight="1">
      <c r="A33" s="57">
        <v>46080</v>
      </c>
      <c r="B33" s="14">
        <v>316</v>
      </c>
      <c r="C33" s="58" t="str">
        <f>IFERROR(VLOOKUP(B:B,'SALDO ATUAL'!$A$3:$E$9999,3,0),"")</f>
        <v>SORO ESTÉRIL 10 ML ISOFARMA</v>
      </c>
      <c r="D33" s="59" t="str">
        <f>IFERROR(VLOOKUP(B:B,'SALDO ATUAL'!$A$3:$E1025,4,0),"")</f>
        <v>SOLUÇÕES</v>
      </c>
      <c r="E33" s="60" t="str">
        <f>IFERROR(VLOOKUP(B:B,'SALDO ATUAL'!$A$3:$E$999,5,0),"")</f>
        <v>012- Floconete</v>
      </c>
      <c r="F33" s="15">
        <v>5</v>
      </c>
      <c r="G33" s="61"/>
      <c r="H33" s="56"/>
      <c r="I33" s="5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6.25" customHeight="1">
      <c r="A34" s="57">
        <v>46080</v>
      </c>
      <c r="B34" s="14">
        <v>43</v>
      </c>
      <c r="C34" s="58" t="str">
        <f>IFERROR(VLOOKUP(B:B,'SALDO ATUAL'!$A$3:$E$9999,3,0),"")</f>
        <v>ANESTÉSICO MANIPULADO TETRA E LIDO FARMA ASSIST</v>
      </c>
      <c r="D34" s="59" t="str">
        <f>IFERROR(VLOOKUP(B:B,'SALDO ATUAL'!$A$3:$E1026,4,0),"")</f>
        <v>ANESTÉSICO</v>
      </c>
      <c r="E34" s="60" t="str">
        <f>IFERROR(VLOOKUP(B:B,'SALDO ATUAL'!$A$3:$E$999,5,0),"")</f>
        <v>018 - Grama</v>
      </c>
      <c r="F34" s="15">
        <v>1</v>
      </c>
      <c r="G34" s="61"/>
      <c r="H34" s="56"/>
      <c r="I34" s="5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6.25" customHeight="1">
      <c r="A35" s="57">
        <v>46080</v>
      </c>
      <c r="B35" s="14">
        <v>118</v>
      </c>
      <c r="C35" s="58" t="str">
        <f>IFERROR(VLOOKUP(B:B,'SALDO ATUAL'!$A$3:$E$9999,3,0),"")</f>
        <v>ELETRODO DENSITY</v>
      </c>
      <c r="D35" s="59" t="str">
        <f>IFERROR(VLOOKUP(B:B,'SALDO ATUAL'!$A$3:$E1027,4,0),"")</f>
        <v>MATERIAIS DESCARTÁVEIS E APOIO</v>
      </c>
      <c r="E35" s="60" t="str">
        <f>IFERROR(VLOOKUP(B:B,'SALDO ATUAL'!$A$3:$E$999,5,0),"")</f>
        <v>036 - Unidade</v>
      </c>
      <c r="F35" s="15">
        <v>1</v>
      </c>
      <c r="G35" s="61"/>
      <c r="H35" s="56"/>
      <c r="I35" s="5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6.25" customHeight="1">
      <c r="A36" s="57">
        <v>46080</v>
      </c>
      <c r="B36" s="14">
        <v>268</v>
      </c>
      <c r="C36" s="58" t="str">
        <f>IFERROR(VLOOKUP(B:B,'SALDO ATUAL'!$A$3:$E$9999,3,0),"")</f>
        <v>PONTEIRA F TIP DENSITY</v>
      </c>
      <c r="D36" s="59" t="str">
        <f>IFERROR(VLOOKUP(B:B,'SALDO ATUAL'!$A$3:$E1028,4,0),"")</f>
        <v>PONTEIRA</v>
      </c>
      <c r="E36" s="60" t="str">
        <f>IFERROR(VLOOKUP(B:B,'SALDO ATUAL'!$A$3:$E$999,5,0),"")</f>
        <v>036-Unidade</v>
      </c>
      <c r="F36" s="15">
        <v>1</v>
      </c>
      <c r="G36" s="61"/>
      <c r="H36" s="56"/>
      <c r="I36" s="5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6.25" customHeight="1">
      <c r="A37" s="57">
        <v>46080</v>
      </c>
      <c r="B37" s="14">
        <v>267</v>
      </c>
      <c r="C37" s="58" t="str">
        <f>IFERROR(VLOOKUP(B:B,'SALDO ATUAL'!$A$3:$E$9999,3,0),"")</f>
        <v>PONTEIRA E TIP DENSITY</v>
      </c>
      <c r="D37" s="59" t="str">
        <f>IFERROR(VLOOKUP(B:B,'SALDO ATUAL'!$A$3:$E1029,4,0),"")</f>
        <v>PONTEIRA</v>
      </c>
      <c r="E37" s="60" t="str">
        <f>IFERROR(VLOOKUP(B:B,'SALDO ATUAL'!$A$3:$E$999,5,0),"")</f>
        <v>036-Unidade</v>
      </c>
      <c r="F37" s="15">
        <v>1</v>
      </c>
      <c r="G37" s="61"/>
      <c r="H37" s="56"/>
      <c r="I37" s="5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6.25" customHeight="1">
      <c r="A38" s="57">
        <v>46080</v>
      </c>
      <c r="B38" s="14">
        <v>378</v>
      </c>
      <c r="C38" s="58" t="str">
        <f>IFERROR(VLOOKUP(B:B,'SALDO ATUAL'!$A$3:$E$9999,3,0),"")</f>
        <v>MINOXIDIL OPTIMUS</v>
      </c>
      <c r="D38" s="59" t="str">
        <f>IFERROR(VLOOKUP(B:B,'SALDO ATUAL'!$A$3:$E1030,4,0),"")</f>
        <v>MANIPULADOS</v>
      </c>
      <c r="E38" s="60" t="str">
        <f>IFERROR(VLOOKUP(B:B,'SALDO ATUAL'!$A$3:$E$999,5,0),"")</f>
        <v>036- Unidade</v>
      </c>
      <c r="F38" s="15">
        <v>1</v>
      </c>
      <c r="G38" s="61"/>
      <c r="H38" s="56"/>
      <c r="I38" s="5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6.25" customHeight="1">
      <c r="A39" s="57">
        <v>46080</v>
      </c>
      <c r="B39" s="14">
        <v>336</v>
      </c>
      <c r="C39" s="58" t="str">
        <f>IFERROR(VLOOKUP(B:B,'SALDO ATUAL'!$A$3:$E$9999,3,0),"")</f>
        <v>VITAMINA C OPTIMUS</v>
      </c>
      <c r="D39" s="59" t="str">
        <f>IFERROR(VLOOKUP(B:B,'SALDO ATUAL'!$A$3:$E1031,4,0),"")</f>
        <v>ATIVOS</v>
      </c>
      <c r="E39" s="60" t="str">
        <f>IFERROR(VLOOKUP(B:B,'SALDO ATUAL'!$A$3:$E$999,5,0),"")</f>
        <v xml:space="preserve">001- Ampola </v>
      </c>
      <c r="F39" s="15">
        <v>3</v>
      </c>
      <c r="G39" s="61"/>
      <c r="H39" s="56"/>
      <c r="I39" s="5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6.25" customHeight="1">
      <c r="A40" s="57">
        <v>46080</v>
      </c>
      <c r="B40" s="14">
        <v>63</v>
      </c>
      <c r="C40" s="58" t="str">
        <f>IFERROR(VLOOKUP(B:B,'SALDO ATUAL'!$A$3:$E$9999,3,0),"")</f>
        <v>BIOTINA OPTIMUS</v>
      </c>
      <c r="D40" s="59" t="str">
        <f>IFERROR(VLOOKUP(B:B,'SALDO ATUAL'!$A$3:$E1032,4,0),"")</f>
        <v>INJETAVEL</v>
      </c>
      <c r="E40" s="60" t="str">
        <f>IFERROR(VLOOKUP(B:B,'SALDO ATUAL'!$A$3:$E$999,5,0),"")</f>
        <v>001 - Ampola</v>
      </c>
      <c r="F40" s="15">
        <v>1</v>
      </c>
      <c r="G40" s="61"/>
      <c r="H40" s="56"/>
      <c r="I40" s="5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6.25" customHeight="1">
      <c r="A41" s="57">
        <v>46080</v>
      </c>
      <c r="B41" s="14">
        <v>203</v>
      </c>
      <c r="C41" s="58" t="str">
        <f>IFERROR(VLOOKUP(B:B,'SALDO ATUAL'!$A$3:$E$9999,3,0),"")</f>
        <v>L GLUTATIONA OPTMUS</v>
      </c>
      <c r="D41" s="59" t="str">
        <f>IFERROR(VLOOKUP(B:B,'SALDO ATUAL'!$A$3:$E1033,4,0),"")</f>
        <v>ATIVOS</v>
      </c>
      <c r="E41" s="60" t="str">
        <f>IFERROR(VLOOKUP(B:B,'SALDO ATUAL'!$A$3:$E$999,5,0),"")</f>
        <v>001- Ampola</v>
      </c>
      <c r="F41" s="15">
        <v>2</v>
      </c>
      <c r="G41" s="61"/>
      <c r="H41" s="56"/>
      <c r="I41" s="5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6.25" customHeight="1">
      <c r="A42" s="57">
        <v>46080</v>
      </c>
      <c r="B42" s="14">
        <v>103</v>
      </c>
      <c r="C42" s="58" t="str">
        <f>IFERROR(VLOOKUP(B:B,'SALDO ATUAL'!$A$3:$E$9999,3,0),"")</f>
        <v>D PANTENOL OPTIMUS</v>
      </c>
      <c r="D42" s="59" t="str">
        <f>IFERROR(VLOOKUP(B:B,'SALDO ATUAL'!$A$3:$E1034,4,0),"")</f>
        <v>ATIVOS</v>
      </c>
      <c r="E42" s="60" t="str">
        <f>IFERROR(VLOOKUP(B:B,'SALDO ATUAL'!$A$3:$E$999,5,0),"")</f>
        <v>001 - Ampola</v>
      </c>
      <c r="F42" s="15">
        <v>1</v>
      </c>
      <c r="G42" s="61"/>
      <c r="H42" s="56"/>
      <c r="I42" s="5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6.25" customHeight="1">
      <c r="A43" s="57">
        <v>46080</v>
      </c>
      <c r="B43" s="14">
        <v>359</v>
      </c>
      <c r="C43" s="58" t="str">
        <f>IFERROR(VLOOKUP(B:B,'SALDO ATUAL'!$A$3:$E$9999,3,0),"")</f>
        <v>NADH (PÓ LIOFILIZADO) OPTIMUS</v>
      </c>
      <c r="D43" s="59" t="str">
        <f>IFERROR(VLOOKUP(B:B,'SALDO ATUAL'!$A$3:$E1035,4,0),"")</f>
        <v>ATIVOS</v>
      </c>
      <c r="E43" s="60" t="str">
        <f>IFERROR(VLOOKUP(B:B,'SALDO ATUAL'!$A$3:$E$999,5,0),"")</f>
        <v>001- Ampola</v>
      </c>
      <c r="F43" s="15">
        <v>1</v>
      </c>
      <c r="G43" s="61"/>
      <c r="H43" s="56"/>
      <c r="I43" s="5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6.25" customHeight="1">
      <c r="A44" s="57">
        <v>46080</v>
      </c>
      <c r="B44" s="14">
        <v>315</v>
      </c>
      <c r="C44" s="58" t="str">
        <f>IFERROR(VLOOKUP(B:B,'SALDO ATUAL'!$A$3:$E$9999,3,0),"")</f>
        <v>SOOTHING SKIN FORMULA NEAUVIA</v>
      </c>
      <c r="D44" s="59" t="str">
        <f>IFERROR(VLOOKUP(B:B,'SALDO ATUAL'!$A$3:$E1036,4,0),"")</f>
        <v>ATIVOS</v>
      </c>
      <c r="E44" s="60" t="str">
        <f>IFERROR(VLOOKUP(B:B,'SALDO ATUAL'!$A$3:$E$999,5,0),"")</f>
        <v>001 - Ampola</v>
      </c>
      <c r="F44" s="15">
        <v>1</v>
      </c>
      <c r="G44" s="61"/>
      <c r="H44" s="56"/>
      <c r="I44" s="5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6.25" customHeight="1">
      <c r="A45" s="57">
        <v>46080</v>
      </c>
      <c r="B45" s="14">
        <v>275</v>
      </c>
      <c r="C45" s="58" t="str">
        <f>IFERROR(VLOOKUP(B:B,'SALDO ATUAL'!$A$3:$E$9999,3,0),"")</f>
        <v>PROFHILO</v>
      </c>
      <c r="D45" s="59" t="str">
        <f>IFERROR(VLOOKUP(B:B,'SALDO ATUAL'!$A$3:$E1037,4,0),"")</f>
        <v>BIORREMODULADOR</v>
      </c>
      <c r="E45" s="60" t="str">
        <f>IFERROR(VLOOKUP(B:B,'SALDO ATUAL'!$A$3:$E$999,5,0),"")</f>
        <v>031- Seringa</v>
      </c>
      <c r="F45" s="15">
        <v>2</v>
      </c>
      <c r="G45" s="61"/>
      <c r="H45" s="56"/>
      <c r="I45" s="5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6.25" customHeight="1">
      <c r="A46" s="57">
        <v>46080</v>
      </c>
      <c r="B46" s="14">
        <v>24</v>
      </c>
      <c r="C46" s="58" t="str">
        <f>IFERROR(VLOOKUP(B:B,'SALDO ATUAL'!$A$3:$E$9999,3,0),"")</f>
        <v>AH BELOTERO BALANCE</v>
      </c>
      <c r="D46" s="59" t="str">
        <f>IFERROR(VLOOKUP(B:B,'SALDO ATUAL'!$A$3:$E1038,4,0),"")</f>
        <v>PREENCHEDOR</v>
      </c>
      <c r="E46" s="60" t="str">
        <f>IFERROR(VLOOKUP(B:B,'SALDO ATUAL'!$A$3:$E$999,5,0),"")</f>
        <v>023 - Mililitro</v>
      </c>
      <c r="F46" s="15">
        <v>1</v>
      </c>
      <c r="G46" s="61"/>
      <c r="H46" s="56"/>
      <c r="I46" s="5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6.25" customHeight="1">
      <c r="A47" s="57">
        <v>46080</v>
      </c>
      <c r="B47" s="14">
        <v>380</v>
      </c>
      <c r="C47" s="58" t="str">
        <f>IFERROR(VLOOKUP(B:B,'SALDO ATUAL'!$A$3:$E$9999,3,0),"")</f>
        <v>CREME 2 CLAREADOR INTENSO INC BEAUTY</v>
      </c>
      <c r="D47" s="59" t="str">
        <f>IFERROR(VLOOKUP(B:B,'SALDO ATUAL'!$A$3:$E1039,4,0),"")</f>
        <v>MANIPULADOS</v>
      </c>
      <c r="E47" s="60" t="str">
        <f>IFERROR(VLOOKUP(B:B,'SALDO ATUAL'!$A$3:$E$999,5,0),"")</f>
        <v xml:space="preserve">018- Grama </v>
      </c>
      <c r="F47" s="15">
        <v>1</v>
      </c>
      <c r="G47" s="61"/>
      <c r="H47" s="56"/>
      <c r="I47" s="5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6.25" customHeight="1">
      <c r="A48" s="57">
        <v>46080</v>
      </c>
      <c r="B48" s="14">
        <v>220</v>
      </c>
      <c r="C48" s="58" t="str">
        <f>IFERROR(VLOOKUP(B:B,'SALDO ATUAL'!$A$3:$E$9999,3,0),"")</f>
        <v>MASCARA ARGILA INC BEAUTY</v>
      </c>
      <c r="D48" s="59" t="str">
        <f>IFERROR(VLOOKUP(B:B,'SALDO ATUAL'!$A$3:$E1040,4,0),"")</f>
        <v>MANIPULADOS</v>
      </c>
      <c r="E48" s="60" t="str">
        <f>IFERROR(VLOOKUP(B:B,'SALDO ATUAL'!$A$3:$E$999,5,0),"")</f>
        <v>018 - Grama</v>
      </c>
      <c r="F48" s="15">
        <v>2</v>
      </c>
      <c r="G48" s="61"/>
      <c r="H48" s="56"/>
      <c r="I48" s="5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6.25" customHeight="1">
      <c r="A49" s="57">
        <v>46080</v>
      </c>
      <c r="B49" s="14">
        <v>96</v>
      </c>
      <c r="C49" s="58" t="str">
        <f>IFERROR(VLOOKUP(B:B,'SALDO ATUAL'!$A$3:$E$9999,3,0),"")</f>
        <v>CREME CALMANTE NIACINAMIDA INC BEAUTY</v>
      </c>
      <c r="D49" s="59" t="str">
        <f>IFERROR(VLOOKUP(B:B,'SALDO ATUAL'!$A$3:$E1041,4,0),"")</f>
        <v>MANIPULADOS</v>
      </c>
      <c r="E49" s="60" t="str">
        <f>IFERROR(VLOOKUP(B:B,'SALDO ATUAL'!$A$3:$E$999,5,0),"")</f>
        <v>018 - Grama</v>
      </c>
      <c r="F49" s="15">
        <v>2</v>
      </c>
      <c r="G49" s="61"/>
      <c r="H49" s="56"/>
      <c r="I49" s="5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6.25" customHeight="1">
      <c r="A50" s="57">
        <v>46080</v>
      </c>
      <c r="B50" s="14">
        <v>50</v>
      </c>
      <c r="C50" s="58" t="str">
        <f>IFERROR(VLOOKUP(B:B,'SALDO ATUAL'!$A$3:$E$9999,3,0),"")</f>
        <v>BÁLSAMO DE LIMPEZA FACIAL OLERA</v>
      </c>
      <c r="D50" s="59" t="str">
        <f>IFERROR(VLOOKUP(B:B,'SALDO ATUAL'!$A$3:$E1042,4,0),"")</f>
        <v>DERMOCOSMÉTICO E COSMÉTICO</v>
      </c>
      <c r="E50" s="60" t="str">
        <f>IFERROR(VLOOKUP(B:B,'SALDO ATUAL'!$A$3:$E$999,5,0),"")</f>
        <v>013 - Frasco</v>
      </c>
      <c r="F50" s="15">
        <v>2</v>
      </c>
      <c r="G50" s="61"/>
      <c r="H50" s="56"/>
      <c r="I50" s="5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6.25" customHeight="1">
      <c r="A51" s="57">
        <v>46080</v>
      </c>
      <c r="B51" s="14">
        <v>98</v>
      </c>
      <c r="C51" s="58" t="str">
        <f>IFERROR(VLOOKUP(B:B,'SALDO ATUAL'!$A$3:$E$9999,3,0),"")</f>
        <v>CREME COM NUTRI OMEGA + ASSOCIAÇÕES INC BEAUTY</v>
      </c>
      <c r="D51" s="59" t="str">
        <f>IFERROR(VLOOKUP(B:B,'SALDO ATUAL'!$A$3:$E1043,4,0),"")</f>
        <v>MANIPULADOS</v>
      </c>
      <c r="E51" s="60" t="str">
        <f>IFERROR(VLOOKUP(B:B,'SALDO ATUAL'!$A$3:$E$999,5,0),"")</f>
        <v>018 - Grama</v>
      </c>
      <c r="F51" s="15">
        <v>1</v>
      </c>
      <c r="G51" s="61"/>
      <c r="H51" s="56"/>
      <c r="I51" s="5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6.25" customHeight="1">
      <c r="A52" s="57">
        <v>46080</v>
      </c>
      <c r="B52" s="14">
        <v>294</v>
      </c>
      <c r="C52" s="58" t="str">
        <f>IFERROR(VLOOKUP(B:B,'SALDO ATUAL'!$A$3:$E$9999,3,0),"")</f>
        <v>SERINGA 3ML LOCK - ROSCA DESCARPACK</v>
      </c>
      <c r="D52" s="59" t="str">
        <f>IFERROR(VLOOKUP(B:B,'SALDO ATUAL'!$A$3:$E1044,4,0),"")</f>
        <v>SERINGA</v>
      </c>
      <c r="E52" s="60" t="str">
        <f>IFERROR(VLOOKUP(B:B,'SALDO ATUAL'!$A$3:$E$999,5,0),"")</f>
        <v>031- Seringa</v>
      </c>
      <c r="F52" s="15">
        <v>10</v>
      </c>
      <c r="G52" s="61"/>
      <c r="H52" s="56"/>
      <c r="I52" s="5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6.25" customHeight="1">
      <c r="A53" s="57">
        <v>46080</v>
      </c>
      <c r="B53" s="14">
        <v>1</v>
      </c>
      <c r="C53" s="58" t="str">
        <f>IFERROR(VLOOKUP(B:B,'SALDO ATUAL'!$A$3:$E$9999,3,0),"")</f>
        <v>AC. ALFA LIPOICO OPTMUS</v>
      </c>
      <c r="D53" s="59" t="str">
        <f>IFERROR(VLOOKUP(B:B,'SALDO ATUAL'!$A$3:$E1045,4,0),"")</f>
        <v>ATIVOS</v>
      </c>
      <c r="E53" s="60" t="str">
        <f>IFERROR(VLOOKUP(B:B,'SALDO ATUAL'!$A$3:$E$999,5,0),"")</f>
        <v>001 - Ampola</v>
      </c>
      <c r="F53" s="15">
        <v>1</v>
      </c>
      <c r="G53" s="61"/>
      <c r="H53" s="56"/>
      <c r="I53" s="5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6.25" customHeight="1">
      <c r="A54" s="57">
        <v>46080</v>
      </c>
      <c r="B54" s="14">
        <v>80</v>
      </c>
      <c r="C54" s="58" t="str">
        <f>IFERROR(VLOOKUP(B:B,'SALDO ATUAL'!$A$3:$E$9999,3,0),"")</f>
        <v>CLORETO DE MAGNESIO OPTMUS</v>
      </c>
      <c r="D54" s="59" t="str">
        <f>IFERROR(VLOOKUP(B:B,'SALDO ATUAL'!$A$3:$E1046,4,0),"")</f>
        <v>ATIVOS</v>
      </c>
      <c r="E54" s="60" t="str">
        <f>IFERROR(VLOOKUP(B:B,'SALDO ATUAL'!$A$3:$E$999,5,0),"")</f>
        <v>001- Ampola</v>
      </c>
      <c r="F54" s="15">
        <v>1</v>
      </c>
      <c r="G54" s="61"/>
      <c r="H54" s="56"/>
      <c r="I54" s="5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6.25" customHeight="1">
      <c r="A55" s="57">
        <v>46080</v>
      </c>
      <c r="B55" s="14">
        <v>284</v>
      </c>
      <c r="C55" s="58" t="str">
        <f>IFERROR(VLOOKUP(B:B,'SALDO ATUAL'!$A$3:$E$9999,3,0),"")</f>
        <v>RESVERASROL OPTIMUS</v>
      </c>
      <c r="D55" s="59" t="str">
        <f>IFERROR(VLOOKUP(B:B,'SALDO ATUAL'!$A$3:$E1047,4,0),"")</f>
        <v>ATIVOS</v>
      </c>
      <c r="E55" s="60" t="str">
        <f>IFERROR(VLOOKUP(B:B,'SALDO ATUAL'!$A$3:$E$999,5,0),"")</f>
        <v>001- Ampola</v>
      </c>
      <c r="F55" s="64">
        <v>1</v>
      </c>
      <c r="G55" s="61"/>
      <c r="H55" s="56"/>
      <c r="I55" s="5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6.25" customHeight="1">
      <c r="A56" s="57">
        <v>46080</v>
      </c>
      <c r="B56" s="14">
        <v>322</v>
      </c>
      <c r="C56" s="58" t="str">
        <f>IFERROR(VLOOKUP(B:B,'SALDO ATUAL'!$A$3:$E$9999,3,0),"")</f>
        <v>SULF . DE ZINCO OPTIMUS</v>
      </c>
      <c r="D56" s="59" t="str">
        <f>IFERROR(VLOOKUP(B:B,'SALDO ATUAL'!$A$3:$E1048,4,0),"")</f>
        <v>INJETAVEL</v>
      </c>
      <c r="E56" s="60" t="str">
        <f>IFERROR(VLOOKUP(B:B,'SALDO ATUAL'!$A$3:$E$999,5,0),"")</f>
        <v>001 - Ampola</v>
      </c>
      <c r="F56" s="15">
        <v>1</v>
      </c>
      <c r="G56" s="61"/>
      <c r="H56" s="56"/>
      <c r="I56" s="5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6.25" customHeight="1">
      <c r="A57" s="57">
        <v>46080</v>
      </c>
      <c r="B57" s="14">
        <v>288</v>
      </c>
      <c r="C57" s="58" t="str">
        <f>IFERROR(VLOOKUP(B:B,'SALDO ATUAL'!$A$3:$E$9999,3,0),"")</f>
        <v>SELENIO OPTIMUS</v>
      </c>
      <c r="D57" s="59" t="str">
        <f>IFERROR(VLOOKUP(B:B,'SALDO ATUAL'!$A$3:$E1049,4,0),"")</f>
        <v>ATIVOS</v>
      </c>
      <c r="E57" s="60" t="str">
        <f>IFERROR(VLOOKUP(B:B,'SALDO ATUAL'!$A$3:$E$999,5,0),"")</f>
        <v>001- Ampola</v>
      </c>
      <c r="F57" s="15">
        <v>1</v>
      </c>
      <c r="G57" s="61"/>
      <c r="H57" s="56"/>
      <c r="I57" s="5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6.25" customHeight="1">
      <c r="A58" s="57">
        <v>46080</v>
      </c>
      <c r="B58" s="14">
        <v>335</v>
      </c>
      <c r="C58" s="58" t="str">
        <f>IFERROR(VLOOKUP(B:B,'SALDO ATUAL'!$A$3:$E$9999,3,0),"")</f>
        <v>VITAMINA B12 OPTIMUS</v>
      </c>
      <c r="D58" s="59" t="str">
        <f>IFERROR(VLOOKUP(B:B,'SALDO ATUAL'!$A$3:$E1050,4,0),"")</f>
        <v>ATIVOS</v>
      </c>
      <c r="E58" s="60" t="str">
        <f>IFERROR(VLOOKUP(B:B,'SALDO ATUAL'!$A$3:$E$999,5,0),"")</f>
        <v xml:space="preserve">001- Ampola </v>
      </c>
      <c r="F58" s="15">
        <v>1</v>
      </c>
      <c r="G58" s="61"/>
      <c r="H58" s="56"/>
      <c r="I58" s="5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6.25" customHeight="1">
      <c r="A59" s="57">
        <v>46080</v>
      </c>
      <c r="B59" s="14">
        <v>324</v>
      </c>
      <c r="C59" s="58" t="str">
        <f>IFERROR(VLOOKUP(B:B,'SALDO ATUAL'!$A$3:$E$9999,3,0),"")</f>
        <v>TIMOMODULINA OPTIMUS</v>
      </c>
      <c r="D59" s="59" t="str">
        <f>IFERROR(VLOOKUP(B:B,'SALDO ATUAL'!$A$3:$E1051,4,0),"")</f>
        <v>ATIVOS</v>
      </c>
      <c r="E59" s="60" t="str">
        <f>IFERROR(VLOOKUP(B:B,'SALDO ATUAL'!$A$3:$E$999,5,0),"")</f>
        <v>001 - Ampola</v>
      </c>
      <c r="F59" s="15">
        <v>1</v>
      </c>
      <c r="G59" s="61"/>
      <c r="H59" s="56"/>
      <c r="I59" s="5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6.25" customHeight="1">
      <c r="A60" s="57">
        <v>46080</v>
      </c>
      <c r="B60" s="62">
        <v>26</v>
      </c>
      <c r="C60" s="58" t="str">
        <f>IFERROR(VLOOKUP(B:B,'SALDO ATUAL'!$A$3:$E$9999,3,0),"")</f>
        <v>AH BELOTERO VOLUME</v>
      </c>
      <c r="D60" s="59" t="str">
        <f>IFERROR(VLOOKUP(B:B,'SALDO ATUAL'!$A$3:$E1052,4,0),"")</f>
        <v>PREENCHEDOR</v>
      </c>
      <c r="E60" s="60" t="str">
        <f>IFERROR(VLOOKUP(B:B,'SALDO ATUAL'!$A$3:$E$999,5,0),"")</f>
        <v>023 - Mililitro</v>
      </c>
      <c r="F60" s="15">
        <v>1</v>
      </c>
      <c r="G60" s="61"/>
      <c r="H60" s="56"/>
      <c r="I60" s="5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6.25" customHeight="1">
      <c r="A61" s="57">
        <v>46080</v>
      </c>
      <c r="B61" s="14">
        <v>25</v>
      </c>
      <c r="C61" s="58" t="str">
        <f>IFERROR(VLOOKUP(B:B,'SALDO ATUAL'!$A$3:$E$9999,3,0),"")</f>
        <v>AH BELOTERO INTENSE</v>
      </c>
      <c r="D61" s="59" t="str">
        <f>IFERROR(VLOOKUP(B:B,'SALDO ATUAL'!$A$3:$E1053,4,0),"")</f>
        <v>PREENCHEDOR</v>
      </c>
      <c r="E61" s="60" t="str">
        <f>IFERROR(VLOOKUP(B:B,'SALDO ATUAL'!$A$3:$E$999,5,0),"")</f>
        <v>023 - Mililitro</v>
      </c>
      <c r="F61" s="15">
        <v>7</v>
      </c>
      <c r="G61" s="61"/>
      <c r="H61" s="56"/>
      <c r="I61" s="5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6.25" customHeight="1">
      <c r="A62" s="57">
        <v>46083</v>
      </c>
      <c r="B62" s="14">
        <v>209</v>
      </c>
      <c r="C62" s="58" t="str">
        <f>IFERROR(VLOOKUP(B:B,'SALDO ATUAL'!$A$3:$E$9999,3,0),"")</f>
        <v>LENÇOL SEM ELÁSTICO DEXCAR</v>
      </c>
      <c r="D62" s="59" t="str">
        <f>IFERROR(VLOOKUP(B:B,'SALDO ATUAL'!$A$3:$E1054,4,0),"")</f>
        <v>MATERIAIS DESCARTÁVEIS E APOIO</v>
      </c>
      <c r="E62" s="60" t="str">
        <f>IFERROR(VLOOKUP(B:B,'SALDO ATUAL'!$A$3:$E$999,5,0),"")</f>
        <v>036-Unidades</v>
      </c>
      <c r="F62" s="15">
        <v>1</v>
      </c>
      <c r="G62" s="61"/>
      <c r="H62" s="56"/>
      <c r="I62" s="5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6.25" customHeight="1">
      <c r="A63" s="57">
        <v>46083</v>
      </c>
      <c r="B63" s="14">
        <v>89</v>
      </c>
      <c r="C63" s="58" t="str">
        <f>IFERROR(VLOOKUP(B:B,'SALDO ATUAL'!$A$3:$E$9999,3,0),"")</f>
        <v>COMPRESSA GAZE 13 FIOS C/ 500 UNID MEDI HOUSE</v>
      </c>
      <c r="D63" s="59" t="str">
        <f>IFERROR(VLOOKUP(B:B,'SALDO ATUAL'!$A$3:$E1055,4,0),"")</f>
        <v>MATERIAIS DESCARTÁVEIS E APOIO</v>
      </c>
      <c r="E63" s="60" t="str">
        <f>IFERROR(VLOOKUP(B:B,'SALDO ATUAL'!$A$3:$E$999,5,0),"")</f>
        <v>036 - Unidade</v>
      </c>
      <c r="F63" s="15">
        <v>1</v>
      </c>
      <c r="G63" s="61"/>
      <c r="H63" s="56"/>
      <c r="I63" s="5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6.25" customHeight="1">
      <c r="A64" s="57">
        <v>46083</v>
      </c>
      <c r="B64" s="14">
        <v>294</v>
      </c>
      <c r="C64" s="58" t="str">
        <f>IFERROR(VLOOKUP(B:B,'SALDO ATUAL'!$A$3:$E$9999,3,0),"")</f>
        <v>SERINGA 3ML LOCK - ROSCA DESCARPACK</v>
      </c>
      <c r="D64" s="59" t="str">
        <f>IFERROR(VLOOKUP(B:B,'SALDO ATUAL'!$A$3:$E1056,4,0),"")</f>
        <v>SERINGA</v>
      </c>
      <c r="E64" s="60" t="str">
        <f>IFERROR(VLOOKUP(B:B,'SALDO ATUAL'!$A$3:$E$999,5,0),"")</f>
        <v>031- Seringa</v>
      </c>
      <c r="F64" s="15">
        <v>20</v>
      </c>
      <c r="G64" s="61"/>
      <c r="H64" s="56"/>
      <c r="I64" s="5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6.25" customHeight="1">
      <c r="A65" s="57">
        <v>46083</v>
      </c>
      <c r="B65" s="14">
        <v>373</v>
      </c>
      <c r="C65" s="58" t="str">
        <f>IFERROR(VLOOKUP(B:B,'SALDO ATUAL'!$A$3:$E$9999,3,0),"")</f>
        <v>TOUCA TNT DEXCAR</v>
      </c>
      <c r="D65" s="59" t="str">
        <f>IFERROR(VLOOKUP(B:B,'SALDO ATUAL'!$A$3:$E1057,4,0),"")</f>
        <v>MATERIAIS DESCARTÁVEIS E APOIO</v>
      </c>
      <c r="E65" s="60" t="str">
        <f>IFERROR(VLOOKUP(B:B,'SALDO ATUAL'!$A$3:$E$999,5,0),"")</f>
        <v>036- Unidade</v>
      </c>
      <c r="F65" s="15">
        <v>1</v>
      </c>
      <c r="G65" s="61"/>
      <c r="H65" s="56"/>
      <c r="I65" s="5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6.25" customHeight="1">
      <c r="A66" s="57">
        <v>46083</v>
      </c>
      <c r="B66" s="14">
        <v>218</v>
      </c>
      <c r="C66" s="58" t="str">
        <f>IFERROR(VLOOKUP(B:B,'SALDO ATUAL'!$A$3:$E$9999,3,0),"")</f>
        <v>LUVA P SEM PÓ DESCARPACK</v>
      </c>
      <c r="D66" s="59" t="str">
        <f>IFERROR(VLOOKUP(B:B,'SALDO ATUAL'!$A$3:$E1058,4,0),"")</f>
        <v>MATERIAIS DESCARTÁVEIS E APOIO</v>
      </c>
      <c r="E66" s="60" t="str">
        <f>IFERROR(VLOOKUP(B:B,'SALDO ATUAL'!$A$3:$E$999,5,0),"")</f>
        <v>005- Caixa</v>
      </c>
      <c r="F66" s="15">
        <v>1</v>
      </c>
      <c r="G66" s="61"/>
      <c r="H66" s="56"/>
      <c r="I66" s="5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6.25" customHeight="1">
      <c r="A67" s="57">
        <v>46083</v>
      </c>
      <c r="B67" s="14">
        <v>93</v>
      </c>
      <c r="C67" s="58" t="str">
        <f>IFERROR(VLOOKUP(B:B,'SALDO ATUAL'!$A$3:$E$9999,3,0),"")</f>
        <v>COTONETES CREMER</v>
      </c>
      <c r="D67" s="59" t="str">
        <f>IFERROR(VLOOKUP(B:B,'SALDO ATUAL'!$A$3:$E1059,4,0),"")</f>
        <v>MATERIAIS DESCARTÁVEIS E APOIO</v>
      </c>
      <c r="E67" s="60" t="str">
        <f>IFERROR(VLOOKUP(B:B,'SALDO ATUAL'!$A$3:$E$999,5,0),"")</f>
        <v>036 - Unidade</v>
      </c>
      <c r="F67" s="15">
        <v>1</v>
      </c>
      <c r="G67" s="61"/>
      <c r="H67" s="56"/>
      <c r="I67" s="5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6.25" customHeight="1">
      <c r="A68" s="57">
        <v>46083</v>
      </c>
      <c r="B68" s="14">
        <v>101</v>
      </c>
      <c r="C68" s="58" t="str">
        <f>IFERROR(VLOOKUP(B:B,'SALDO ATUAL'!$A$3:$E$9999,3,0),"")</f>
        <v>CRIOGENIO DENSITY</v>
      </c>
      <c r="D68" s="59" t="str">
        <f>IFERROR(VLOOKUP(B:B,'SALDO ATUAL'!$A$3:$E1060,4,0),"")</f>
        <v>MATERIAIS DESCARTÁVEIS E APOIO</v>
      </c>
      <c r="E68" s="60" t="str">
        <f>IFERROR(VLOOKUP(B:B,'SALDO ATUAL'!$A$3:$E$999,5,0),"")</f>
        <v>018 - Grama</v>
      </c>
      <c r="F68" s="15">
        <v>1</v>
      </c>
      <c r="G68" s="61"/>
      <c r="H68" s="56"/>
      <c r="I68" s="5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6.25" customHeight="1">
      <c r="A69" s="57">
        <v>46083</v>
      </c>
      <c r="B69" s="62">
        <v>220</v>
      </c>
      <c r="C69" s="58" t="str">
        <f>IFERROR(VLOOKUP(B:B,'SALDO ATUAL'!$A$3:$E$9999,3,0),"")</f>
        <v>MASCARA ARGILA INC BEAUTY</v>
      </c>
      <c r="D69" s="59" t="str">
        <f>IFERROR(VLOOKUP(B:B,'SALDO ATUAL'!$A$3:$E1061,4,0),"")</f>
        <v>MANIPULADOS</v>
      </c>
      <c r="E69" s="60" t="str">
        <f>IFERROR(VLOOKUP(B:B,'SALDO ATUAL'!$A$3:$E$999,5,0),"")</f>
        <v>018 - Grama</v>
      </c>
      <c r="F69" s="15">
        <v>1</v>
      </c>
      <c r="G69" s="61"/>
      <c r="H69" s="56"/>
      <c r="I69" s="5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6.25" customHeight="1">
      <c r="A70" s="57">
        <v>46083</v>
      </c>
      <c r="B70" s="14">
        <v>380</v>
      </c>
      <c r="C70" s="58" t="str">
        <f>IFERROR(VLOOKUP(B:B,'SALDO ATUAL'!$A$3:$E$9999,3,0),"")</f>
        <v>CREME 2 CLAREADOR INTENSO INC BEAUTY</v>
      </c>
      <c r="D70" s="59" t="str">
        <f>IFERROR(VLOOKUP(B:B,'SALDO ATUAL'!$A$3:$E1062,4,0),"")</f>
        <v>MANIPULADOS</v>
      </c>
      <c r="E70" s="60" t="str">
        <f>IFERROR(VLOOKUP(B:B,'SALDO ATUAL'!$A$3:$E$999,5,0),"")</f>
        <v xml:space="preserve">018- Grama </v>
      </c>
      <c r="F70" s="15">
        <v>1</v>
      </c>
      <c r="G70" s="61"/>
      <c r="H70" s="56"/>
      <c r="I70" s="5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6.25" customHeight="1">
      <c r="A71" s="57">
        <v>46083</v>
      </c>
      <c r="B71" s="14">
        <v>50</v>
      </c>
      <c r="C71" s="58" t="str">
        <f>IFERROR(VLOOKUP(B:B,'SALDO ATUAL'!$A$3:$E$9999,3,0),"")</f>
        <v>BÁLSAMO DE LIMPEZA FACIAL OLERA</v>
      </c>
      <c r="D71" s="59" t="str">
        <f>IFERROR(VLOOKUP(B:B,'SALDO ATUAL'!$A$3:$E1063,4,0),"")</f>
        <v>DERMOCOSMÉTICO E COSMÉTICO</v>
      </c>
      <c r="E71" s="60" t="str">
        <f>IFERROR(VLOOKUP(B:B,'SALDO ATUAL'!$A$3:$E$999,5,0),"")</f>
        <v>013 - Frasco</v>
      </c>
      <c r="F71" s="15">
        <v>1</v>
      </c>
      <c r="G71" s="61"/>
      <c r="H71" s="56"/>
      <c r="I71" s="5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6.25" customHeight="1">
      <c r="A72" s="57">
        <v>46083</v>
      </c>
      <c r="B72" s="14">
        <v>25</v>
      </c>
      <c r="C72" s="58" t="str">
        <f>IFERROR(VLOOKUP(B:B,'SALDO ATUAL'!$A$3:$E$9999,3,0),"")</f>
        <v>AH BELOTERO INTENSE</v>
      </c>
      <c r="D72" s="59" t="str">
        <f>IFERROR(VLOOKUP(B:B,'SALDO ATUAL'!$A$3:$E1064,4,0),"")</f>
        <v>PREENCHEDOR</v>
      </c>
      <c r="E72" s="60" t="str">
        <f>IFERROR(VLOOKUP(B:B,'SALDO ATUAL'!$A$3:$E$999,5,0),"")</f>
        <v>023 - Mililitro</v>
      </c>
      <c r="F72" s="15">
        <v>3</v>
      </c>
      <c r="G72" s="61"/>
      <c r="H72" s="56"/>
      <c r="I72" s="5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6.25" customHeight="1">
      <c r="A73" s="57">
        <v>46083</v>
      </c>
      <c r="B73" s="14">
        <v>24</v>
      </c>
      <c r="C73" s="58" t="str">
        <f>IFERROR(VLOOKUP(B:B,'SALDO ATUAL'!$A$3:$E$9999,3,0),"")</f>
        <v>AH BELOTERO BALANCE</v>
      </c>
      <c r="D73" s="59" t="str">
        <f>IFERROR(VLOOKUP(B:B,'SALDO ATUAL'!$A$3:$E1065,4,0),"")</f>
        <v>PREENCHEDOR</v>
      </c>
      <c r="E73" s="60" t="str">
        <f>IFERROR(VLOOKUP(B:B,'SALDO ATUAL'!$A$3:$E$999,5,0),"")</f>
        <v>023 - Mililitro</v>
      </c>
      <c r="F73" s="15">
        <v>1</v>
      </c>
      <c r="G73" s="61"/>
      <c r="H73" s="56"/>
      <c r="I73" s="5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6.25" customHeight="1">
      <c r="A74" s="57">
        <v>46083</v>
      </c>
      <c r="B74" s="62">
        <v>275</v>
      </c>
      <c r="C74" s="58" t="str">
        <f>IFERROR(VLOOKUP(B:B,'SALDO ATUAL'!$A$3:$E$9999,3,0),"")</f>
        <v>PROFHILO</v>
      </c>
      <c r="D74" s="59" t="str">
        <f>IFERROR(VLOOKUP(B:B,'SALDO ATUAL'!$A$3:$E1066,4,0),"")</f>
        <v>BIORREMODULADOR</v>
      </c>
      <c r="E74" s="60" t="str">
        <f>IFERROR(VLOOKUP(B:B,'SALDO ATUAL'!$A$3:$E$999,5,0),"")</f>
        <v>031- Seringa</v>
      </c>
      <c r="F74" s="15">
        <v>5</v>
      </c>
      <c r="G74" s="61"/>
      <c r="H74" s="56"/>
      <c r="I74" s="5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6.25" customHeight="1">
      <c r="A75" s="57">
        <v>46084</v>
      </c>
      <c r="B75" s="62">
        <v>84</v>
      </c>
      <c r="C75" s="58" t="str">
        <f>IFERROR(VLOOKUP(B:B,'SALDO ATUAL'!$A$3:$E$9999,3,0),"")</f>
        <v>COLETOR PERFUROCORTANTE 3L DESCARPACK</v>
      </c>
      <c r="D75" s="59" t="str">
        <f>IFERROR(VLOOKUP(B:B,'SALDO ATUAL'!$A$3:$E1067,4,0),"")</f>
        <v>MATERIAIS DESCARTÁVEIS E APOIO</v>
      </c>
      <c r="E75" s="60" t="str">
        <f>IFERROR(VLOOKUP(B:B,'SALDO ATUAL'!$A$3:$E$999,5,0),"")</f>
        <v>036 - Unidade</v>
      </c>
      <c r="F75" s="15">
        <v>1</v>
      </c>
      <c r="G75" s="61"/>
      <c r="H75" s="56"/>
      <c r="I75" s="5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6.25" customHeight="1">
      <c r="A76" s="57">
        <v>46084</v>
      </c>
      <c r="B76" s="62">
        <v>336</v>
      </c>
      <c r="C76" s="58" t="str">
        <f>IFERROR(VLOOKUP(B:B,'SALDO ATUAL'!$A$3:$E$9999,3,0),"")</f>
        <v>VITAMINA C OPTIMUS</v>
      </c>
      <c r="D76" s="59" t="str">
        <f>IFERROR(VLOOKUP(B:B,'SALDO ATUAL'!$A$3:$E1068,4,0),"")</f>
        <v>ATIVOS</v>
      </c>
      <c r="E76" s="60" t="str">
        <f>IFERROR(VLOOKUP(B:B,'SALDO ATUAL'!$A$3:$E$999,5,0),"")</f>
        <v xml:space="preserve">001- Ampola </v>
      </c>
      <c r="F76" s="15">
        <v>1</v>
      </c>
      <c r="G76" s="61"/>
      <c r="H76" s="56"/>
      <c r="I76" s="5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6.25" customHeight="1">
      <c r="A77" s="57">
        <v>46084</v>
      </c>
      <c r="B77" s="62">
        <v>322</v>
      </c>
      <c r="C77" s="58" t="str">
        <f>IFERROR(VLOOKUP(B:B,'SALDO ATUAL'!$A$3:$E$9999,3,0),"")</f>
        <v>SULF . DE ZINCO OPTIMUS</v>
      </c>
      <c r="D77" s="59" t="str">
        <f>IFERROR(VLOOKUP(B:B,'SALDO ATUAL'!$A$3:$E1069,4,0),"")</f>
        <v>INJETAVEL</v>
      </c>
      <c r="E77" s="60" t="str">
        <f>IFERROR(VLOOKUP(B:B,'SALDO ATUAL'!$A$3:$E$999,5,0),"")</f>
        <v>001 - Ampola</v>
      </c>
      <c r="F77" s="15">
        <v>1</v>
      </c>
      <c r="G77" s="61"/>
      <c r="H77" s="56"/>
      <c r="I77" s="5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6.25" customHeight="1">
      <c r="A78" s="57">
        <v>46084</v>
      </c>
      <c r="B78" s="62">
        <v>335</v>
      </c>
      <c r="C78" s="58" t="str">
        <f>IFERROR(VLOOKUP(B:B,'SALDO ATUAL'!$A$3:$E$9999,3,0),"")</f>
        <v>VITAMINA B12 OPTIMUS</v>
      </c>
      <c r="D78" s="59" t="str">
        <f>IFERROR(VLOOKUP(B:B,'SALDO ATUAL'!$A$3:$E1070,4,0),"")</f>
        <v>ATIVOS</v>
      </c>
      <c r="E78" s="60" t="str">
        <f>IFERROR(VLOOKUP(B:B,'SALDO ATUAL'!$A$3:$E$999,5,0),"")</f>
        <v xml:space="preserve">001- Ampola </v>
      </c>
      <c r="F78" s="15">
        <v>1</v>
      </c>
      <c r="G78" s="61"/>
      <c r="H78" s="56"/>
      <c r="I78" s="5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6.25" customHeight="1">
      <c r="A79" s="57">
        <v>46084</v>
      </c>
      <c r="B79" s="62">
        <v>288</v>
      </c>
      <c r="C79" s="58" t="str">
        <f>IFERROR(VLOOKUP(B:B,'SALDO ATUAL'!$A$3:$E$9999,3,0),"")</f>
        <v>SELENIO OPTIMUS</v>
      </c>
      <c r="D79" s="59" t="str">
        <f>IFERROR(VLOOKUP(B:B,'SALDO ATUAL'!$A$3:$E1071,4,0),"")</f>
        <v>ATIVOS</v>
      </c>
      <c r="E79" s="60" t="str">
        <f>IFERROR(VLOOKUP(B:B,'SALDO ATUAL'!$A$3:$E$999,5,0),"")</f>
        <v>001- Ampola</v>
      </c>
      <c r="F79" s="15">
        <v>1</v>
      </c>
      <c r="G79" s="61"/>
      <c r="H79" s="56"/>
      <c r="I79" s="5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6.25" customHeight="1">
      <c r="A80" s="57">
        <v>46084</v>
      </c>
      <c r="B80" s="62">
        <v>324</v>
      </c>
      <c r="C80" s="58" t="str">
        <f>IFERROR(VLOOKUP(B:B,'SALDO ATUAL'!$A$3:$E$9999,3,0),"")</f>
        <v>TIMOMODULINA OPTIMUS</v>
      </c>
      <c r="D80" s="59" t="str">
        <f>IFERROR(VLOOKUP(B:B,'SALDO ATUAL'!$A$3:$E1072,4,0),"")</f>
        <v>ATIVOS</v>
      </c>
      <c r="E80" s="60" t="str">
        <f>IFERROR(VLOOKUP(B:B,'SALDO ATUAL'!$A$3:$E$999,5,0),"")</f>
        <v>001 - Ampola</v>
      </c>
      <c r="F80" s="15">
        <v>1</v>
      </c>
      <c r="G80" s="61"/>
      <c r="H80" s="56"/>
      <c r="I80" s="5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6.25" customHeight="1">
      <c r="A81" s="57">
        <v>46084</v>
      </c>
      <c r="B81" s="62">
        <v>357</v>
      </c>
      <c r="C81" s="58" t="str">
        <f>IFERROR(VLOOKUP(B:B,'SALDO ATUAL'!$A$3:$E$9999,3,0),"")</f>
        <v>SORO  EV 250ML</v>
      </c>
      <c r="D81" s="59" t="str">
        <f>IFERROR(VLOOKUP(B:B,'SALDO ATUAL'!$A$3:$E1073,4,0),"")</f>
        <v>MATERIAIS DESCARTÁVEIS E APOIO</v>
      </c>
      <c r="E81" s="60" t="str">
        <f>IFERROR(VLOOKUP(B:B,'SALDO ATUAL'!$A$3:$E$999,5,0),"")</f>
        <v xml:space="preserve">036- Unidade </v>
      </c>
      <c r="F81" s="15">
        <v>2</v>
      </c>
      <c r="G81" s="61"/>
      <c r="H81" s="56"/>
      <c r="I81" s="5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6.25" customHeight="1">
      <c r="A82" s="57">
        <v>46084</v>
      </c>
      <c r="B82" s="62">
        <v>354</v>
      </c>
      <c r="C82" s="58" t="str">
        <f>IFERROR(VLOOKUP(B:B,'SALDO ATUAL'!$A$3:$E$9999,3,0),"")</f>
        <v>SCALP 23G</v>
      </c>
      <c r="D82" s="59" t="str">
        <f>IFERROR(VLOOKUP(B:B,'SALDO ATUAL'!$A$3:$E1074,4,0),"")</f>
        <v>AGULHAS</v>
      </c>
      <c r="E82" s="60" t="str">
        <f>IFERROR(VLOOKUP(B:B,'SALDO ATUAL'!$A$3:$E$999,5,0),"")</f>
        <v xml:space="preserve">036- Unidade </v>
      </c>
      <c r="F82" s="15">
        <v>1</v>
      </c>
      <c r="G82" s="61"/>
      <c r="H82" s="56"/>
      <c r="I82" s="5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6.25" customHeight="1">
      <c r="A83" s="57">
        <v>46084</v>
      </c>
      <c r="B83" s="62">
        <v>96</v>
      </c>
      <c r="C83" s="58" t="str">
        <f>IFERROR(VLOOKUP(B:B,'SALDO ATUAL'!$A$3:$E$9999,3,0),"")</f>
        <v>CREME CALMANTE NIACINAMIDA INC BEAUTY</v>
      </c>
      <c r="D83" s="59" t="str">
        <f>IFERROR(VLOOKUP(B:B,'SALDO ATUAL'!$A$3:$E1075,4,0),"")</f>
        <v>MANIPULADOS</v>
      </c>
      <c r="E83" s="60" t="str">
        <f>IFERROR(VLOOKUP(B:B,'SALDO ATUAL'!$A$3:$E$999,5,0),"")</f>
        <v>018 - Grama</v>
      </c>
      <c r="F83" s="15">
        <v>16</v>
      </c>
      <c r="G83" s="61"/>
      <c r="H83" s="56"/>
      <c r="I83" s="5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6.25" customHeight="1">
      <c r="A84" s="57">
        <v>46084</v>
      </c>
      <c r="B84" s="62">
        <v>250</v>
      </c>
      <c r="C84" s="58" t="str">
        <f>IFERROR(VLOOKUP(B:B,'SALDO ATUAL'!$A$3:$E$9999,3,0),"")</f>
        <v>PANCAKE FPS 50 SUMMER INC BEAUTY</v>
      </c>
      <c r="D84" s="59" t="str">
        <f>IFERROR(VLOOKUP(B:B,'SALDO ATUAL'!$A$3:$E1076,4,0),"")</f>
        <v>MANIPULADOS</v>
      </c>
      <c r="E84" s="60" t="str">
        <f>IFERROR(VLOOKUP(B:B,'SALDO ATUAL'!$A$3:$E$999,5,0),"")</f>
        <v>036-Unidade</v>
      </c>
      <c r="F84" s="15">
        <v>15</v>
      </c>
      <c r="G84" s="61"/>
      <c r="H84" s="56"/>
      <c r="I84" s="5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6.25" customHeight="1">
      <c r="A85" s="57">
        <v>46084</v>
      </c>
      <c r="B85" s="62">
        <v>24</v>
      </c>
      <c r="C85" s="58" t="str">
        <f>IFERROR(VLOOKUP(B:B,'SALDO ATUAL'!$A$3:$E$9999,3,0),"")</f>
        <v>AH BELOTERO BALANCE</v>
      </c>
      <c r="D85" s="59" t="str">
        <f>IFERROR(VLOOKUP(B:B,'SALDO ATUAL'!$A$3:$E1077,4,0),"")</f>
        <v>PREENCHEDOR</v>
      </c>
      <c r="E85" s="60" t="str">
        <f>IFERROR(VLOOKUP(B:B,'SALDO ATUAL'!$A$3:$E$999,5,0),"")</f>
        <v>023 - Mililitro</v>
      </c>
      <c r="F85" s="15">
        <v>1</v>
      </c>
      <c r="G85" s="61"/>
      <c r="H85" s="56"/>
      <c r="I85" s="5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6.25" customHeight="1">
      <c r="A86" s="57">
        <v>46084</v>
      </c>
      <c r="B86" s="14">
        <v>25</v>
      </c>
      <c r="C86" s="58" t="str">
        <f>IFERROR(VLOOKUP(B:B,'SALDO ATUAL'!$A$3:$E$9999,3,0),"")</f>
        <v>AH BELOTERO INTENSE</v>
      </c>
      <c r="D86" s="59" t="str">
        <f>IFERROR(VLOOKUP(B:B,'SALDO ATUAL'!$A$3:$E1078,4,0),"")</f>
        <v>PREENCHEDOR</v>
      </c>
      <c r="E86" s="60" t="str">
        <f>IFERROR(VLOOKUP(B:B,'SALDO ATUAL'!$A$3:$E$999,5,0),"")</f>
        <v>023 - Mililitro</v>
      </c>
      <c r="F86" s="15">
        <v>2</v>
      </c>
      <c r="G86" s="61"/>
      <c r="H86" s="56"/>
      <c r="I86" s="5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6.25" customHeight="1">
      <c r="A87" s="57">
        <v>46084</v>
      </c>
      <c r="B87" s="14">
        <v>26</v>
      </c>
      <c r="C87" s="58" t="str">
        <f>IFERROR(VLOOKUP(B:B,'SALDO ATUAL'!$A$3:$E$9999,3,0),"")</f>
        <v>AH BELOTERO VOLUME</v>
      </c>
      <c r="D87" s="59" t="str">
        <f>IFERROR(VLOOKUP(B:B,'SALDO ATUAL'!$A$3:$E1079,4,0),"")</f>
        <v>PREENCHEDOR</v>
      </c>
      <c r="E87" s="60" t="str">
        <f>IFERROR(VLOOKUP(B:B,'SALDO ATUAL'!$A$3:$E$999,5,0),"")</f>
        <v>023 - Mililitro</v>
      </c>
      <c r="F87" s="15">
        <v>1</v>
      </c>
      <c r="G87" s="61"/>
      <c r="H87" s="56"/>
      <c r="I87" s="5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6.25" customHeight="1">
      <c r="A88" s="57">
        <v>46084</v>
      </c>
      <c r="B88" s="14">
        <v>50</v>
      </c>
      <c r="C88" s="58" t="str">
        <f>IFERROR(VLOOKUP(B:B,'SALDO ATUAL'!$A$3:$E$9999,3,0),"")</f>
        <v>BÁLSAMO DE LIMPEZA FACIAL OLERA</v>
      </c>
      <c r="D88" s="59" t="str">
        <f>IFERROR(VLOOKUP(B:B,'SALDO ATUAL'!$A$3:$E1080,4,0),"")</f>
        <v>DERMOCOSMÉTICO E COSMÉTICO</v>
      </c>
      <c r="E88" s="60" t="str">
        <f>IFERROR(VLOOKUP(B:B,'SALDO ATUAL'!$A$3:$E$999,5,0),"")</f>
        <v>013 - Frasco</v>
      </c>
      <c r="F88" s="15">
        <v>1</v>
      </c>
      <c r="G88" s="61"/>
      <c r="H88" s="56"/>
      <c r="I88" s="5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6.25" customHeight="1">
      <c r="A89" s="57">
        <v>46084</v>
      </c>
      <c r="B89" s="14">
        <v>96</v>
      </c>
      <c r="C89" s="58" t="str">
        <f>IFERROR(VLOOKUP(B:B,'SALDO ATUAL'!$A$3:$E$9999,3,0),"")</f>
        <v>CREME CALMANTE NIACINAMIDA INC BEAUTY</v>
      </c>
      <c r="D89" s="59" t="str">
        <f>IFERROR(VLOOKUP(B:B,'SALDO ATUAL'!$A$3:$E1081,4,0),"")</f>
        <v>MANIPULADOS</v>
      </c>
      <c r="E89" s="60" t="str">
        <f>IFERROR(VLOOKUP(B:B,'SALDO ATUAL'!$A$3:$E$999,5,0),"")</f>
        <v>018 - Grama</v>
      </c>
      <c r="F89" s="15">
        <v>1</v>
      </c>
      <c r="G89" s="61"/>
      <c r="H89" s="56"/>
      <c r="I89" s="5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6.25" customHeight="1">
      <c r="A90" s="57">
        <v>46085</v>
      </c>
      <c r="B90" s="62">
        <v>329</v>
      </c>
      <c r="C90" s="58" t="str">
        <f>IFERROR(VLOOKUP(B:B,'SALDO ATUAL'!$A$3:$E$9999,3,0),"")</f>
        <v>TOXINA BOTULÍNICA XEOMIN 100UI</v>
      </c>
      <c r="D90" s="59" t="str">
        <f>IFERROR(VLOOKUP(B:B,'SALDO ATUAL'!$A$3:$E1082,4,0),"")</f>
        <v>TOXINA</v>
      </c>
      <c r="E90" s="60" t="str">
        <f>IFERROR(VLOOKUP(B:B,'SALDO ATUAL'!$A$3:$E$999,5,0),"")</f>
        <v>037 - Unidade Internacional</v>
      </c>
      <c r="F90" s="15">
        <v>1</v>
      </c>
      <c r="G90" s="61"/>
      <c r="H90" s="56"/>
      <c r="I90" s="5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6.25" customHeight="1">
      <c r="A91" s="57">
        <v>46085</v>
      </c>
      <c r="B91" s="62">
        <v>220</v>
      </c>
      <c r="C91" s="58" t="str">
        <f>IFERROR(VLOOKUP(B:B,'SALDO ATUAL'!$A$3:$E$9999,3,0),"")</f>
        <v>MASCARA ARGILA INC BEAUTY</v>
      </c>
      <c r="D91" s="59" t="str">
        <f>IFERROR(VLOOKUP(B:B,'SALDO ATUAL'!$A$3:$E1083,4,0),"")</f>
        <v>MANIPULADOS</v>
      </c>
      <c r="E91" s="60" t="str">
        <f>IFERROR(VLOOKUP(B:B,'SALDO ATUAL'!$A$3:$E$999,5,0),"")</f>
        <v>018 - Grama</v>
      </c>
      <c r="F91" s="15">
        <v>1</v>
      </c>
      <c r="G91" s="61"/>
      <c r="H91" s="56"/>
      <c r="I91" s="5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6.25" customHeight="1">
      <c r="A92" s="57">
        <v>46086</v>
      </c>
      <c r="B92" s="62">
        <v>103</v>
      </c>
      <c r="C92" s="58" t="str">
        <f>IFERROR(VLOOKUP(B:B,'SALDO ATUAL'!$A$3:$E$9999,3,0),"")</f>
        <v>D PANTENOL OPTIMUS</v>
      </c>
      <c r="D92" s="59" t="str">
        <f>IFERROR(VLOOKUP(B:B,'SALDO ATUAL'!$A$3:$E1084,4,0),"")</f>
        <v>ATIVOS</v>
      </c>
      <c r="E92" s="60" t="str">
        <f>IFERROR(VLOOKUP(B:B,'SALDO ATUAL'!$A$3:$E$999,5,0),"")</f>
        <v>001 - Ampola</v>
      </c>
      <c r="F92" s="15">
        <v>1</v>
      </c>
      <c r="G92" s="61"/>
      <c r="H92" s="56"/>
      <c r="I92" s="5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6.25" customHeight="1">
      <c r="A93" s="57">
        <v>46086</v>
      </c>
      <c r="B93" s="62">
        <v>367</v>
      </c>
      <c r="C93" s="58" t="str">
        <f>IFERROR(VLOOKUP(B:B,'SALDO ATUAL'!$A$3:$E$9999,3,0),"")</f>
        <v>FINASTERIDA OPTIMUS</v>
      </c>
      <c r="D93" s="59" t="str">
        <f>IFERROR(VLOOKUP(B:B,'SALDO ATUAL'!$A$3:$E1085,4,0),"")</f>
        <v>MANIPULADOS</v>
      </c>
      <c r="E93" s="60" t="str">
        <f>IFERROR(VLOOKUP(B:B,'SALDO ATUAL'!$A$3:$E$999,5,0),"")</f>
        <v>023- Mililitro</v>
      </c>
      <c r="F93" s="15">
        <v>1</v>
      </c>
      <c r="G93" s="61"/>
      <c r="H93" s="56"/>
      <c r="I93" s="5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6.25" customHeight="1">
      <c r="A94" s="57">
        <v>46086</v>
      </c>
      <c r="B94" s="62">
        <v>63</v>
      </c>
      <c r="C94" s="58" t="str">
        <f>IFERROR(VLOOKUP(B:B,'SALDO ATUAL'!$A$3:$E$9999,3,0),"")</f>
        <v>BIOTINA OPTIMUS</v>
      </c>
      <c r="D94" s="59" t="str">
        <f>IFERROR(VLOOKUP(B:B,'SALDO ATUAL'!$A$3:$E1086,4,0),"")</f>
        <v>INJETAVEL</v>
      </c>
      <c r="E94" s="60" t="str">
        <f>IFERROR(VLOOKUP(B:B,'SALDO ATUAL'!$A$3:$E$999,5,0),"")</f>
        <v>001 - Ampola</v>
      </c>
      <c r="F94" s="15">
        <v>1</v>
      </c>
      <c r="G94" s="61"/>
      <c r="H94" s="56"/>
      <c r="I94" s="5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6.25" customHeight="1">
      <c r="A95" s="57">
        <v>46086</v>
      </c>
      <c r="B95" s="62">
        <v>220</v>
      </c>
      <c r="C95" s="58" t="str">
        <f>IFERROR(VLOOKUP(B:B,'SALDO ATUAL'!$A$3:$E$9999,3,0),"")</f>
        <v>MASCARA ARGILA INC BEAUTY</v>
      </c>
      <c r="D95" s="59" t="str">
        <f>IFERROR(VLOOKUP(B:B,'SALDO ATUAL'!$A$3:$E1087,4,0),"")</f>
        <v>MANIPULADOS</v>
      </c>
      <c r="E95" s="60" t="str">
        <f>IFERROR(VLOOKUP(B:B,'SALDO ATUAL'!$A$3:$E$999,5,0),"")</f>
        <v>018 - Grama</v>
      </c>
      <c r="F95" s="15">
        <v>3</v>
      </c>
      <c r="G95" s="61"/>
      <c r="H95" s="56"/>
      <c r="I95" s="5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6.25" customHeight="1">
      <c r="A96" s="57">
        <v>46086</v>
      </c>
      <c r="B96" s="62">
        <v>363</v>
      </c>
      <c r="C96" s="58" t="str">
        <f>IFERROR(VLOOKUP(B:B,'SALDO ATUAL'!$A$3:$E$9999,3,0),"")</f>
        <v>ALFA LIPÓICO 600mg OPTIMUS</v>
      </c>
      <c r="D96" s="59" t="str">
        <f>IFERROR(VLOOKUP(B:B,'SALDO ATUAL'!$A$3:$E1088,4,0),"")</f>
        <v>MANIPULADOS</v>
      </c>
      <c r="E96" s="60" t="str">
        <f>IFERROR(VLOOKUP(B:B,'SALDO ATUAL'!$A$3:$E$999,5,0),"")</f>
        <v>023- Mililitro</v>
      </c>
      <c r="F96" s="15">
        <v>1</v>
      </c>
      <c r="G96" s="61"/>
      <c r="H96" s="56"/>
      <c r="I96" s="5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6.25" customHeight="1">
      <c r="A97" s="57">
        <v>46086</v>
      </c>
      <c r="B97" s="62">
        <v>380</v>
      </c>
      <c r="C97" s="58" t="str">
        <f>IFERROR(VLOOKUP(B:B,'SALDO ATUAL'!$A$3:$E$9999,3,0),"")</f>
        <v>CREME 2 CLAREADOR INTENSO INC BEAUTY</v>
      </c>
      <c r="D97" s="59" t="str">
        <f>IFERROR(VLOOKUP(B:B,'SALDO ATUAL'!$A$3:$E1089,4,0),"")</f>
        <v>MANIPULADOS</v>
      </c>
      <c r="E97" s="60" t="str">
        <f>IFERROR(VLOOKUP(B:B,'SALDO ATUAL'!$A$3:$E$999,5,0),"")</f>
        <v xml:space="preserve">018- Grama </v>
      </c>
      <c r="F97" s="15">
        <v>1</v>
      </c>
      <c r="G97" s="61"/>
      <c r="H97" s="56"/>
      <c r="I97" s="5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6.25" customHeight="1">
      <c r="A98" s="57">
        <v>46086</v>
      </c>
      <c r="B98" s="62">
        <v>96</v>
      </c>
      <c r="C98" s="58" t="str">
        <f>IFERROR(VLOOKUP(B:B,'SALDO ATUAL'!$A$3:$E$9999,3,0),"")</f>
        <v>CREME CALMANTE NIACINAMIDA INC BEAUTY</v>
      </c>
      <c r="D98" s="59" t="str">
        <f>IFERROR(VLOOKUP(B:B,'SALDO ATUAL'!$A$3:$E1090,4,0),"")</f>
        <v>MANIPULADOS</v>
      </c>
      <c r="E98" s="60" t="str">
        <f>IFERROR(VLOOKUP(B:B,'SALDO ATUAL'!$A$3:$E$999,5,0),"")</f>
        <v>018 - Grama</v>
      </c>
      <c r="F98" s="15">
        <v>1</v>
      </c>
      <c r="G98" s="61"/>
      <c r="H98" s="56"/>
      <c r="I98" s="5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6.25" customHeight="1">
      <c r="A99" s="57">
        <v>46087</v>
      </c>
      <c r="B99" s="62">
        <v>336</v>
      </c>
      <c r="C99" s="58" t="str">
        <f>IFERROR(VLOOKUP(B:B,'SALDO ATUAL'!$A$3:$E$9999,3,0),"")</f>
        <v>VITAMINA C OPTIMUS</v>
      </c>
      <c r="D99" s="59" t="str">
        <f>IFERROR(VLOOKUP(B:B,'SALDO ATUAL'!$A$3:$E1091,4,0),"")</f>
        <v>ATIVOS</v>
      </c>
      <c r="E99" s="60" t="str">
        <f>IFERROR(VLOOKUP(B:B,'SALDO ATUAL'!$A$3:$E$999,5,0),"")</f>
        <v xml:space="preserve">001- Ampola </v>
      </c>
      <c r="F99" s="15">
        <v>1</v>
      </c>
      <c r="G99" s="61"/>
      <c r="H99" s="56"/>
      <c r="I99" s="5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6.25" customHeight="1">
      <c r="A100" s="57">
        <v>46087</v>
      </c>
      <c r="B100" s="62">
        <v>1</v>
      </c>
      <c r="C100" s="58" t="str">
        <f>IFERROR(VLOOKUP(B:B,'SALDO ATUAL'!$A$3:$E$9999,3,0),"")</f>
        <v>AC. ALFA LIPOICO OPTMUS</v>
      </c>
      <c r="D100" s="59" t="str">
        <f>IFERROR(VLOOKUP(B:B,'SALDO ATUAL'!$A$3:$E1092,4,0),"")</f>
        <v>ATIVOS</v>
      </c>
      <c r="E100" s="60" t="str">
        <f>IFERROR(VLOOKUP(B:B,'SALDO ATUAL'!$A$3:$E$999,5,0),"")</f>
        <v>001 - Ampola</v>
      </c>
      <c r="F100" s="15">
        <v>1</v>
      </c>
      <c r="G100" s="61"/>
      <c r="H100" s="56"/>
      <c r="I100" s="5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6.25" customHeight="1">
      <c r="A101" s="57">
        <v>46087</v>
      </c>
      <c r="B101" s="62">
        <v>80</v>
      </c>
      <c r="C101" s="58" t="str">
        <f>IFERROR(VLOOKUP(B:B,'SALDO ATUAL'!$A$3:$E$9999,3,0),"")</f>
        <v>CLORETO DE MAGNESIO OPTMUS</v>
      </c>
      <c r="D101" s="59" t="str">
        <f>IFERROR(VLOOKUP(B:B,'SALDO ATUAL'!$A$3:$E1093,4,0),"")</f>
        <v>ATIVOS</v>
      </c>
      <c r="E101" s="60" t="str">
        <f>IFERROR(VLOOKUP(B:B,'SALDO ATUAL'!$A$3:$E$999,5,0),"")</f>
        <v>001- Ampola</v>
      </c>
      <c r="F101" s="15">
        <v>1</v>
      </c>
      <c r="G101" s="61"/>
      <c r="H101" s="56"/>
      <c r="I101" s="5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6.25" customHeight="1">
      <c r="A102" s="57">
        <v>46087</v>
      </c>
      <c r="B102" s="62">
        <v>203</v>
      </c>
      <c r="C102" s="58" t="str">
        <f>IFERROR(VLOOKUP(B:B,'SALDO ATUAL'!$A$3:$E$9999,3,0),"")</f>
        <v>L GLUTATIONA OPTMUS</v>
      </c>
      <c r="D102" s="59" t="str">
        <f>IFERROR(VLOOKUP(B:B,'SALDO ATUAL'!$A$3:$E1094,4,0),"")</f>
        <v>ATIVOS</v>
      </c>
      <c r="E102" s="60" t="str">
        <f>IFERROR(VLOOKUP(B:B,'SALDO ATUAL'!$A$3:$E$999,5,0),"")</f>
        <v>001- Ampola</v>
      </c>
      <c r="F102" s="15">
        <v>1</v>
      </c>
      <c r="G102" s="61"/>
      <c r="H102" s="56"/>
      <c r="I102" s="5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6.25" customHeight="1">
      <c r="A103" s="57">
        <v>46087</v>
      </c>
      <c r="B103" s="62">
        <v>284</v>
      </c>
      <c r="C103" s="58" t="str">
        <f>IFERROR(VLOOKUP(B:B,'SALDO ATUAL'!$A$3:$E$9999,3,0),"")</f>
        <v>RESVERASROL OPTIMUS</v>
      </c>
      <c r="D103" s="59" t="str">
        <f>IFERROR(VLOOKUP(B:B,'SALDO ATUAL'!$A$3:$E1095,4,0),"")</f>
        <v>ATIVOS</v>
      </c>
      <c r="E103" s="60" t="str">
        <f>IFERROR(VLOOKUP(B:B,'SALDO ATUAL'!$A$3:$E$999,5,0),"")</f>
        <v>001- Ampola</v>
      </c>
      <c r="F103" s="15">
        <v>1</v>
      </c>
      <c r="G103" s="61"/>
      <c r="H103" s="56"/>
      <c r="I103" s="5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6.25" customHeight="1">
      <c r="A104" s="57">
        <v>46087</v>
      </c>
      <c r="B104" s="62">
        <v>220</v>
      </c>
      <c r="C104" s="58" t="str">
        <f>IFERROR(VLOOKUP(B:B,'SALDO ATUAL'!$A$3:$E$9999,3,0),"")</f>
        <v>MASCARA ARGILA INC BEAUTY</v>
      </c>
      <c r="D104" s="59" t="str">
        <f>IFERROR(VLOOKUP(B:B,'SALDO ATUAL'!$A$3:$E1096,4,0),"")</f>
        <v>MANIPULADOS</v>
      </c>
      <c r="E104" s="60" t="str">
        <f>IFERROR(VLOOKUP(B:B,'SALDO ATUAL'!$A$3:$E$999,5,0),"")</f>
        <v>018 - Grama</v>
      </c>
      <c r="F104" s="15">
        <v>1</v>
      </c>
      <c r="G104" s="61"/>
      <c r="H104" s="56"/>
      <c r="I104" s="5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6.25" customHeight="1">
      <c r="A105" s="57">
        <v>46087</v>
      </c>
      <c r="B105" s="62">
        <v>96</v>
      </c>
      <c r="C105" s="58" t="str">
        <f>IFERROR(VLOOKUP(B:B,'SALDO ATUAL'!$A$3:$E$9999,3,0),"")</f>
        <v>CREME CALMANTE NIACINAMIDA INC BEAUTY</v>
      </c>
      <c r="D105" s="59" t="str">
        <f>IFERROR(VLOOKUP(B:B,'SALDO ATUAL'!$A$3:$E1097,4,0),"")</f>
        <v>MANIPULADOS</v>
      </c>
      <c r="E105" s="60" t="str">
        <f>IFERROR(VLOOKUP(B:B,'SALDO ATUAL'!$A$3:$E$999,5,0),"")</f>
        <v>018 - Grama</v>
      </c>
      <c r="F105" s="15">
        <v>1</v>
      </c>
      <c r="G105" s="61"/>
      <c r="H105" s="56"/>
      <c r="I105" s="5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6.25" customHeight="1">
      <c r="A106" s="57">
        <v>46087</v>
      </c>
      <c r="B106" s="62">
        <v>50</v>
      </c>
      <c r="C106" s="58" t="str">
        <f>IFERROR(VLOOKUP(B:B,'SALDO ATUAL'!$A$3:$E$9999,3,0),"")</f>
        <v>BÁLSAMO DE LIMPEZA FACIAL OLERA</v>
      </c>
      <c r="D106" s="59" t="str">
        <f>IFERROR(VLOOKUP(B:B,'SALDO ATUAL'!$A$3:$E1098,4,0),"")</f>
        <v>DERMOCOSMÉTICO E COSMÉTICO</v>
      </c>
      <c r="E106" s="60" t="str">
        <f>IFERROR(VLOOKUP(B:B,'SALDO ATUAL'!$A$3:$E$999,5,0),"")</f>
        <v>013 - Frasco</v>
      </c>
      <c r="F106" s="15">
        <v>1</v>
      </c>
      <c r="G106" s="61"/>
      <c r="H106" s="56"/>
      <c r="I106" s="5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6.25" customHeight="1">
      <c r="A107" s="57">
        <v>46087</v>
      </c>
      <c r="B107" s="62">
        <v>380</v>
      </c>
      <c r="C107" s="58" t="str">
        <f>IFERROR(VLOOKUP(B:B,'SALDO ATUAL'!$A$3:$E$9999,3,0),"")</f>
        <v>CREME 2 CLAREADOR INTENSO INC BEAUTY</v>
      </c>
      <c r="D107" s="59" t="str">
        <f>IFERROR(VLOOKUP(B:B,'SALDO ATUAL'!$A$3:$E1099,4,0),"")</f>
        <v>MANIPULADOS</v>
      </c>
      <c r="E107" s="60" t="str">
        <f>IFERROR(VLOOKUP(B:B,'SALDO ATUAL'!$A$3:$E$999,5,0),"")</f>
        <v xml:space="preserve">018- Grama </v>
      </c>
      <c r="F107" s="15">
        <v>1</v>
      </c>
      <c r="G107" s="61"/>
      <c r="H107" s="56"/>
      <c r="I107" s="5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6.25" customHeight="1">
      <c r="A108" s="57">
        <v>46087</v>
      </c>
      <c r="B108" s="65">
        <v>336</v>
      </c>
      <c r="C108" s="58" t="str">
        <f>IFERROR(VLOOKUP(B:B,'SALDO ATUAL'!$A$3:$E$9999,3,0),"")</f>
        <v>VITAMINA C OPTIMUS</v>
      </c>
      <c r="D108" s="59" t="str">
        <f>IFERROR(VLOOKUP(B:B,'SALDO ATUAL'!$A$3:$E1100,4,0),"")</f>
        <v>ATIVOS</v>
      </c>
      <c r="E108" s="60" t="str">
        <f>IFERROR(VLOOKUP(B:B,'SALDO ATUAL'!$A$3:$E$999,5,0),"")</f>
        <v xml:space="preserve">001- Ampola </v>
      </c>
      <c r="F108" s="15">
        <v>1</v>
      </c>
      <c r="G108" s="61"/>
      <c r="H108" s="56"/>
      <c r="I108" s="5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6.25" customHeight="1">
      <c r="A109" s="57">
        <v>46087</v>
      </c>
      <c r="B109" s="62">
        <v>322</v>
      </c>
      <c r="C109" s="58" t="str">
        <f>IFERROR(VLOOKUP(B:B,'SALDO ATUAL'!$A$3:$E$9999,3,0),"")</f>
        <v>SULF . DE ZINCO OPTIMUS</v>
      </c>
      <c r="D109" s="59" t="str">
        <f>IFERROR(VLOOKUP(B:B,'SALDO ATUAL'!$A$3:$E1101,4,0),"")</f>
        <v>INJETAVEL</v>
      </c>
      <c r="E109" s="60" t="str">
        <f>IFERROR(VLOOKUP(B:B,'SALDO ATUAL'!$A$3:$E$999,5,0),"")</f>
        <v>001 - Ampola</v>
      </c>
      <c r="F109" s="15">
        <v>1</v>
      </c>
      <c r="G109" s="61"/>
      <c r="H109" s="56"/>
      <c r="I109" s="5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6.25" customHeight="1">
      <c r="A110" s="57">
        <v>46087</v>
      </c>
      <c r="B110" s="62">
        <v>63</v>
      </c>
      <c r="C110" s="58" t="str">
        <f>IFERROR(VLOOKUP(B:B,'SALDO ATUAL'!$A$3:$E$9999,3,0),"")</f>
        <v>BIOTINA OPTIMUS</v>
      </c>
      <c r="D110" s="59" t="str">
        <f>IFERROR(VLOOKUP(B:B,'SALDO ATUAL'!$A$3:$E1102,4,0),"")</f>
        <v>INJETAVEL</v>
      </c>
      <c r="E110" s="60" t="str">
        <f>IFERROR(VLOOKUP(B:B,'SALDO ATUAL'!$A$3:$E$999,5,0),"")</f>
        <v>001 - Ampola</v>
      </c>
      <c r="F110" s="15">
        <v>1</v>
      </c>
      <c r="G110" s="61"/>
      <c r="H110" s="56"/>
      <c r="I110" s="5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6.25" customHeight="1">
      <c r="A111" s="57">
        <v>46087</v>
      </c>
      <c r="B111" s="62">
        <v>203</v>
      </c>
      <c r="C111" s="58" t="str">
        <f>IFERROR(VLOOKUP(B:B,'SALDO ATUAL'!$A$3:$E$9999,3,0),"")</f>
        <v>L GLUTATIONA OPTMUS</v>
      </c>
      <c r="D111" s="59" t="str">
        <f>IFERROR(VLOOKUP(B:B,'SALDO ATUAL'!$A$3:$E1103,4,0),"")</f>
        <v>ATIVOS</v>
      </c>
      <c r="E111" s="60" t="str">
        <f>IFERROR(VLOOKUP(B:B,'SALDO ATUAL'!$A$3:$E$999,5,0),"")</f>
        <v>001- Ampola</v>
      </c>
      <c r="F111" s="15">
        <v>1</v>
      </c>
      <c r="G111" s="61"/>
      <c r="H111" s="56"/>
      <c r="I111" s="5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6.25" customHeight="1">
      <c r="A112" s="57">
        <v>46087</v>
      </c>
      <c r="B112" s="62">
        <v>103</v>
      </c>
      <c r="C112" s="58" t="str">
        <f>IFERROR(VLOOKUP(B:B,'SALDO ATUAL'!$A$3:$E$9999,3,0),"")</f>
        <v>D PANTENOL OPTIMUS</v>
      </c>
      <c r="D112" s="59" t="str">
        <f>IFERROR(VLOOKUP(B:B,'SALDO ATUAL'!$A$3:$E1104,4,0),"")</f>
        <v>ATIVOS</v>
      </c>
      <c r="E112" s="60" t="str">
        <f>IFERROR(VLOOKUP(B:B,'SALDO ATUAL'!$A$3:$E$999,5,0),"")</f>
        <v>001 - Ampola</v>
      </c>
      <c r="F112" s="15">
        <v>1</v>
      </c>
      <c r="G112" s="61"/>
      <c r="H112" s="56"/>
      <c r="I112" s="5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6.25" customHeight="1">
      <c r="A113" s="57">
        <v>46087</v>
      </c>
      <c r="B113" s="62">
        <v>294</v>
      </c>
      <c r="C113" s="58" t="str">
        <f>IFERROR(VLOOKUP(B:B,'SALDO ATUAL'!$A$3:$E$9999,3,0),"")</f>
        <v>SERINGA 3ML LOCK - ROSCA DESCARPACK</v>
      </c>
      <c r="D113" s="59" t="str">
        <f>IFERROR(VLOOKUP(B:B,'SALDO ATUAL'!$A$3:$E1105,4,0),"")</f>
        <v>SERINGA</v>
      </c>
      <c r="E113" s="60" t="str">
        <f>IFERROR(VLOOKUP(B:B,'SALDO ATUAL'!$A$3:$E$999,5,0),"")</f>
        <v>031- Seringa</v>
      </c>
      <c r="F113" s="15">
        <v>10</v>
      </c>
      <c r="G113" s="61"/>
      <c r="H113" s="56"/>
      <c r="I113" s="5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6.25" customHeight="1">
      <c r="A114" s="57">
        <v>46087</v>
      </c>
      <c r="B114" s="66">
        <v>375</v>
      </c>
      <c r="C114" s="58" t="str">
        <f>IFERROR(VLOOKUP(B:B,'SALDO ATUAL'!$A$3:$E$9999,3,0),"")</f>
        <v>SERINGA 10ML C/ ROSCA BD</v>
      </c>
      <c r="D114" s="59" t="str">
        <f>IFERROR(VLOOKUP(B:B,'SALDO ATUAL'!$A$3:$E1106,4,0),"")</f>
        <v>SERINGA</v>
      </c>
      <c r="E114" s="60" t="str">
        <f>IFERROR(VLOOKUP(B:B,'SALDO ATUAL'!$A$3:$E$999,5,0),"")</f>
        <v>036- Unidade</v>
      </c>
      <c r="F114" s="67">
        <v>10</v>
      </c>
      <c r="G114" s="61"/>
      <c r="H114" s="56"/>
      <c r="I114" s="5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6.25" customHeight="1">
      <c r="A115" s="57">
        <v>46087</v>
      </c>
      <c r="B115" s="66">
        <v>336</v>
      </c>
      <c r="C115" s="58" t="str">
        <f>IFERROR(VLOOKUP(B:B,'SALDO ATUAL'!$A$3:$E$9999,3,0),"")</f>
        <v>VITAMINA C OPTIMUS</v>
      </c>
      <c r="D115" s="59" t="str">
        <f>IFERROR(VLOOKUP(B:B,'SALDO ATUAL'!$A$3:$E1107,4,0),"")</f>
        <v>ATIVOS</v>
      </c>
      <c r="E115" s="60" t="str">
        <f>IFERROR(VLOOKUP(B:B,'SALDO ATUAL'!$A$3:$E$999,5,0),"")</f>
        <v xml:space="preserve">001- Ampola </v>
      </c>
      <c r="F115" s="67">
        <v>1</v>
      </c>
      <c r="G115" s="61"/>
      <c r="H115" s="56"/>
      <c r="I115" s="5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6.25" customHeight="1">
      <c r="A116" s="57">
        <v>46087</v>
      </c>
      <c r="B116" s="66">
        <v>322</v>
      </c>
      <c r="C116" s="58" t="str">
        <f>IFERROR(VLOOKUP(B:B,'SALDO ATUAL'!$A$3:$E$9999,3,0),"")</f>
        <v>SULF . DE ZINCO OPTIMUS</v>
      </c>
      <c r="D116" s="59" t="str">
        <f>IFERROR(VLOOKUP(B:B,'SALDO ATUAL'!$A$3:$E1108,4,0),"")</f>
        <v>INJETAVEL</v>
      </c>
      <c r="E116" s="60" t="str">
        <f>IFERROR(VLOOKUP(B:B,'SALDO ATUAL'!$A$3:$E$999,5,0),"")</f>
        <v>001 - Ampola</v>
      </c>
      <c r="F116" s="67">
        <v>1</v>
      </c>
      <c r="G116" s="61"/>
      <c r="H116" s="56"/>
      <c r="I116" s="5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6.25" customHeight="1">
      <c r="A117" s="57">
        <v>46087</v>
      </c>
      <c r="B117" s="66">
        <v>288</v>
      </c>
      <c r="C117" s="58" t="str">
        <f>IFERROR(VLOOKUP(B:B,'SALDO ATUAL'!$A$3:$E$9999,3,0),"")</f>
        <v>SELENIO OPTIMUS</v>
      </c>
      <c r="D117" s="59" t="str">
        <f>IFERROR(VLOOKUP(B:B,'SALDO ATUAL'!$A$3:$E1109,4,0),"")</f>
        <v>ATIVOS</v>
      </c>
      <c r="E117" s="60" t="str">
        <f>IFERROR(VLOOKUP(B:B,'SALDO ATUAL'!$A$3:$E$999,5,0),"")</f>
        <v>001- Ampola</v>
      </c>
      <c r="F117" s="67">
        <v>1</v>
      </c>
      <c r="G117" s="61"/>
      <c r="H117" s="56"/>
      <c r="I117" s="5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6.25" customHeight="1">
      <c r="A118" s="57">
        <v>46087</v>
      </c>
      <c r="B118" s="66">
        <v>335</v>
      </c>
      <c r="C118" s="58" t="str">
        <f>IFERROR(VLOOKUP(B:B,'SALDO ATUAL'!$A$3:$E$9999,3,0),"")</f>
        <v>VITAMINA B12 OPTIMUS</v>
      </c>
      <c r="D118" s="59" t="str">
        <f>IFERROR(VLOOKUP(B:B,'SALDO ATUAL'!$A$3:$E1110,4,0),"")</f>
        <v>ATIVOS</v>
      </c>
      <c r="E118" s="60" t="str">
        <f>IFERROR(VLOOKUP(B:B,'SALDO ATUAL'!$A$3:$E$999,5,0),"")</f>
        <v xml:space="preserve">001- Ampola </v>
      </c>
      <c r="F118" s="67">
        <v>1</v>
      </c>
      <c r="G118" s="61"/>
      <c r="H118" s="56"/>
      <c r="I118" s="5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6.25" customHeight="1">
      <c r="A119" s="57">
        <v>46087</v>
      </c>
      <c r="B119" s="66">
        <v>324</v>
      </c>
      <c r="C119" s="58" t="str">
        <f>IFERROR(VLOOKUP(B:B,'SALDO ATUAL'!$A$3:$E$9999,3,0),"")</f>
        <v>TIMOMODULINA OPTIMUS</v>
      </c>
      <c r="D119" s="59" t="str">
        <f>IFERROR(VLOOKUP(B:B,'SALDO ATUAL'!$A$3:$E1111,4,0),"")</f>
        <v>ATIVOS</v>
      </c>
      <c r="E119" s="60" t="str">
        <f>IFERROR(VLOOKUP(B:B,'SALDO ATUAL'!$A$3:$E$999,5,0),"")</f>
        <v>001 - Ampola</v>
      </c>
      <c r="F119" s="67">
        <v>1</v>
      </c>
      <c r="G119" s="61"/>
      <c r="H119" s="56"/>
      <c r="I119" s="5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6.25" customHeight="1">
      <c r="A120" s="57">
        <v>46090</v>
      </c>
      <c r="B120" s="66">
        <v>50</v>
      </c>
      <c r="C120" s="58" t="str">
        <f>IFERROR(VLOOKUP(B:B,'SALDO ATUAL'!$A$3:$E$9999,3,0),"")</f>
        <v>BÁLSAMO DE LIMPEZA FACIAL OLERA</v>
      </c>
      <c r="D120" s="59" t="str">
        <f>IFERROR(VLOOKUP(B:B,'SALDO ATUAL'!$A$3:$E1112,4,0),"")</f>
        <v>DERMOCOSMÉTICO E COSMÉTICO</v>
      </c>
      <c r="E120" s="60" t="str">
        <f>IFERROR(VLOOKUP(B:B,'SALDO ATUAL'!$A$3:$E$999,5,0),"")</f>
        <v>013 - Frasco</v>
      </c>
      <c r="F120" s="67">
        <v>1</v>
      </c>
      <c r="G120" s="61"/>
      <c r="H120" s="56"/>
      <c r="I120" s="5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6.25" customHeight="1">
      <c r="A121" s="57">
        <v>46090</v>
      </c>
      <c r="B121" s="62">
        <v>96</v>
      </c>
      <c r="C121" s="58" t="str">
        <f>IFERROR(VLOOKUP(B:B,'SALDO ATUAL'!$A$3:$E$9999,3,0),"")</f>
        <v>CREME CALMANTE NIACINAMIDA INC BEAUTY</v>
      </c>
      <c r="D121" s="59" t="str">
        <f>IFERROR(VLOOKUP(B:B,'SALDO ATUAL'!$A$3:$E1113,4,0),"")</f>
        <v>MANIPULADOS</v>
      </c>
      <c r="E121" s="60" t="str">
        <f>IFERROR(VLOOKUP(B:B,'SALDO ATUAL'!$A$3:$E$999,5,0),"")</f>
        <v>018 - Grama</v>
      </c>
      <c r="F121" s="67">
        <v>3</v>
      </c>
      <c r="G121" s="61"/>
      <c r="H121" s="56"/>
      <c r="I121" s="5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6.25" customHeight="1">
      <c r="A122" s="57">
        <v>46090</v>
      </c>
      <c r="B122" s="66">
        <v>220</v>
      </c>
      <c r="C122" s="58" t="str">
        <f>IFERROR(VLOOKUP(B:B,'SALDO ATUAL'!$A$3:$E$9999,3,0),"")</f>
        <v>MASCARA ARGILA INC BEAUTY</v>
      </c>
      <c r="D122" s="59" t="str">
        <f>IFERROR(VLOOKUP(B:B,'SALDO ATUAL'!$A$3:$E1114,4,0),"")</f>
        <v>MANIPULADOS</v>
      </c>
      <c r="E122" s="60" t="str">
        <f>IFERROR(VLOOKUP(B:B,'SALDO ATUAL'!$A$3:$E$999,5,0),"")</f>
        <v>018 - Grama</v>
      </c>
      <c r="F122" s="67">
        <v>2</v>
      </c>
      <c r="G122" s="61"/>
      <c r="H122" s="56"/>
      <c r="I122" s="5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6.25" customHeight="1">
      <c r="A123" s="57">
        <v>46090</v>
      </c>
      <c r="B123" s="66">
        <v>380</v>
      </c>
      <c r="C123" s="58" t="str">
        <f>IFERROR(VLOOKUP(B:B,'SALDO ATUAL'!$A$3:$E$9999,3,0),"")</f>
        <v>CREME 2 CLAREADOR INTENSO INC BEAUTY</v>
      </c>
      <c r="D123" s="59" t="str">
        <f>IFERROR(VLOOKUP(B:B,'SALDO ATUAL'!$A$3:$E1115,4,0),"")</f>
        <v>MANIPULADOS</v>
      </c>
      <c r="E123" s="60" t="str">
        <f>IFERROR(VLOOKUP(B:B,'SALDO ATUAL'!$A$3:$E$999,5,0),"")</f>
        <v xml:space="preserve">018- Grama </v>
      </c>
      <c r="F123" s="67">
        <v>1</v>
      </c>
      <c r="G123" s="61"/>
      <c r="H123" s="56"/>
      <c r="I123" s="5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6.25" customHeight="1">
      <c r="A124" s="57">
        <v>46090</v>
      </c>
      <c r="B124" s="66">
        <v>329</v>
      </c>
      <c r="C124" s="58" t="str">
        <f>IFERROR(VLOOKUP(B:B,'SALDO ATUAL'!$A$3:$E$9999,3,0),"")</f>
        <v>TOXINA BOTULÍNICA XEOMIN 100UI</v>
      </c>
      <c r="D124" s="59" t="str">
        <f>IFERROR(VLOOKUP(B:B,'SALDO ATUAL'!$A$3:$E1116,4,0),"")</f>
        <v>TOXINA</v>
      </c>
      <c r="E124" s="60" t="str">
        <f>IFERROR(VLOOKUP(B:B,'SALDO ATUAL'!$A$3:$E$999,5,0),"")</f>
        <v>037 - Unidade Internacional</v>
      </c>
      <c r="F124" s="67">
        <v>1</v>
      </c>
      <c r="G124" s="61"/>
      <c r="H124" s="56"/>
      <c r="I124" s="5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6.25" customHeight="1">
      <c r="A125" s="57">
        <v>46090</v>
      </c>
      <c r="B125" s="66">
        <v>50</v>
      </c>
      <c r="C125" s="58" t="str">
        <f>IFERROR(VLOOKUP(B:B,'SALDO ATUAL'!$A$3:$E$9999,3,0),"")</f>
        <v>BÁLSAMO DE LIMPEZA FACIAL OLERA</v>
      </c>
      <c r="D125" s="59" t="str">
        <f>IFERROR(VLOOKUP(B:B,'SALDO ATUAL'!$A$3:$E1117,4,0),"")</f>
        <v>DERMOCOSMÉTICO E COSMÉTICO</v>
      </c>
      <c r="E125" s="60" t="str">
        <f>IFERROR(VLOOKUP(B:B,'SALDO ATUAL'!$A$3:$E$999,5,0),"")</f>
        <v>013 - Frasco</v>
      </c>
      <c r="F125" s="67">
        <v>1</v>
      </c>
      <c r="G125" s="61"/>
      <c r="H125" s="56"/>
      <c r="I125" s="5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6.25" customHeight="1">
      <c r="A126" s="57">
        <v>46091</v>
      </c>
      <c r="B126" s="66">
        <v>377</v>
      </c>
      <c r="C126" s="58" t="str">
        <f>IFERROR(VLOOKUP(B:B,'SALDO ATUAL'!$A$3:$E$9999,3,0),"")</f>
        <v>HOME SPRAY</v>
      </c>
      <c r="D126" s="59" t="str">
        <f>IFERROR(VLOOKUP(B:B,'SALDO ATUAL'!$A$3:$E1118,4,0),"")</f>
        <v>MATERIAIS DESCARTÁVEIS E APOIO</v>
      </c>
      <c r="E126" s="60" t="str">
        <f>IFERROR(VLOOKUP(B:B,'SALDO ATUAL'!$A$3:$E$999,5,0),"")</f>
        <v>036- Unidade</v>
      </c>
      <c r="F126" s="67">
        <v>1</v>
      </c>
      <c r="G126" s="61"/>
      <c r="H126" s="56"/>
      <c r="I126" s="5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6.25" customHeight="1">
      <c r="A127" s="57">
        <v>46091</v>
      </c>
      <c r="B127" s="66">
        <v>6</v>
      </c>
      <c r="C127" s="58" t="str">
        <f>IFERROR(VLOOKUP(B:B,'SALDO ATUAL'!$A$3:$E$9999,3,0),"")</f>
        <v>AGUA MICELAR BIODERMA</v>
      </c>
      <c r="D127" s="59" t="str">
        <f>IFERROR(VLOOKUP(B:B,'SALDO ATUAL'!$A$3:$E1119,4,0),"")</f>
        <v>DERMOCOSMÉTICO E COSMÉTICO</v>
      </c>
      <c r="E127" s="60" t="str">
        <f>IFERROR(VLOOKUP(B:B,'SALDO ATUAL'!$A$3:$E$999,5,0),"")</f>
        <v>036 - Unidade</v>
      </c>
      <c r="F127" s="67">
        <v>1</v>
      </c>
      <c r="G127" s="61"/>
      <c r="H127" s="56"/>
      <c r="I127" s="5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6.25" customHeight="1">
      <c r="A128" s="57">
        <v>46091</v>
      </c>
      <c r="B128" s="66">
        <v>202</v>
      </c>
      <c r="C128" s="58" t="str">
        <f>IFERROR(VLOOKUP(B:B,'SALDO ATUAL'!$A$3:$E$9999,3,0),"")</f>
        <v>KIT PONTEIRA SKIN D&amp;D EVO</v>
      </c>
      <c r="D128" s="59" t="str">
        <f>IFERROR(VLOOKUP(B:B,'SALDO ATUAL'!$A$3:$E1120,4,0),"")</f>
        <v>PONTEIRA</v>
      </c>
      <c r="E128" s="60" t="str">
        <f>IFERROR(VLOOKUP(B:B,'SALDO ATUAL'!$A$3:$E$999,5,0),"")</f>
        <v>036-Unidades</v>
      </c>
      <c r="F128" s="67">
        <v>5</v>
      </c>
      <c r="G128" s="61"/>
      <c r="H128" s="56"/>
      <c r="I128" s="5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6.25" customHeight="1">
      <c r="A129" s="57">
        <v>46091</v>
      </c>
      <c r="B129" s="66">
        <v>329</v>
      </c>
      <c r="C129" s="58" t="str">
        <f>IFERROR(VLOOKUP(B:B,'SALDO ATUAL'!$A$3:$E$9999,3,0),"")</f>
        <v>TOXINA BOTULÍNICA XEOMIN 100UI</v>
      </c>
      <c r="D129" s="59" t="str">
        <f>IFERROR(VLOOKUP(B:B,'SALDO ATUAL'!$A$3:$E1121,4,0),"")</f>
        <v>TOXINA</v>
      </c>
      <c r="E129" s="60" t="str">
        <f>IFERROR(VLOOKUP(B:B,'SALDO ATUAL'!$A$3:$E$999,5,0),"")</f>
        <v>037 - Unidade Internacional</v>
      </c>
      <c r="F129" s="67">
        <v>1</v>
      </c>
      <c r="G129" s="61"/>
      <c r="H129" s="56"/>
      <c r="I129" s="5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6.25" customHeight="1">
      <c r="A130" s="57">
        <v>46091</v>
      </c>
      <c r="B130" s="66">
        <v>379</v>
      </c>
      <c r="C130" s="58" t="str">
        <f>IFERROR(VLOOKUP(B:B,'SALDO ATUAL'!$A$3:$E$9999,3,0),"")</f>
        <v xml:space="preserve">COENZIMA Q10  OPTIMUS </v>
      </c>
      <c r="D130" s="59" t="str">
        <f>IFERROR(VLOOKUP(B:B,'SALDO ATUAL'!$A$3:$E1122,4,0),"")</f>
        <v>MANIPULADOS</v>
      </c>
      <c r="E130" s="60" t="str">
        <f>IFERROR(VLOOKUP(B:B,'SALDO ATUAL'!$A$3:$E$999,5,0),"")</f>
        <v>036- Unidade</v>
      </c>
      <c r="F130" s="67">
        <v>1</v>
      </c>
      <c r="G130" s="61"/>
      <c r="H130" s="56"/>
      <c r="I130" s="5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6.25" customHeight="1">
      <c r="A131" s="57">
        <v>46091</v>
      </c>
      <c r="B131" s="14">
        <v>95</v>
      </c>
      <c r="C131" s="58" t="str">
        <f>IFERROR(VLOOKUP(B:B,'SALDO ATUAL'!$A$3:$E$9999,3,0),"")</f>
        <v>CREME 3 CLAREADOR MANUTENÇÃO INC BEAUTY</v>
      </c>
      <c r="D131" s="59" t="str">
        <f>IFERROR(VLOOKUP(B:B,'SALDO ATUAL'!$A$3:$E1123,4,0),"")</f>
        <v>MANIPULADOS</v>
      </c>
      <c r="E131" s="60" t="str">
        <f>IFERROR(VLOOKUP(B:B,'SALDO ATUAL'!$A$3:$E$999,5,0),"")</f>
        <v>018 - Grama</v>
      </c>
      <c r="F131" s="67">
        <v>1</v>
      </c>
      <c r="G131" s="61"/>
      <c r="H131" s="56"/>
      <c r="I131" s="5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6.25" customHeight="1">
      <c r="A132" s="57">
        <v>46091</v>
      </c>
      <c r="B132" s="66">
        <v>96</v>
      </c>
      <c r="C132" s="58" t="str">
        <f>IFERROR(VLOOKUP(B:B,'SALDO ATUAL'!$A$3:$E$9999,3,0),"")</f>
        <v>CREME CALMANTE NIACINAMIDA INC BEAUTY</v>
      </c>
      <c r="D132" s="59" t="str">
        <f>IFERROR(VLOOKUP(B:B,'SALDO ATUAL'!$A$3:$E1124,4,0),"")</f>
        <v>MANIPULADOS</v>
      </c>
      <c r="E132" s="60" t="str">
        <f>IFERROR(VLOOKUP(B:B,'SALDO ATUAL'!$A$3:$E$999,5,0),"")</f>
        <v>018 - Grama</v>
      </c>
      <c r="F132" s="67">
        <v>1</v>
      </c>
      <c r="G132" s="61"/>
      <c r="H132" s="56"/>
      <c r="I132" s="5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6.25" customHeight="1">
      <c r="A133" s="57">
        <v>46092</v>
      </c>
      <c r="B133" s="66">
        <v>359</v>
      </c>
      <c r="C133" s="58" t="str">
        <f>IFERROR(VLOOKUP(B:B,'SALDO ATUAL'!$A$3:$E$9999,3,0),"")</f>
        <v>NADH (PÓ LIOFILIZADO) OPTIMUS</v>
      </c>
      <c r="D133" s="59" t="str">
        <f>IFERROR(VLOOKUP(B:B,'SALDO ATUAL'!$A$3:$E1125,4,0),"")</f>
        <v>ATIVOS</v>
      </c>
      <c r="E133" s="60" t="str">
        <f>IFERROR(VLOOKUP(B:B,'SALDO ATUAL'!$A$3:$E$999,5,0),"")</f>
        <v>001- Ampola</v>
      </c>
      <c r="F133" s="67">
        <v>1</v>
      </c>
      <c r="G133" s="61"/>
      <c r="H133" s="56"/>
      <c r="I133" s="5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6.25" customHeight="1">
      <c r="A134" s="57">
        <v>46092</v>
      </c>
      <c r="B134" s="66">
        <v>329</v>
      </c>
      <c r="C134" s="58" t="str">
        <f>IFERROR(VLOOKUP(B:B,'SALDO ATUAL'!$A$3:$E$9999,3,0),"")</f>
        <v>TOXINA BOTULÍNICA XEOMIN 100UI</v>
      </c>
      <c r="D134" s="59" t="str">
        <f>IFERROR(VLOOKUP(B:B,'SALDO ATUAL'!$A$3:$E1126,4,0),"")</f>
        <v>TOXINA</v>
      </c>
      <c r="E134" s="60" t="str">
        <f>IFERROR(VLOOKUP(B:B,'SALDO ATUAL'!$A$3:$E$999,5,0),"")</f>
        <v>037 - Unidade Internacional</v>
      </c>
      <c r="F134" s="67">
        <v>1</v>
      </c>
      <c r="G134" s="61"/>
      <c r="H134" s="56"/>
      <c r="I134" s="5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6.25" customHeight="1">
      <c r="A135" s="57">
        <v>46092</v>
      </c>
      <c r="B135" s="66">
        <v>249</v>
      </c>
      <c r="C135" s="58" t="str">
        <f>IFERROR(VLOOKUP(B:B,'SALDO ATUAL'!$A$3:$E$9999,3,0),"")</f>
        <v>PANCAKE FPS 50 PEACH INC BEAUTY</v>
      </c>
      <c r="D135" s="59" t="str">
        <f>IFERROR(VLOOKUP(B:B,'SALDO ATUAL'!$A$3:$E1127,4,0),"")</f>
        <v>MANIPULADOS</v>
      </c>
      <c r="E135" s="60" t="str">
        <f>IFERROR(VLOOKUP(B:B,'SALDO ATUAL'!$A$3:$E$999,5,0),"")</f>
        <v>036-Unidade</v>
      </c>
      <c r="F135" s="67">
        <v>1</v>
      </c>
      <c r="G135" s="61"/>
      <c r="H135" s="56"/>
      <c r="I135" s="5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6.25" customHeight="1">
      <c r="A136" s="57">
        <v>46092</v>
      </c>
      <c r="B136" s="14">
        <v>85</v>
      </c>
      <c r="C136" s="58" t="str">
        <f>IFERROR(VLOOKUP(B:B,'SALDO ATUAL'!$A$3:$E$9999,3,0),"")</f>
        <v>COLINA OPTIMUS</v>
      </c>
      <c r="D136" s="59" t="str">
        <f>IFERROR(VLOOKUP(B:B,'SALDO ATUAL'!$A$3:$E1128,4,0),"")</f>
        <v>ATIVOS</v>
      </c>
      <c r="E136" s="60" t="str">
        <f>IFERROR(VLOOKUP(B:B,'SALDO ATUAL'!$A$3:$E$999,5,0),"")</f>
        <v>001- Ampola</v>
      </c>
      <c r="F136" s="67">
        <v>1</v>
      </c>
      <c r="G136" s="61"/>
      <c r="H136" s="56"/>
      <c r="I136" s="5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6.25" customHeight="1">
      <c r="A137" s="57">
        <v>46092</v>
      </c>
      <c r="B137" s="66">
        <v>335</v>
      </c>
      <c r="C137" s="58" t="str">
        <f>IFERROR(VLOOKUP(B:B,'SALDO ATUAL'!$A$3:$E$9999,3,0),"")</f>
        <v>VITAMINA B12 OPTIMUS</v>
      </c>
      <c r="D137" s="59" t="str">
        <f>IFERROR(VLOOKUP(B:B,'SALDO ATUAL'!$A$3:$E1129,4,0),"")</f>
        <v>ATIVOS</v>
      </c>
      <c r="E137" s="60" t="str">
        <f>IFERROR(VLOOKUP(B:B,'SALDO ATUAL'!$A$3:$E$999,5,0),"")</f>
        <v xml:space="preserve">001- Ampola </v>
      </c>
      <c r="F137" s="67">
        <v>1</v>
      </c>
      <c r="G137" s="61"/>
      <c r="H137" s="56"/>
      <c r="I137" s="5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6.25" customHeight="1">
      <c r="A138" s="57">
        <v>46092</v>
      </c>
      <c r="B138" s="66">
        <v>200</v>
      </c>
      <c r="C138" s="58" t="str">
        <f>IFERROR(VLOOKUP(B:B,'SALDO ATUAL'!$A$3:$E$9999,3,0),"")</f>
        <v>INOSITOL OPTIMUS</v>
      </c>
      <c r="D138" s="59" t="str">
        <f>IFERROR(VLOOKUP(B:B,'SALDO ATUAL'!$A$3:$E1130,4,0),"")</f>
        <v>INJETAVEL</v>
      </c>
      <c r="E138" s="60" t="str">
        <f>IFERROR(VLOOKUP(B:B,'SALDO ATUAL'!$A$3:$E$999,5,0),"")</f>
        <v>001- Ampola</v>
      </c>
      <c r="F138" s="67">
        <v>1</v>
      </c>
      <c r="G138" s="61"/>
      <c r="H138" s="56"/>
      <c r="I138" s="5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6.25" customHeight="1">
      <c r="A139" s="57">
        <v>46092</v>
      </c>
      <c r="B139" s="66">
        <v>203</v>
      </c>
      <c r="C139" s="58" t="str">
        <f>IFERROR(VLOOKUP(B:B,'SALDO ATUAL'!$A$3:$E$9999,3,0),"")</f>
        <v>L GLUTATIONA OPTMUS</v>
      </c>
      <c r="D139" s="59" t="str">
        <f>IFERROR(VLOOKUP(B:B,'SALDO ATUAL'!$A$3:$E1131,4,0),"")</f>
        <v>ATIVOS</v>
      </c>
      <c r="E139" s="60" t="str">
        <f>IFERROR(VLOOKUP(B:B,'SALDO ATUAL'!$A$3:$E$999,5,0),"")</f>
        <v>001- Ampola</v>
      </c>
      <c r="F139" s="67">
        <v>1</v>
      </c>
      <c r="G139" s="61"/>
      <c r="H139" s="56"/>
      <c r="I139" s="5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6.25" customHeight="1">
      <c r="A140" s="57">
        <v>46092</v>
      </c>
      <c r="B140" s="66">
        <v>371</v>
      </c>
      <c r="C140" s="58" t="str">
        <f>IFERROR(VLOOKUP(B:B,'SALDO ATUAL'!$A$3:$E$9999,3,0),"")</f>
        <v>NAC-N-ACETIL OPTIMUS</v>
      </c>
      <c r="D140" s="59" t="str">
        <f>IFERROR(VLOOKUP(B:B,'SALDO ATUAL'!$A$3:$E1132,4,0),"")</f>
        <v>INJETAVEL</v>
      </c>
      <c r="E140" s="60" t="str">
        <f>IFERROR(VLOOKUP(B:B,'SALDO ATUAL'!$A$3:$E$999,5,0),"")</f>
        <v>001- Ampola</v>
      </c>
      <c r="F140" s="67">
        <v>1</v>
      </c>
      <c r="G140" s="61"/>
      <c r="H140" s="56"/>
      <c r="I140" s="5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6.25" customHeight="1">
      <c r="A141" s="57">
        <v>46092</v>
      </c>
      <c r="B141" s="66">
        <v>357</v>
      </c>
      <c r="C141" s="58" t="str">
        <f>IFERROR(VLOOKUP(B:B,'SALDO ATUAL'!$A$3:$E$9999,3,0),"")</f>
        <v>SORO  EV 250ML</v>
      </c>
      <c r="D141" s="59" t="str">
        <f>IFERROR(VLOOKUP(B:B,'SALDO ATUAL'!$A$3:$E1133,4,0),"")</f>
        <v>MATERIAIS DESCARTÁVEIS E APOIO</v>
      </c>
      <c r="E141" s="60" t="str">
        <f>IFERROR(VLOOKUP(B:B,'SALDO ATUAL'!$A$3:$E$999,5,0),"")</f>
        <v xml:space="preserve">036- Unidade </v>
      </c>
      <c r="F141" s="67">
        <v>2</v>
      </c>
      <c r="G141" s="61"/>
      <c r="H141" s="56"/>
      <c r="I141" s="5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6.25" customHeight="1">
      <c r="A142" s="57">
        <v>46092</v>
      </c>
      <c r="B142" s="66">
        <v>354</v>
      </c>
      <c r="C142" s="58" t="str">
        <f>IFERROR(VLOOKUP(B:B,'SALDO ATUAL'!$A$3:$E$9999,3,0),"")</f>
        <v>SCALP 23G</v>
      </c>
      <c r="D142" s="59" t="str">
        <f>IFERROR(VLOOKUP(B:B,'SALDO ATUAL'!$A$3:$E1134,4,0),"")</f>
        <v>AGULHAS</v>
      </c>
      <c r="E142" s="60" t="str">
        <f>IFERROR(VLOOKUP(B:B,'SALDO ATUAL'!$A$3:$E$999,5,0),"")</f>
        <v xml:space="preserve">036- Unidade </v>
      </c>
      <c r="F142" s="67">
        <v>2</v>
      </c>
      <c r="G142" s="61"/>
      <c r="H142" s="56"/>
      <c r="I142" s="5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6.25" customHeight="1">
      <c r="A143" s="57">
        <v>46092</v>
      </c>
      <c r="B143" s="66">
        <v>355</v>
      </c>
      <c r="C143" s="58" t="str">
        <f>IFERROR(VLOOKUP(B:B,'SALDO ATUAL'!$A$3:$E$9999,3,0),"")</f>
        <v>EQUIPO TKL</v>
      </c>
      <c r="D143" s="59" t="str">
        <f>IFERROR(VLOOKUP(B:B,'SALDO ATUAL'!$A$3:$E1135,4,0),"")</f>
        <v>MATERIAIS DESCARTÁVEIS E APOIO</v>
      </c>
      <c r="E143" s="60" t="str">
        <f>IFERROR(VLOOKUP(B:B,'SALDO ATUAL'!$A$3:$E$999,5,0),"")</f>
        <v xml:space="preserve">036- Unidade </v>
      </c>
      <c r="F143" s="15">
        <v>1</v>
      </c>
      <c r="G143" s="61"/>
      <c r="H143" s="56"/>
      <c r="I143" s="5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6.25" customHeight="1">
      <c r="A144" s="57">
        <v>46092</v>
      </c>
      <c r="B144" s="66">
        <v>24</v>
      </c>
      <c r="C144" s="58" t="str">
        <f>IFERROR(VLOOKUP(B:B,'SALDO ATUAL'!$A$3:$E$9999,3,0),"")</f>
        <v>AH BELOTERO BALANCE</v>
      </c>
      <c r="D144" s="59" t="str">
        <f>IFERROR(VLOOKUP(B:B,'SALDO ATUAL'!$A$3:$E1136,4,0),"")</f>
        <v>PREENCHEDOR</v>
      </c>
      <c r="E144" s="60" t="str">
        <f>IFERROR(VLOOKUP(B:B,'SALDO ATUAL'!$A$3:$E$999,5,0),"")</f>
        <v>023 - Mililitro</v>
      </c>
      <c r="F144" s="15">
        <v>3</v>
      </c>
      <c r="G144" s="61"/>
      <c r="H144" s="56"/>
      <c r="I144" s="5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6.25" customHeight="1">
      <c r="A145" s="57">
        <v>46093</v>
      </c>
      <c r="B145" s="62">
        <v>89</v>
      </c>
      <c r="C145" s="58" t="str">
        <f>IFERROR(VLOOKUP(B:B,'SALDO ATUAL'!$A$3:$E$9999,3,0),"")</f>
        <v>COMPRESSA GAZE 13 FIOS C/ 500 UNID MEDI HOUSE</v>
      </c>
      <c r="D145" s="59" t="str">
        <f>IFERROR(VLOOKUP(B:B,'SALDO ATUAL'!$A$3:$E1137,4,0),"")</f>
        <v>MATERIAIS DESCARTÁVEIS E APOIO</v>
      </c>
      <c r="E145" s="60" t="str">
        <f>IFERROR(VLOOKUP(B:B,'SALDO ATUAL'!$A$3:$E$999,5,0),"")</f>
        <v>036 - Unidade</v>
      </c>
      <c r="F145" s="15">
        <v>1</v>
      </c>
      <c r="G145" s="61"/>
      <c r="H145" s="56"/>
      <c r="I145" s="5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6.25" customHeight="1">
      <c r="A146" s="57">
        <v>46093</v>
      </c>
      <c r="B146" s="14">
        <v>306</v>
      </c>
      <c r="C146" s="58" t="str">
        <f>IFERROR(VLOOKUP(B:B,'SALDO ATUAL'!$A$3:$E$9999,3,0),"")</f>
        <v>SERINGA ULTRA FINE 0,3ML 0,8x0,30 BD</v>
      </c>
      <c r="D146" s="59" t="str">
        <f>IFERROR(VLOOKUP(B:B,'SALDO ATUAL'!$A$3:$E1138,4,0),"")</f>
        <v>SERINGA</v>
      </c>
      <c r="E146" s="60" t="str">
        <f>IFERROR(VLOOKUP(B:B,'SALDO ATUAL'!$A$3:$E$999,5,0),"")</f>
        <v>043- Pacotes</v>
      </c>
      <c r="F146" s="15">
        <v>2</v>
      </c>
      <c r="G146" s="61"/>
      <c r="H146" s="56"/>
      <c r="I146" s="5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6.25" customHeight="1">
      <c r="A147" s="57">
        <v>46093</v>
      </c>
      <c r="B147" s="62">
        <v>49</v>
      </c>
      <c r="C147" s="58" t="str">
        <f>IFERROR(VLOOKUP(B:B,'SALDO ATUAL'!$A$3:$E$9999,3,0),"")</f>
        <v>BABADOR</v>
      </c>
      <c r="D147" s="59" t="str">
        <f>IFERROR(VLOOKUP(B:B,'SALDO ATUAL'!$A$3:$E1139,4,0),"")</f>
        <v>MATERIAIS DESCARTÁVEIS E APOIO</v>
      </c>
      <c r="E147" s="60" t="str">
        <f>IFERROR(VLOOKUP(B:B,'SALDO ATUAL'!$A$3:$E$999,5,0),"")</f>
        <v>036 - Unidade</v>
      </c>
      <c r="F147" s="15">
        <v>1</v>
      </c>
      <c r="G147" s="61"/>
      <c r="H147" s="56"/>
      <c r="I147" s="5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6.25" customHeight="1">
      <c r="A148" s="57">
        <v>46093</v>
      </c>
      <c r="B148" s="62">
        <v>84</v>
      </c>
      <c r="C148" s="58" t="str">
        <f>IFERROR(VLOOKUP(B:B,'SALDO ATUAL'!$A$3:$E$9999,3,0),"")</f>
        <v>COLETOR PERFUROCORTANTE 3L DESCARPACK</v>
      </c>
      <c r="D148" s="59" t="str">
        <f>IFERROR(VLOOKUP(B:B,'SALDO ATUAL'!$A$3:$E1140,4,0),"")</f>
        <v>MATERIAIS DESCARTÁVEIS E APOIO</v>
      </c>
      <c r="E148" s="60" t="str">
        <f>IFERROR(VLOOKUP(B:B,'SALDO ATUAL'!$A$3:$E$999,5,0),"")</f>
        <v>036 - Unidade</v>
      </c>
      <c r="F148" s="15">
        <v>1</v>
      </c>
      <c r="G148" s="61"/>
      <c r="H148" s="56"/>
      <c r="I148" s="5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6.25" customHeight="1">
      <c r="A149" s="57">
        <v>46093</v>
      </c>
      <c r="B149" s="62">
        <v>275</v>
      </c>
      <c r="C149" s="58" t="str">
        <f>IFERROR(VLOOKUP(B:B,'SALDO ATUAL'!$A$3:$E$9999,3,0),"")</f>
        <v>PROFHILO</v>
      </c>
      <c r="D149" s="59" t="str">
        <f>IFERROR(VLOOKUP(B:B,'SALDO ATUAL'!$A$3:$E1141,4,0),"")</f>
        <v>BIORREMODULADOR</v>
      </c>
      <c r="E149" s="60" t="str">
        <f>IFERROR(VLOOKUP(B:B,'SALDO ATUAL'!$A$3:$E$999,5,0),"")</f>
        <v>031- Seringa</v>
      </c>
      <c r="F149" s="15">
        <v>3</v>
      </c>
      <c r="G149" s="61"/>
      <c r="H149" s="56"/>
      <c r="I149" s="5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6.25" customHeight="1">
      <c r="A150" s="57">
        <v>46093</v>
      </c>
      <c r="B150" s="62">
        <v>329</v>
      </c>
      <c r="C150" s="58" t="str">
        <f>IFERROR(VLOOKUP(B:B,'SALDO ATUAL'!$A$3:$E$9999,3,0),"")</f>
        <v>TOXINA BOTULÍNICA XEOMIN 100UI</v>
      </c>
      <c r="D150" s="59" t="str">
        <f>IFERROR(VLOOKUP(B:B,'SALDO ATUAL'!$A$3:$E1142,4,0),"")</f>
        <v>TOXINA</v>
      </c>
      <c r="E150" s="60" t="str">
        <f>IFERROR(VLOOKUP(B:B,'SALDO ATUAL'!$A$3:$E$999,5,0),"")</f>
        <v>037 - Unidade Internacional</v>
      </c>
      <c r="F150" s="15">
        <v>1</v>
      </c>
      <c r="G150" s="61"/>
      <c r="H150" s="56"/>
      <c r="I150" s="5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6.25" customHeight="1">
      <c r="A151" s="57">
        <v>46093</v>
      </c>
      <c r="B151" s="62">
        <v>333</v>
      </c>
      <c r="C151" s="58" t="str">
        <f>IFERROR(VLOOKUP(B:B,'SALDO ATUAL'!$A$3:$E$9999,3,0),"")</f>
        <v>TUBO DE COLETA DE SANGUE GEL SEPARADOR VERMELHO</v>
      </c>
      <c r="D151" s="59" t="str">
        <f>IFERROR(VLOOKUP(B:B,'SALDO ATUAL'!$A$3:$E1143,4,0),"")</f>
        <v>MATERIAIS DESCARTÁVEIS E APOIO</v>
      </c>
      <c r="E151" s="60" t="str">
        <f>IFERROR(VLOOKUP(B:B,'SALDO ATUAL'!$A$3:$E$999,5,0),"")</f>
        <v>035  Tubo</v>
      </c>
      <c r="F151" s="15">
        <v>1</v>
      </c>
      <c r="G151" s="61"/>
      <c r="H151" s="56"/>
      <c r="I151" s="5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6.25" customHeight="1">
      <c r="A152" s="57">
        <v>46093</v>
      </c>
      <c r="B152" s="62">
        <v>294</v>
      </c>
      <c r="C152" s="58" t="str">
        <f>IFERROR(VLOOKUP(B:B,'SALDO ATUAL'!$A$3:$E$9999,3,0),"")</f>
        <v>SERINGA 3ML LOCK - ROSCA DESCARPACK</v>
      </c>
      <c r="D152" s="59" t="str">
        <f>IFERROR(VLOOKUP(B:B,'SALDO ATUAL'!$A$3:$E1144,4,0),"")</f>
        <v>SERINGA</v>
      </c>
      <c r="E152" s="60" t="str">
        <f>IFERROR(VLOOKUP(B:B,'SALDO ATUAL'!$A$3:$E$999,5,0),"")</f>
        <v>031- Seringa</v>
      </c>
      <c r="F152" s="15">
        <v>10</v>
      </c>
      <c r="G152" s="61"/>
      <c r="H152" s="56"/>
      <c r="I152" s="5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6.25" customHeight="1">
      <c r="A153" s="57">
        <v>46094</v>
      </c>
      <c r="B153" s="62">
        <v>40</v>
      </c>
      <c r="C153" s="58" t="str">
        <f>IFERROR(VLOOKUP(B:B,'SALDO ATUAL'!$A$3:$E$9999,3,0),"")</f>
        <v>ALGODÃO QUADRADINHO SUSSEX</v>
      </c>
      <c r="D153" s="59" t="str">
        <f>IFERROR(VLOOKUP(B:B,'SALDO ATUAL'!$A$3:$E1145,4,0),"")</f>
        <v>MATERIAIS DESCARTÁVEIS E APOIO</v>
      </c>
      <c r="E153" s="60" t="str">
        <f>IFERROR(VLOOKUP(B:B,'SALDO ATUAL'!$A$3:$E$999,5,0),"")</f>
        <v>043 - Pacote</v>
      </c>
      <c r="F153" s="15">
        <v>1</v>
      </c>
      <c r="G153" s="61"/>
      <c r="H153" s="56"/>
      <c r="I153" s="5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6.25" customHeight="1">
      <c r="A154" s="57">
        <v>46094</v>
      </c>
      <c r="B154" s="62">
        <v>5</v>
      </c>
      <c r="C154" s="58" t="str">
        <f>IFERROR(VLOOKUP(B:B,'SALDO ATUAL'!$A$3:$E$9999,3,0),"")</f>
        <v>AGUA DESTILADA 5L</v>
      </c>
      <c r="D154" s="59" t="str">
        <f>IFERROR(VLOOKUP(B:B,'SALDO ATUAL'!$A$3:$E1146,4,0),"")</f>
        <v>SOLUÇÕES</v>
      </c>
      <c r="E154" s="60" t="str">
        <f>IFERROR(VLOOKUP(B:B,'SALDO ATUAL'!$A$3:$E$999,5,0),"")</f>
        <v>015- Galão</v>
      </c>
      <c r="F154" s="15">
        <v>1</v>
      </c>
      <c r="G154" s="61"/>
      <c r="H154" s="56"/>
      <c r="I154" s="5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6.25" customHeight="1">
      <c r="A155" s="57">
        <v>46094</v>
      </c>
      <c r="B155" s="62">
        <v>268</v>
      </c>
      <c r="C155" s="58" t="str">
        <f>IFERROR(VLOOKUP(B:B,'SALDO ATUAL'!$A$3:$E$9999,3,0),"")</f>
        <v>PONTEIRA F TIP DENSITY</v>
      </c>
      <c r="D155" s="59" t="str">
        <f>IFERROR(VLOOKUP(B:B,'SALDO ATUAL'!$A$3:$E1147,4,0),"")</f>
        <v>PONTEIRA</v>
      </c>
      <c r="E155" s="60" t="str">
        <f>IFERROR(VLOOKUP(B:B,'SALDO ATUAL'!$A$3:$E$999,5,0),"")</f>
        <v>036-Unidade</v>
      </c>
      <c r="F155" s="15">
        <v>1</v>
      </c>
      <c r="G155" s="61"/>
      <c r="H155" s="56"/>
      <c r="I155" s="5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6.25" customHeight="1">
      <c r="A156" s="57">
        <v>46094</v>
      </c>
      <c r="B156" s="62">
        <v>26</v>
      </c>
      <c r="C156" s="58" t="str">
        <f>IFERROR(VLOOKUP(B:B,'SALDO ATUAL'!$A$3:$E$9999,3,0),"")</f>
        <v>AH BELOTERO VOLUME</v>
      </c>
      <c r="D156" s="59" t="str">
        <f>IFERROR(VLOOKUP(B:B,'SALDO ATUAL'!$A$3:$E1148,4,0),"")</f>
        <v>PREENCHEDOR</v>
      </c>
      <c r="E156" s="60" t="str">
        <f>IFERROR(VLOOKUP(B:B,'SALDO ATUAL'!$A$3:$E$999,5,0),"")</f>
        <v>023 - Mililitro</v>
      </c>
      <c r="F156" s="15">
        <v>1</v>
      </c>
      <c r="G156" s="61"/>
      <c r="H156" s="56"/>
      <c r="I156" s="5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6.25" customHeight="1">
      <c r="A157" s="57">
        <v>46094</v>
      </c>
      <c r="B157" s="62">
        <v>24</v>
      </c>
      <c r="C157" s="58" t="str">
        <f>IFERROR(VLOOKUP(B:B,'SALDO ATUAL'!$A$3:$E$9999,3,0),"")</f>
        <v>AH BELOTERO BALANCE</v>
      </c>
      <c r="D157" s="59" t="str">
        <f>IFERROR(VLOOKUP(B:B,'SALDO ATUAL'!$A$3:$E1149,4,0),"")</f>
        <v>PREENCHEDOR</v>
      </c>
      <c r="E157" s="60" t="str">
        <f>IFERROR(VLOOKUP(B:B,'SALDO ATUAL'!$A$3:$E$999,5,0),"")</f>
        <v>023 - Mililitro</v>
      </c>
      <c r="F157" s="15">
        <v>1</v>
      </c>
      <c r="G157" s="61"/>
      <c r="H157" s="56"/>
      <c r="I157" s="5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6.25" customHeight="1">
      <c r="A158" s="57">
        <v>46094</v>
      </c>
      <c r="B158" s="62">
        <v>25</v>
      </c>
      <c r="C158" s="58" t="str">
        <f>IFERROR(VLOOKUP(B:B,'SALDO ATUAL'!$A$3:$E$9999,3,0),"")</f>
        <v>AH BELOTERO INTENSE</v>
      </c>
      <c r="D158" s="59" t="str">
        <f>IFERROR(VLOOKUP(B:B,'SALDO ATUAL'!$A$3:$E1150,4,0),"")</f>
        <v>PREENCHEDOR</v>
      </c>
      <c r="E158" s="60" t="str">
        <f>IFERROR(VLOOKUP(B:B,'SALDO ATUAL'!$A$3:$E$999,5,0),"")</f>
        <v>023 - Mililitro</v>
      </c>
      <c r="F158" s="15">
        <v>1</v>
      </c>
      <c r="G158" s="61"/>
      <c r="H158" s="56"/>
      <c r="I158" s="5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6.25" customHeight="1">
      <c r="A159" s="57">
        <v>46094</v>
      </c>
      <c r="B159" s="62">
        <v>329</v>
      </c>
      <c r="C159" s="58" t="str">
        <f>IFERROR(VLOOKUP(B:B,'SALDO ATUAL'!$A$3:$E$9999,3,0),"")</f>
        <v>TOXINA BOTULÍNICA XEOMIN 100UI</v>
      </c>
      <c r="D159" s="59" t="str">
        <f>IFERROR(VLOOKUP(B:B,'SALDO ATUAL'!$A$3:$E1151,4,0),"")</f>
        <v>TOXINA</v>
      </c>
      <c r="E159" s="60" t="str">
        <f>IFERROR(VLOOKUP(B:B,'SALDO ATUAL'!$A$3:$E$999,5,0),"")</f>
        <v>037 - Unidade Internacional</v>
      </c>
      <c r="F159" s="15">
        <v>1</v>
      </c>
      <c r="G159" s="61"/>
      <c r="H159" s="56"/>
      <c r="I159" s="5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6.25" customHeight="1">
      <c r="A160" s="57">
        <v>46094</v>
      </c>
      <c r="B160" s="62">
        <v>50</v>
      </c>
      <c r="C160" s="58" t="str">
        <f>IFERROR(VLOOKUP(B:B,'SALDO ATUAL'!$A$3:$E$9999,3,0),"")</f>
        <v>BÁLSAMO DE LIMPEZA FACIAL OLERA</v>
      </c>
      <c r="D160" s="59" t="str">
        <f>IFERROR(VLOOKUP(B:B,'SALDO ATUAL'!$A$3:$E1152,4,0),"")</f>
        <v>DERMOCOSMÉTICO E COSMÉTICO</v>
      </c>
      <c r="E160" s="60" t="str">
        <f>IFERROR(VLOOKUP(B:B,'SALDO ATUAL'!$A$3:$E$999,5,0),"")</f>
        <v>013 - Frasco</v>
      </c>
      <c r="F160" s="15">
        <v>1</v>
      </c>
      <c r="G160" s="61"/>
      <c r="H160" s="56"/>
      <c r="I160" s="5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6.25" customHeight="1">
      <c r="A161" s="57">
        <v>46094</v>
      </c>
      <c r="B161" s="62">
        <v>380</v>
      </c>
      <c r="C161" s="58" t="str">
        <f>IFERROR(VLOOKUP(B:B,'SALDO ATUAL'!$A$3:$E$9999,3,0),"")</f>
        <v>CREME 2 CLAREADOR INTENSO INC BEAUTY</v>
      </c>
      <c r="D161" s="59" t="str">
        <f>IFERROR(VLOOKUP(B:B,'SALDO ATUAL'!$A$3:$E1153,4,0),"")</f>
        <v>MANIPULADOS</v>
      </c>
      <c r="E161" s="60" t="str">
        <f>IFERROR(VLOOKUP(B:B,'SALDO ATUAL'!$A$3:$E$999,5,0),"")</f>
        <v xml:space="preserve">018- Grama </v>
      </c>
      <c r="F161" s="15">
        <v>1</v>
      </c>
      <c r="G161" s="61"/>
      <c r="H161" s="56"/>
      <c r="I161" s="5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6.25" customHeight="1">
      <c r="A162" s="57">
        <v>46094</v>
      </c>
      <c r="B162" s="62">
        <v>251</v>
      </c>
      <c r="C162" s="58" t="str">
        <f>IFERROR(VLOOKUP(B:B,'SALDO ATUAL'!$A$3:$E$9999,3,0),"")</f>
        <v>PANCAKE NUDE INC BEAUTY</v>
      </c>
      <c r="D162" s="59" t="str">
        <f>IFERROR(VLOOKUP(B:B,'SALDO ATUAL'!$A$3:$E1154,4,0),"")</f>
        <v>MANIPULADOS</v>
      </c>
      <c r="E162" s="60" t="str">
        <f>IFERROR(VLOOKUP(B:B,'SALDO ATUAL'!$A$3:$E$999,5,0),"")</f>
        <v>036-Unidade</v>
      </c>
      <c r="F162" s="15">
        <v>1</v>
      </c>
      <c r="G162" s="61"/>
      <c r="H162" s="56"/>
      <c r="I162" s="5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6.25" customHeight="1">
      <c r="A163" s="57">
        <v>46094</v>
      </c>
      <c r="B163" s="62">
        <v>98</v>
      </c>
      <c r="C163" s="58" t="str">
        <f>IFERROR(VLOOKUP(B:B,'SALDO ATUAL'!$A$3:$E$9999,3,0),"")</f>
        <v>CREME COM NUTRI OMEGA + ASSOCIAÇÕES INC BEAUTY</v>
      </c>
      <c r="D163" s="59" t="str">
        <f>IFERROR(VLOOKUP(B:B,'SALDO ATUAL'!$A$3:$E1155,4,0),"")</f>
        <v>MANIPULADOS</v>
      </c>
      <c r="E163" s="60" t="str">
        <f>IFERROR(VLOOKUP(B:B,'SALDO ATUAL'!$A$3:$E$999,5,0),"")</f>
        <v>018 - Grama</v>
      </c>
      <c r="F163" s="15">
        <v>1</v>
      </c>
      <c r="G163" s="61"/>
      <c r="H163" s="56"/>
      <c r="I163" s="5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6.25" customHeight="1">
      <c r="A164" s="57">
        <v>46094</v>
      </c>
      <c r="B164" s="62">
        <v>50</v>
      </c>
      <c r="C164" s="58" t="str">
        <f>IFERROR(VLOOKUP(B:B,'SALDO ATUAL'!$A$3:$E$9999,3,0),"")</f>
        <v>BÁLSAMO DE LIMPEZA FACIAL OLERA</v>
      </c>
      <c r="D164" s="59" t="str">
        <f>IFERROR(VLOOKUP(B:B,'SALDO ATUAL'!$A$3:$E1156,4,0),"")</f>
        <v>DERMOCOSMÉTICO E COSMÉTICO</v>
      </c>
      <c r="E164" s="60" t="str">
        <f>IFERROR(VLOOKUP(B:B,'SALDO ATUAL'!$A$3:$E$999,5,0),"")</f>
        <v>013 - Frasco</v>
      </c>
      <c r="F164" s="15">
        <v>1</v>
      </c>
      <c r="G164" s="61"/>
      <c r="H164" s="56"/>
      <c r="I164" s="5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6.25" customHeight="1">
      <c r="A165" s="57">
        <v>46094</v>
      </c>
      <c r="B165" s="62">
        <v>249</v>
      </c>
      <c r="C165" s="58" t="str">
        <f>IFERROR(VLOOKUP(B:B,'SALDO ATUAL'!$A$3:$E$9999,3,0),"")</f>
        <v>PANCAKE FPS 50 PEACH INC BEAUTY</v>
      </c>
      <c r="D165" s="59" t="str">
        <f>IFERROR(VLOOKUP(B:B,'SALDO ATUAL'!$A$3:$E1157,4,0),"")</f>
        <v>MANIPULADOS</v>
      </c>
      <c r="E165" s="60" t="str">
        <f>IFERROR(VLOOKUP(B:B,'SALDO ATUAL'!$A$3:$E$999,5,0),"")</f>
        <v>036-Unidade</v>
      </c>
      <c r="F165" s="15">
        <v>1</v>
      </c>
      <c r="G165" s="61"/>
      <c r="H165" s="56"/>
      <c r="I165" s="5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6.25" customHeight="1">
      <c r="A166" s="57">
        <v>46097</v>
      </c>
      <c r="B166" s="62">
        <v>359</v>
      </c>
      <c r="C166" s="58" t="str">
        <f>IFERROR(VLOOKUP(B:B,'SALDO ATUAL'!$A$3:$E$9999,3,0),"")</f>
        <v>NADH (PÓ LIOFILIZADO) OPTIMUS</v>
      </c>
      <c r="D166" s="59" t="str">
        <f>IFERROR(VLOOKUP(B:B,'SALDO ATUAL'!$A$3:$E1158,4,0),"")</f>
        <v>ATIVOS</v>
      </c>
      <c r="E166" s="60" t="str">
        <f>IFERROR(VLOOKUP(B:B,'SALDO ATUAL'!$A$3:$E$999,5,0),"")</f>
        <v>001- Ampola</v>
      </c>
      <c r="F166" s="15">
        <v>1</v>
      </c>
      <c r="G166" s="61"/>
      <c r="H166" s="56"/>
      <c r="I166" s="5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6.25" customHeight="1">
      <c r="A167" s="57">
        <v>46097</v>
      </c>
      <c r="B167" s="62">
        <v>289</v>
      </c>
      <c r="C167" s="58" t="str">
        <f>IFERROR(VLOOKUP(B:B,'SALDO ATUAL'!$A$3:$E$9999,3,0),"")</f>
        <v>SERINGA 10ML C/ ROSCA DESCARPACK</v>
      </c>
      <c r="D167" s="59" t="str">
        <f>IFERROR(VLOOKUP(B:B,'SALDO ATUAL'!$A$3:$E1159,4,0),"")</f>
        <v>SERINGA</v>
      </c>
      <c r="E167" s="60" t="str">
        <f>IFERROR(VLOOKUP(B:B,'SALDO ATUAL'!$A$3:$E$999,5,0),"")</f>
        <v>031- Seringa</v>
      </c>
      <c r="F167" s="15">
        <v>10</v>
      </c>
      <c r="G167" s="61"/>
      <c r="H167" s="56"/>
      <c r="I167" s="5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6.25" customHeight="1">
      <c r="A168" s="57">
        <v>46097</v>
      </c>
      <c r="B168" s="62">
        <v>294</v>
      </c>
      <c r="C168" s="58" t="str">
        <f>IFERROR(VLOOKUP(B:B,'SALDO ATUAL'!$A$3:$E$9999,3,0),"")</f>
        <v>SERINGA 3ML LOCK - ROSCA DESCARPACK</v>
      </c>
      <c r="D168" s="59" t="str">
        <f>IFERROR(VLOOKUP(B:B,'SALDO ATUAL'!$A$3:$E1160,4,0),"")</f>
        <v>SERINGA</v>
      </c>
      <c r="E168" s="60" t="str">
        <f>IFERROR(VLOOKUP(B:B,'SALDO ATUAL'!$A$3:$E$999,5,0),"")</f>
        <v>031- Seringa</v>
      </c>
      <c r="F168" s="15">
        <v>10</v>
      </c>
      <c r="G168" s="61"/>
      <c r="H168" s="56"/>
      <c r="I168" s="5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6.25" customHeight="1">
      <c r="A169" s="57">
        <v>46097</v>
      </c>
      <c r="B169" s="62">
        <v>24</v>
      </c>
      <c r="C169" s="58" t="str">
        <f>IFERROR(VLOOKUP(B:B,'SALDO ATUAL'!$A$3:$E$9999,3,0),"")</f>
        <v>AH BELOTERO BALANCE</v>
      </c>
      <c r="D169" s="59" t="str">
        <f>IFERROR(VLOOKUP(B:B,'SALDO ATUAL'!$A$3:$E1161,4,0),"")</f>
        <v>PREENCHEDOR</v>
      </c>
      <c r="E169" s="60" t="str">
        <f>IFERROR(VLOOKUP(B:B,'SALDO ATUAL'!$A$3:$E$999,5,0),"")</f>
        <v>023 - Mililitro</v>
      </c>
      <c r="F169" s="15">
        <v>1</v>
      </c>
      <c r="G169" s="61"/>
      <c r="H169" s="56"/>
      <c r="I169" s="5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6.25" customHeight="1">
      <c r="A170" s="57">
        <v>46097</v>
      </c>
      <c r="B170" s="62">
        <v>218</v>
      </c>
      <c r="C170" s="58" t="str">
        <f>IFERROR(VLOOKUP(B:B,'SALDO ATUAL'!$A$3:$E$9999,3,0),"")</f>
        <v>LUVA P SEM PÓ DESCARPACK</v>
      </c>
      <c r="D170" s="59" t="str">
        <f>IFERROR(VLOOKUP(B:B,'SALDO ATUAL'!$A$3:$E1162,4,0),"")</f>
        <v>MATERIAIS DESCARTÁVEIS E APOIO</v>
      </c>
      <c r="E170" s="60" t="str">
        <f>IFERROR(VLOOKUP(B:B,'SALDO ATUAL'!$A$3:$E$999,5,0),"")</f>
        <v>005- Caixa</v>
      </c>
      <c r="F170" s="15">
        <v>1</v>
      </c>
      <c r="G170" s="61"/>
      <c r="H170" s="56"/>
      <c r="I170" s="5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6.25" customHeight="1">
      <c r="A171" s="57">
        <v>46097</v>
      </c>
      <c r="B171" s="62">
        <v>209</v>
      </c>
      <c r="C171" s="58" t="str">
        <f>IFERROR(VLOOKUP(B:B,'SALDO ATUAL'!$A$3:$E$9999,3,0),"")</f>
        <v>LENÇOL SEM ELÁSTICO DEXCAR</v>
      </c>
      <c r="D171" s="59" t="str">
        <f>IFERROR(VLOOKUP(B:B,'SALDO ATUAL'!$A$3:$E1163,4,0),"")</f>
        <v>MATERIAIS DESCARTÁVEIS E APOIO</v>
      </c>
      <c r="E171" s="60" t="str">
        <f>IFERROR(VLOOKUP(B:B,'SALDO ATUAL'!$A$3:$E$999,5,0),"")</f>
        <v>036-Unidades</v>
      </c>
      <c r="F171" s="15">
        <v>1</v>
      </c>
      <c r="G171" s="61"/>
      <c r="H171" s="56"/>
      <c r="I171" s="5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6.25" customHeight="1">
      <c r="A172" s="57">
        <v>46097</v>
      </c>
      <c r="B172" s="62">
        <v>40</v>
      </c>
      <c r="C172" s="58" t="str">
        <f>IFERROR(VLOOKUP(B:B,'SALDO ATUAL'!$A$3:$E$9999,3,0),"")</f>
        <v>ALGODÃO QUADRADINHO SUSSEX</v>
      </c>
      <c r="D172" s="59" t="str">
        <f>IFERROR(VLOOKUP(B:B,'SALDO ATUAL'!$A$3:$E1164,4,0),"")</f>
        <v>MATERIAIS DESCARTÁVEIS E APOIO</v>
      </c>
      <c r="E172" s="60" t="str">
        <f>IFERROR(VLOOKUP(B:B,'SALDO ATUAL'!$A$3:$E$999,5,0),"")</f>
        <v>043 - Pacote</v>
      </c>
      <c r="F172" s="15">
        <v>1</v>
      </c>
      <c r="G172" s="61"/>
      <c r="H172" s="56"/>
      <c r="I172" s="5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6.25" customHeight="1">
      <c r="A173" s="57">
        <v>46097</v>
      </c>
      <c r="B173" s="62">
        <v>329</v>
      </c>
      <c r="C173" s="58" t="str">
        <f>IFERROR(VLOOKUP(B:B,'SALDO ATUAL'!$A$3:$E$9999,3,0),"")</f>
        <v>TOXINA BOTULÍNICA XEOMIN 100UI</v>
      </c>
      <c r="D173" s="59" t="str">
        <f>IFERROR(VLOOKUP(B:B,'SALDO ATUAL'!$A$3:$E1165,4,0),"")</f>
        <v>TOXINA</v>
      </c>
      <c r="E173" s="60" t="str">
        <f>IFERROR(VLOOKUP(B:B,'SALDO ATUAL'!$A$3:$E$999,5,0),"")</f>
        <v>037 - Unidade Internacional</v>
      </c>
      <c r="F173" s="15">
        <v>2</v>
      </c>
      <c r="G173" s="61"/>
      <c r="H173" s="56"/>
      <c r="I173" s="5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6.25" customHeight="1">
      <c r="A174" s="57">
        <v>46097</v>
      </c>
      <c r="B174" s="62">
        <v>336</v>
      </c>
      <c r="C174" s="58" t="str">
        <f>IFERROR(VLOOKUP(B:B,'SALDO ATUAL'!$A$3:$E$9999,3,0),"")</f>
        <v>VITAMINA C OPTIMUS</v>
      </c>
      <c r="D174" s="59" t="str">
        <f>IFERROR(VLOOKUP(B:B,'SALDO ATUAL'!$A$3:$E1166,4,0),"")</f>
        <v>ATIVOS</v>
      </c>
      <c r="E174" s="60" t="str">
        <f>IFERROR(VLOOKUP(B:B,'SALDO ATUAL'!$A$3:$E$999,5,0),"")</f>
        <v xml:space="preserve">001- Ampola </v>
      </c>
      <c r="F174" s="15">
        <v>1</v>
      </c>
      <c r="G174" s="61"/>
      <c r="H174" s="56"/>
      <c r="I174" s="5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6.25" customHeight="1">
      <c r="A175" s="57">
        <v>46097</v>
      </c>
      <c r="B175" s="62">
        <v>1</v>
      </c>
      <c r="C175" s="58" t="str">
        <f>IFERROR(VLOOKUP(B:B,'SALDO ATUAL'!$A$3:$E$9999,3,0),"")</f>
        <v>AC. ALFA LIPOICO OPTMUS</v>
      </c>
      <c r="D175" s="59" t="str">
        <f>IFERROR(VLOOKUP(B:B,'SALDO ATUAL'!$A$3:$E1167,4,0),"")</f>
        <v>ATIVOS</v>
      </c>
      <c r="E175" s="60" t="str">
        <f>IFERROR(VLOOKUP(B:B,'SALDO ATUAL'!$A$3:$E$999,5,0),"")</f>
        <v>001 - Ampola</v>
      </c>
      <c r="F175" s="15">
        <v>1</v>
      </c>
      <c r="G175" s="61"/>
      <c r="H175" s="56"/>
      <c r="I175" s="5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6.25" customHeight="1">
      <c r="A176" s="57">
        <v>46097</v>
      </c>
      <c r="B176" s="62">
        <v>80</v>
      </c>
      <c r="C176" s="58" t="str">
        <f>IFERROR(VLOOKUP(B:B,'SALDO ATUAL'!$A$3:$E$9999,3,0),"")</f>
        <v>CLORETO DE MAGNESIO OPTMUS</v>
      </c>
      <c r="D176" s="59" t="str">
        <f>IFERROR(VLOOKUP(B:B,'SALDO ATUAL'!$A$3:$E1168,4,0),"")</f>
        <v>ATIVOS</v>
      </c>
      <c r="E176" s="60" t="str">
        <f>IFERROR(VLOOKUP(B:B,'SALDO ATUAL'!$A$3:$E$999,5,0),"")</f>
        <v>001- Ampola</v>
      </c>
      <c r="F176" s="15">
        <v>1</v>
      </c>
      <c r="G176" s="61"/>
      <c r="H176" s="56"/>
      <c r="I176" s="5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6.25" customHeight="1">
      <c r="A177" s="57">
        <v>46097</v>
      </c>
      <c r="B177" s="62">
        <v>203</v>
      </c>
      <c r="C177" s="58" t="str">
        <f>IFERROR(VLOOKUP(B:B,'SALDO ATUAL'!$A$3:$E$9999,3,0),"")</f>
        <v>L GLUTATIONA OPTMUS</v>
      </c>
      <c r="D177" s="59" t="str">
        <f>IFERROR(VLOOKUP(B:B,'SALDO ATUAL'!$A$3:$E1169,4,0),"")</f>
        <v>ATIVOS</v>
      </c>
      <c r="E177" s="60" t="str">
        <f>IFERROR(VLOOKUP(B:B,'SALDO ATUAL'!$A$3:$E$999,5,0),"")</f>
        <v>001- Ampola</v>
      </c>
      <c r="F177" s="15">
        <v>1</v>
      </c>
      <c r="G177" s="61"/>
      <c r="H177" s="56"/>
      <c r="I177" s="5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6.25" customHeight="1">
      <c r="A178" s="57">
        <v>46097</v>
      </c>
      <c r="B178" s="62">
        <v>284</v>
      </c>
      <c r="C178" s="58" t="str">
        <f>IFERROR(VLOOKUP(B:B,'SALDO ATUAL'!$A$3:$E$9999,3,0),"")</f>
        <v>RESVERASROL OPTIMUS</v>
      </c>
      <c r="D178" s="59" t="str">
        <f>IFERROR(VLOOKUP(B:B,'SALDO ATUAL'!$A$3:$E1170,4,0),"")</f>
        <v>ATIVOS</v>
      </c>
      <c r="E178" s="60" t="str">
        <f>IFERROR(VLOOKUP(B:B,'SALDO ATUAL'!$A$3:$E$999,5,0),"")</f>
        <v>001- Ampola</v>
      </c>
      <c r="F178" s="15">
        <v>1</v>
      </c>
      <c r="G178" s="61"/>
      <c r="H178" s="56"/>
      <c r="I178" s="5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6.25" customHeight="1">
      <c r="A179" s="57">
        <v>46097</v>
      </c>
      <c r="B179" s="62">
        <v>357</v>
      </c>
      <c r="C179" s="58" t="str">
        <f>IFERROR(VLOOKUP(B:B,'SALDO ATUAL'!$A$3:$E$9999,3,0),"")</f>
        <v>SORO  EV 250ML</v>
      </c>
      <c r="D179" s="59" t="str">
        <f>IFERROR(VLOOKUP(B:B,'SALDO ATUAL'!$A$3:$E1171,4,0),"")</f>
        <v>MATERIAIS DESCARTÁVEIS E APOIO</v>
      </c>
      <c r="E179" s="60" t="str">
        <f>IFERROR(VLOOKUP(B:B,'SALDO ATUAL'!$A$3:$E$999,5,0),"")</f>
        <v xml:space="preserve">036- Unidade </v>
      </c>
      <c r="F179" s="15">
        <v>1</v>
      </c>
      <c r="G179" s="61"/>
      <c r="H179" s="56"/>
      <c r="I179" s="5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6.25" customHeight="1">
      <c r="A180" s="57">
        <v>46097</v>
      </c>
      <c r="B180" s="62">
        <v>354</v>
      </c>
      <c r="C180" s="58" t="str">
        <f>IFERROR(VLOOKUP(B:B,'SALDO ATUAL'!$A$3:$E$9999,3,0),"")</f>
        <v>SCALP 23G</v>
      </c>
      <c r="D180" s="59" t="str">
        <f>IFERROR(VLOOKUP(B:B,'SALDO ATUAL'!$A$3:$E1172,4,0),"")</f>
        <v>AGULHAS</v>
      </c>
      <c r="E180" s="60" t="str">
        <f>IFERROR(VLOOKUP(B:B,'SALDO ATUAL'!$A$3:$E$999,5,0),"")</f>
        <v xml:space="preserve">036- Unidade </v>
      </c>
      <c r="F180" s="15">
        <v>2</v>
      </c>
      <c r="G180" s="61"/>
      <c r="H180" s="56"/>
      <c r="I180" s="5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6.25" customHeight="1">
      <c r="A181" s="57">
        <v>46097</v>
      </c>
      <c r="B181" s="62">
        <v>356</v>
      </c>
      <c r="C181" s="58" t="str">
        <f>IFERROR(VLOOKUP(B:B,'SALDO ATUAL'!$A$3:$E$9999,3,0),"")</f>
        <v>JELCO 22G BD</v>
      </c>
      <c r="D181" s="59" t="str">
        <f>IFERROR(VLOOKUP(B:B,'SALDO ATUAL'!$A$3:$E1173,4,0),"")</f>
        <v>AGULHAS</v>
      </c>
      <c r="E181" s="60" t="str">
        <f>IFERROR(VLOOKUP(B:B,'SALDO ATUAL'!$A$3:$E$999,5,0),"")</f>
        <v xml:space="preserve">036- Unidade </v>
      </c>
      <c r="F181" s="15">
        <v>1</v>
      </c>
      <c r="G181" s="61"/>
      <c r="H181" s="56"/>
      <c r="I181" s="5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6.25" customHeight="1">
      <c r="A182" s="57">
        <v>46098</v>
      </c>
      <c r="B182" s="62">
        <v>98</v>
      </c>
      <c r="C182" s="58" t="str">
        <f>IFERROR(VLOOKUP(B:B,'SALDO ATUAL'!$A$3:$E$9999,3,0),"")</f>
        <v>CREME COM NUTRI OMEGA + ASSOCIAÇÕES INC BEAUTY</v>
      </c>
      <c r="D182" s="59" t="str">
        <f>IFERROR(VLOOKUP(B:B,'SALDO ATUAL'!$A$3:$E1174,4,0),"")</f>
        <v>MANIPULADOS</v>
      </c>
      <c r="E182" s="60" t="str">
        <f>IFERROR(VLOOKUP(B:B,'SALDO ATUAL'!$A$3:$E$999,5,0),"")</f>
        <v>018 - Grama</v>
      </c>
      <c r="F182" s="15">
        <v>1</v>
      </c>
      <c r="G182" s="61"/>
      <c r="H182" s="56"/>
      <c r="I182" s="5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6.25" customHeight="1">
      <c r="A183" s="57">
        <v>46098</v>
      </c>
      <c r="B183" s="14">
        <v>50</v>
      </c>
      <c r="C183" s="58" t="str">
        <f>IFERROR(VLOOKUP(B:B,'SALDO ATUAL'!$A$3:$E$9999,3,0),"")</f>
        <v>BÁLSAMO DE LIMPEZA FACIAL OLERA</v>
      </c>
      <c r="D183" s="59" t="str">
        <f>IFERROR(VLOOKUP(B:B,'SALDO ATUAL'!$A$3:$E1175,4,0),"")</f>
        <v>DERMOCOSMÉTICO E COSMÉTICO</v>
      </c>
      <c r="E183" s="60" t="str">
        <f>IFERROR(VLOOKUP(B:B,'SALDO ATUAL'!$A$3:$E$999,5,0),"")</f>
        <v>013 - Frasco</v>
      </c>
      <c r="F183" s="15">
        <v>1</v>
      </c>
      <c r="G183" s="61"/>
      <c r="H183" s="56"/>
      <c r="I183" s="5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6.25" customHeight="1">
      <c r="A184" s="57">
        <v>46098</v>
      </c>
      <c r="B184" s="62">
        <v>251</v>
      </c>
      <c r="C184" s="58" t="str">
        <f>IFERROR(VLOOKUP(B:B,'SALDO ATUAL'!$A$3:$E$9999,3,0),"")</f>
        <v>PANCAKE NUDE INC BEAUTY</v>
      </c>
      <c r="D184" s="59" t="str">
        <f>IFERROR(VLOOKUP(B:B,'SALDO ATUAL'!$A$3:$E1176,4,0),"")</f>
        <v>MANIPULADOS</v>
      </c>
      <c r="E184" s="60" t="str">
        <f>IFERROR(VLOOKUP(B:B,'SALDO ATUAL'!$A$3:$E$999,5,0),"")</f>
        <v>036-Unidade</v>
      </c>
      <c r="F184" s="15">
        <v>1</v>
      </c>
      <c r="G184" s="61"/>
      <c r="H184" s="56"/>
      <c r="I184" s="5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6.25" customHeight="1">
      <c r="A185" s="57">
        <v>46098</v>
      </c>
      <c r="B185" s="62">
        <v>96</v>
      </c>
      <c r="C185" s="58" t="str">
        <f>IFERROR(VLOOKUP(B:B,'SALDO ATUAL'!$A$3:$E$9999,3,0),"")</f>
        <v>CREME CALMANTE NIACINAMIDA INC BEAUTY</v>
      </c>
      <c r="D185" s="59" t="str">
        <f>IFERROR(VLOOKUP(B:B,'SALDO ATUAL'!$A$3:$E1177,4,0),"")</f>
        <v>MANIPULADOS</v>
      </c>
      <c r="E185" s="60" t="str">
        <f>IFERROR(VLOOKUP(B:B,'SALDO ATUAL'!$A$3:$E$999,5,0),"")</f>
        <v>018 - Grama</v>
      </c>
      <c r="F185" s="15">
        <v>1</v>
      </c>
      <c r="G185" s="61"/>
      <c r="H185" s="56"/>
      <c r="I185" s="5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6.25" customHeight="1">
      <c r="A186" s="57">
        <v>46099</v>
      </c>
      <c r="B186" s="62">
        <v>6</v>
      </c>
      <c r="C186" s="58" t="str">
        <f>IFERROR(VLOOKUP(B:B,'SALDO ATUAL'!$A$3:$E$9999,3,0),"")</f>
        <v>AGUA MICELAR BIODERMA</v>
      </c>
      <c r="D186" s="59" t="str">
        <f>IFERROR(VLOOKUP(B:B,'SALDO ATUAL'!$A$3:$E1178,4,0),"")</f>
        <v>DERMOCOSMÉTICO E COSMÉTICO</v>
      </c>
      <c r="E186" s="60" t="str">
        <f>IFERROR(VLOOKUP(B:B,'SALDO ATUAL'!$A$3:$E$999,5,0),"")</f>
        <v>036 - Unidade</v>
      </c>
      <c r="F186" s="15">
        <v>2</v>
      </c>
      <c r="G186" s="61"/>
      <c r="H186" s="56"/>
      <c r="I186" s="5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6.25" customHeight="1">
      <c r="A187" s="57">
        <v>46099</v>
      </c>
      <c r="B187" s="62">
        <v>218</v>
      </c>
      <c r="C187" s="58" t="str">
        <f>IFERROR(VLOOKUP(B:B,'SALDO ATUAL'!$A$3:$E$9999,3,0),"")</f>
        <v>LUVA P SEM PÓ DESCARPACK</v>
      </c>
      <c r="D187" s="59" t="str">
        <f>IFERROR(VLOOKUP(B:B,'SALDO ATUAL'!$A$3:$E1179,4,0),"")</f>
        <v>MATERIAIS DESCARTÁVEIS E APOIO</v>
      </c>
      <c r="E187" s="60" t="str">
        <f>IFERROR(VLOOKUP(B:B,'SALDO ATUAL'!$A$3:$E$999,5,0),"")</f>
        <v>005- Caixa</v>
      </c>
      <c r="F187" s="15">
        <v>1</v>
      </c>
      <c r="G187" s="61"/>
      <c r="H187" s="56"/>
      <c r="I187" s="5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6.25" customHeight="1">
      <c r="A188" s="57">
        <v>46099</v>
      </c>
      <c r="B188" s="14">
        <v>83</v>
      </c>
      <c r="C188" s="58" t="str">
        <f>IFERROR(VLOOKUP(B:B,'SALDO ATUAL'!$A$3:$E$9999,3,0),"")</f>
        <v>CLOREX AQUOSO 0,2% 100ML RIOHEX</v>
      </c>
      <c r="D188" s="59" t="str">
        <f>IFERROR(VLOOKUP(B:B,'SALDO ATUAL'!$A$3:$E1180,4,0),"")</f>
        <v>SOLUÇÕES</v>
      </c>
      <c r="E188" s="60" t="str">
        <f>IFERROR(VLOOKUP(B:B,'SALDO ATUAL'!$A$3:$E$999,5,0),"")</f>
        <v>023 - Mililitro</v>
      </c>
      <c r="F188" s="15">
        <v>1</v>
      </c>
      <c r="G188" s="61"/>
      <c r="H188" s="56"/>
      <c r="I188" s="5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6.25" customHeight="1">
      <c r="A189" s="57">
        <v>46099</v>
      </c>
      <c r="B189" s="62">
        <v>277</v>
      </c>
      <c r="C189" s="58" t="str">
        <f>IFERROR(VLOOKUP(B:B,'SALDO ATUAL'!$A$3:$E$9999,3,0),"")</f>
        <v>PROTETOR SOLAR ESCURA ISDIN</v>
      </c>
      <c r="D189" s="59" t="str">
        <f>IFERROR(VLOOKUP(B:B,'SALDO ATUAL'!$A$3:$E1181,4,0),"")</f>
        <v>DERMOCOSMÉTICO E COSMÉTICO</v>
      </c>
      <c r="E189" s="60" t="str">
        <f>IFERROR(VLOOKUP(B:B,'SALDO ATUAL'!$A$3:$E$999,5,0),"")</f>
        <v>036- Unidade</v>
      </c>
      <c r="F189" s="15">
        <v>1</v>
      </c>
      <c r="G189" s="61"/>
      <c r="H189" s="56"/>
      <c r="I189" s="5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6.25" customHeight="1">
      <c r="A190" s="57">
        <v>46099</v>
      </c>
      <c r="B190" s="62">
        <v>89</v>
      </c>
      <c r="C190" s="58" t="str">
        <f>IFERROR(VLOOKUP(B:B,'SALDO ATUAL'!$A$3:$E$9999,3,0),"")</f>
        <v>COMPRESSA GAZE 13 FIOS C/ 500 UNID MEDI HOUSE</v>
      </c>
      <c r="D190" s="59" t="str">
        <f>IFERROR(VLOOKUP(B:B,'SALDO ATUAL'!$A$3:$E1182,4,0),"")</f>
        <v>MATERIAIS DESCARTÁVEIS E APOIO</v>
      </c>
      <c r="E190" s="60" t="str">
        <f>IFERROR(VLOOKUP(B:B,'SALDO ATUAL'!$A$3:$E$999,5,0),"")</f>
        <v>036 - Unidade</v>
      </c>
      <c r="F190" s="15">
        <v>1</v>
      </c>
      <c r="G190" s="61"/>
      <c r="H190" s="56"/>
      <c r="I190" s="5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6.25" customHeight="1">
      <c r="A191" s="57">
        <v>46099</v>
      </c>
      <c r="B191" s="62">
        <v>329</v>
      </c>
      <c r="C191" s="58" t="str">
        <f>IFERROR(VLOOKUP(B:B,'SALDO ATUAL'!$A$3:$E$9999,3,0),"")</f>
        <v>TOXINA BOTULÍNICA XEOMIN 100UI</v>
      </c>
      <c r="D191" s="59" t="str">
        <f>IFERROR(VLOOKUP(B:B,'SALDO ATUAL'!$A$3:$E1183,4,0),"")</f>
        <v>TOXINA</v>
      </c>
      <c r="E191" s="60" t="str">
        <f>IFERROR(VLOOKUP(B:B,'SALDO ATUAL'!$A$3:$E$999,5,0),"")</f>
        <v>037 - Unidade Internacional</v>
      </c>
      <c r="F191" s="15">
        <v>2</v>
      </c>
      <c r="G191" s="61"/>
      <c r="H191" s="56"/>
      <c r="I191" s="5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6.25" customHeight="1">
      <c r="A192" s="57">
        <v>46099</v>
      </c>
      <c r="B192" s="14">
        <v>294</v>
      </c>
      <c r="C192" s="58" t="str">
        <f>IFERROR(VLOOKUP(B:B,'SALDO ATUAL'!$A$3:$E$9999,3,0),"")</f>
        <v>SERINGA 3ML LOCK - ROSCA DESCARPACK</v>
      </c>
      <c r="D192" s="59" t="str">
        <f>IFERROR(VLOOKUP(B:B,'SALDO ATUAL'!$A$3:$E1184,4,0),"")</f>
        <v>SERINGA</v>
      </c>
      <c r="E192" s="60" t="str">
        <f>IFERROR(VLOOKUP(B:B,'SALDO ATUAL'!$A$3:$E$999,5,0),"")</f>
        <v>031- Seringa</v>
      </c>
      <c r="F192" s="15">
        <v>10</v>
      </c>
      <c r="G192" s="61"/>
      <c r="H192" s="56"/>
      <c r="I192" s="5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6.25" customHeight="1">
      <c r="A193" s="57">
        <v>46099</v>
      </c>
      <c r="B193" s="62">
        <v>298</v>
      </c>
      <c r="C193" s="58" t="str">
        <f>IFERROR(VLOOKUP(B:B,'SALDO ATUAL'!$A$3:$E$9999,3,0),"")</f>
        <v>SERINGA 5ML LOCK - ROSCA BD</v>
      </c>
      <c r="D193" s="59" t="str">
        <f>IFERROR(VLOOKUP(B:B,'SALDO ATUAL'!$A$3:$E1185,4,0),"")</f>
        <v>SERINGA</v>
      </c>
      <c r="E193" s="60" t="str">
        <f>IFERROR(VLOOKUP(B:B,'SALDO ATUAL'!$A$3:$E$999,5,0),"")</f>
        <v>036- Unidade</v>
      </c>
      <c r="F193" s="15">
        <v>10</v>
      </c>
      <c r="G193" s="61"/>
      <c r="H193" s="56"/>
      <c r="I193" s="5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6.25" customHeight="1">
      <c r="A194" s="57">
        <v>46099</v>
      </c>
      <c r="B194" s="62">
        <v>306</v>
      </c>
      <c r="C194" s="58" t="str">
        <f>IFERROR(VLOOKUP(B:B,'SALDO ATUAL'!$A$3:$E$9999,3,0),"")</f>
        <v>SERINGA ULTRA FINE 0,3ML 0,8x0,30 BD</v>
      </c>
      <c r="D194" s="59" t="str">
        <f>IFERROR(VLOOKUP(B:B,'SALDO ATUAL'!$A$3:$E1186,4,0),"")</f>
        <v>SERINGA</v>
      </c>
      <c r="E194" s="60" t="str">
        <f>IFERROR(VLOOKUP(B:B,'SALDO ATUAL'!$A$3:$E$999,5,0),"")</f>
        <v>043- Pacotes</v>
      </c>
      <c r="F194" s="15">
        <v>3</v>
      </c>
      <c r="G194" s="61"/>
      <c r="H194" s="56"/>
      <c r="I194" s="5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6.25" customHeight="1">
      <c r="A195" s="57">
        <v>46099</v>
      </c>
      <c r="B195" s="14">
        <v>124</v>
      </c>
      <c r="C195" s="58" t="str">
        <f>IFERROR(VLOOKUP(B:B,'SALDO ATUAL'!$A$3:$E$9999,3,0),"")</f>
        <v>EXOCUBE</v>
      </c>
      <c r="D195" s="59" t="str">
        <f>IFERROR(VLOOKUP(B:B,'SALDO ATUAL'!$A$3:$E1187,4,0),"")</f>
        <v>TECNOLOGIA E INTRUMENTOS</v>
      </c>
      <c r="E195" s="60" t="str">
        <f>IFERROR(VLOOKUP(B:B,'SALDO ATUAL'!$A$3:$E$999,5,0),"")</f>
        <v>036 - Unidade</v>
      </c>
      <c r="F195" s="15">
        <v>1</v>
      </c>
      <c r="G195" s="61"/>
      <c r="H195" s="56"/>
      <c r="I195" s="5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6.25" customHeight="1">
      <c r="A196" s="57">
        <v>46099</v>
      </c>
      <c r="B196" s="62">
        <v>334</v>
      </c>
      <c r="C196" s="58" t="str">
        <f>IFERROR(VLOOKUP(B:B,'SALDO ATUAL'!$A$3:$E$9999,3,0),"")</f>
        <v>TUBO PRP ARE EXOCUBE</v>
      </c>
      <c r="D196" s="59" t="str">
        <f>IFERROR(VLOOKUP(B:B,'SALDO ATUAL'!$A$3:$E1188,4,0),"")</f>
        <v>MATERIAIS DESCARTÁVEIS E APOIO</v>
      </c>
      <c r="E196" s="60" t="str">
        <f>IFERROR(VLOOKUP(B:B,'SALDO ATUAL'!$A$3:$E$999,5,0),"")</f>
        <v>036-Unidade</v>
      </c>
      <c r="F196" s="15">
        <v>1</v>
      </c>
      <c r="G196" s="61"/>
      <c r="H196" s="56"/>
      <c r="I196" s="5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6.25" customHeight="1">
      <c r="A197" s="57">
        <v>46099</v>
      </c>
      <c r="B197" s="62">
        <v>354</v>
      </c>
      <c r="C197" s="58" t="str">
        <f>IFERROR(VLOOKUP(B:B,'SALDO ATUAL'!$A$3:$E$9999,3,0),"")</f>
        <v>SCALP 23G</v>
      </c>
      <c r="D197" s="59" t="str">
        <f>IFERROR(VLOOKUP(B:B,'SALDO ATUAL'!$A$3:$E1189,4,0),"")</f>
        <v>AGULHAS</v>
      </c>
      <c r="E197" s="60" t="str">
        <f>IFERROR(VLOOKUP(B:B,'SALDO ATUAL'!$A$3:$E$999,5,0),"")</f>
        <v xml:space="preserve">036- Unidade </v>
      </c>
      <c r="F197" s="15">
        <v>1</v>
      </c>
      <c r="G197" s="61"/>
      <c r="H197" s="56"/>
      <c r="I197" s="5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6.25" customHeight="1">
      <c r="A198" s="57">
        <v>46099</v>
      </c>
      <c r="B198" s="62">
        <v>375</v>
      </c>
      <c r="C198" s="58" t="str">
        <f>IFERROR(VLOOKUP(B:B,'SALDO ATUAL'!$A$3:$E$9999,3,0),"")</f>
        <v>SERINGA 10ML C/ ROSCA BD</v>
      </c>
      <c r="D198" s="59" t="str">
        <f>IFERROR(VLOOKUP(B:B,'SALDO ATUAL'!$A$3:$E1190,4,0),"")</f>
        <v>SERINGA</v>
      </c>
      <c r="E198" s="60" t="str">
        <f>IFERROR(VLOOKUP(B:B,'SALDO ATUAL'!$A$3:$E$999,5,0),"")</f>
        <v>036- Unidade</v>
      </c>
      <c r="F198" s="15">
        <v>10</v>
      </c>
      <c r="G198" s="61"/>
      <c r="H198" s="56"/>
      <c r="I198" s="5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6.25" customHeight="1">
      <c r="A199" s="57">
        <v>46099</v>
      </c>
      <c r="B199" s="62">
        <v>354</v>
      </c>
      <c r="C199" s="58" t="str">
        <f>IFERROR(VLOOKUP(B:B,'SALDO ATUAL'!$A$3:$E$9999,3,0),"")</f>
        <v>SCALP 23G</v>
      </c>
      <c r="D199" s="59" t="str">
        <f>IFERROR(VLOOKUP(B:B,'SALDO ATUAL'!$A$3:$E1191,4,0),"")</f>
        <v>AGULHAS</v>
      </c>
      <c r="E199" s="60" t="str">
        <f>IFERROR(VLOOKUP(B:B,'SALDO ATUAL'!$A$3:$E$999,5,0),"")</f>
        <v xml:space="preserve">036- Unidade </v>
      </c>
      <c r="F199" s="15">
        <v>2</v>
      </c>
      <c r="G199" s="61"/>
      <c r="H199" s="56"/>
      <c r="I199" s="5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6.25" customHeight="1">
      <c r="A200" s="57">
        <v>46099</v>
      </c>
      <c r="B200" s="62">
        <v>357</v>
      </c>
      <c r="C200" s="58" t="str">
        <f>IFERROR(VLOOKUP(B:B,'SALDO ATUAL'!$A$3:$E$9999,3,0),"")</f>
        <v>SORO  EV 250ML</v>
      </c>
      <c r="D200" s="59" t="str">
        <f>IFERROR(VLOOKUP(B:B,'SALDO ATUAL'!$A$3:$E1192,4,0),"")</f>
        <v>MATERIAIS DESCARTÁVEIS E APOIO</v>
      </c>
      <c r="E200" s="60" t="str">
        <f>IFERROR(VLOOKUP(B:B,'SALDO ATUAL'!$A$3:$E$999,5,0),"")</f>
        <v xml:space="preserve">036- Unidade </v>
      </c>
      <c r="F200" s="15">
        <v>1</v>
      </c>
      <c r="G200" s="61"/>
      <c r="H200" s="56"/>
      <c r="I200" s="5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6.25" customHeight="1">
      <c r="A201" s="57">
        <v>46099</v>
      </c>
      <c r="B201" s="62">
        <v>355</v>
      </c>
      <c r="C201" s="58" t="str">
        <f>IFERROR(VLOOKUP(B:B,'SALDO ATUAL'!$A$3:$E$9999,3,0),"")</f>
        <v>EQUIPO TKL</v>
      </c>
      <c r="D201" s="59" t="str">
        <f>IFERROR(VLOOKUP(B:B,'SALDO ATUAL'!$A$3:$E1193,4,0),"")</f>
        <v>MATERIAIS DESCARTÁVEIS E APOIO</v>
      </c>
      <c r="E201" s="60" t="str">
        <f>IFERROR(VLOOKUP(B:B,'SALDO ATUAL'!$A$3:$E$999,5,0),"")</f>
        <v xml:space="preserve">036- Unidade </v>
      </c>
      <c r="F201" s="15">
        <v>1</v>
      </c>
      <c r="G201" s="61"/>
      <c r="H201" s="56"/>
      <c r="I201" s="5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6.25" customHeight="1">
      <c r="A202" s="57">
        <v>46100</v>
      </c>
      <c r="B202" s="62">
        <v>363</v>
      </c>
      <c r="C202" s="58" t="str">
        <f>IFERROR(VLOOKUP(B:B,'SALDO ATUAL'!$A$3:$E$9999,3,0),"")</f>
        <v>ALFA LIPÓICO 600mg OPTIMUS</v>
      </c>
      <c r="D202" s="59" t="str">
        <f>IFERROR(VLOOKUP(B:B,'SALDO ATUAL'!$A$3:$E1194,4,0),"")</f>
        <v>MANIPULADOS</v>
      </c>
      <c r="E202" s="60" t="str">
        <f>IFERROR(VLOOKUP(B:B,'SALDO ATUAL'!$A$3:$E$999,5,0),"")</f>
        <v>023- Mililitro</v>
      </c>
      <c r="F202" s="15">
        <v>60</v>
      </c>
      <c r="G202" s="61"/>
      <c r="H202" s="56"/>
      <c r="I202" s="5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6.25" customHeight="1">
      <c r="A203" s="57">
        <v>46100</v>
      </c>
      <c r="B203" s="62">
        <v>411</v>
      </c>
      <c r="C203" s="58" t="str">
        <f>IFERROR(VLOOKUP(B:B,'SALDO ATUAL'!$A$3:$E$9999,3,0),"")</f>
        <v>AROMATIZADOR DE AR</v>
      </c>
      <c r="D203" s="59" t="str">
        <f>IFERROR(VLOOKUP(B:B,'SALDO ATUAL'!$A$3:$E1195,4,0),"")</f>
        <v>ITEM OPERACIONAL</v>
      </c>
      <c r="E203" s="60" t="str">
        <f>IFERROR(VLOOKUP(B:B,'SALDO ATUAL'!$A$3:$E$999,5,0),"")</f>
        <v>023 - Mililitro</v>
      </c>
      <c r="F203" s="15">
        <v>1</v>
      </c>
      <c r="G203" s="61"/>
      <c r="H203" s="56"/>
      <c r="I203" s="5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6.25" customHeight="1">
      <c r="A204" s="57">
        <v>46100</v>
      </c>
      <c r="B204" s="62">
        <v>416</v>
      </c>
      <c r="C204" s="58" t="str">
        <f>IFERROR(VLOOKUP(B:B,'SALDO ATUAL'!$A$3:$E$9999,3,0),"")</f>
        <v>MÁSCARA DE CARVÃO ESTHEMAX</v>
      </c>
      <c r="D204" s="59" t="str">
        <f>IFERROR(VLOOKUP(B:B,'SALDO ATUAL'!$A$3:$E1196,4,0),"")</f>
        <v>DERMOCOSMÉTICO E COSMÉTICO</v>
      </c>
      <c r="E204" s="60" t="str">
        <f>IFERROR(VLOOKUP(B:B,'SALDO ATUAL'!$A$3:$E$999,5,0),"")</f>
        <v>030 - Quilograma</v>
      </c>
      <c r="F204" s="15">
        <v>1</v>
      </c>
      <c r="G204" s="61"/>
      <c r="H204" s="56"/>
      <c r="I204" s="5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6.25" customHeight="1">
      <c r="A205" s="57">
        <v>46100</v>
      </c>
      <c r="B205" s="14">
        <v>249</v>
      </c>
      <c r="C205" s="58" t="str">
        <f>IFERROR(VLOOKUP(B:B,'SALDO ATUAL'!$A$3:$E$9999,3,0),"")</f>
        <v>PANCAKE FPS 50 PEACH INC BEAUTY</v>
      </c>
      <c r="D205" s="59" t="str">
        <f>IFERROR(VLOOKUP(B:B,'SALDO ATUAL'!$A$3:$E1197,4,0),"")</f>
        <v>MANIPULADOS</v>
      </c>
      <c r="E205" s="60" t="str">
        <f>IFERROR(VLOOKUP(B:B,'SALDO ATUAL'!$A$3:$E$999,5,0),"")</f>
        <v>036-Unidade</v>
      </c>
      <c r="F205" s="15">
        <v>1</v>
      </c>
      <c r="G205" s="61"/>
      <c r="H205" s="56"/>
      <c r="I205" s="5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6.25" customHeight="1">
      <c r="A206" s="57">
        <v>46100</v>
      </c>
      <c r="B206" s="62">
        <v>94</v>
      </c>
      <c r="C206" s="58" t="str">
        <f>IFERROR(VLOOKUP(B:B,'SALDO ATUAL'!$A$3:$E$9999,3,0),"")</f>
        <v>CREME 1 CALMANTE IMEDIATO INC BEAUTY</v>
      </c>
      <c r="D206" s="59" t="str">
        <f>IFERROR(VLOOKUP(B:B,'SALDO ATUAL'!$A$3:$E1198,4,0),"")</f>
        <v>MANIPULADOS</v>
      </c>
      <c r="E206" s="60" t="str">
        <f>IFERROR(VLOOKUP(B:B,'SALDO ATUAL'!$A$3:$E$999,5,0),"")</f>
        <v>018 - Grama</v>
      </c>
      <c r="F206" s="15">
        <v>2</v>
      </c>
      <c r="G206" s="61"/>
      <c r="H206" s="56"/>
      <c r="I206" s="5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6.25" customHeight="1">
      <c r="A207" s="57">
        <v>46100</v>
      </c>
      <c r="B207" s="62">
        <v>220</v>
      </c>
      <c r="C207" s="58" t="str">
        <f>IFERROR(VLOOKUP(B:B,'SALDO ATUAL'!$A$3:$E$9999,3,0),"")</f>
        <v>MASCARA ARGILA INC BEAUTY</v>
      </c>
      <c r="D207" s="59" t="str">
        <f>IFERROR(VLOOKUP(B:B,'SALDO ATUAL'!$A$3:$E1199,4,0),"")</f>
        <v>MANIPULADOS</v>
      </c>
      <c r="E207" s="60" t="str">
        <f>IFERROR(VLOOKUP(B:B,'SALDO ATUAL'!$A$3:$E$999,5,0),"")</f>
        <v>018 - Grama</v>
      </c>
      <c r="F207" s="15">
        <v>1</v>
      </c>
      <c r="G207" s="61"/>
      <c r="H207" s="56"/>
      <c r="I207" s="5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6.25" customHeight="1">
      <c r="A208" s="57">
        <v>46100</v>
      </c>
      <c r="B208" s="62">
        <v>380</v>
      </c>
      <c r="C208" s="58" t="str">
        <f>IFERROR(VLOOKUP(B:B,'SALDO ATUAL'!$A$3:$E$9999,3,0),"")</f>
        <v>CREME 2 CLAREADOR INTENSO INC BEAUTY</v>
      </c>
      <c r="D208" s="59" t="str">
        <f>IFERROR(VLOOKUP(B:B,'SALDO ATUAL'!$A$3:$E1200,4,0),"")</f>
        <v>MANIPULADOS</v>
      </c>
      <c r="E208" s="60" t="str">
        <f>IFERROR(VLOOKUP(B:B,'SALDO ATUAL'!$A$3:$E$999,5,0),"")</f>
        <v xml:space="preserve">018- Grama </v>
      </c>
      <c r="F208" s="15">
        <v>1</v>
      </c>
      <c r="G208" s="61"/>
      <c r="H208" s="56"/>
      <c r="I208" s="5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6.25" customHeight="1">
      <c r="A209" s="57">
        <v>46101</v>
      </c>
      <c r="B209" s="68">
        <v>354</v>
      </c>
      <c r="C209" s="58" t="str">
        <f>IFERROR(VLOOKUP(B:B,'SALDO ATUAL'!$A$3:$E$9999,3,0),"")</f>
        <v>SCALP 23G</v>
      </c>
      <c r="D209" s="59" t="str">
        <f>IFERROR(VLOOKUP(B:B,'SALDO ATUAL'!$A$3:$E1201,4,0),"")</f>
        <v>AGULHAS</v>
      </c>
      <c r="E209" s="60" t="str">
        <f>IFERROR(VLOOKUP(B:B,'SALDO ATUAL'!$A$3:$E$999,5,0),"")</f>
        <v xml:space="preserve">036- Unidade </v>
      </c>
      <c r="F209" s="15">
        <v>1</v>
      </c>
      <c r="G209" s="61"/>
      <c r="H209" s="56"/>
      <c r="I209" s="5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6.25" customHeight="1">
      <c r="A210" s="57">
        <v>46101</v>
      </c>
      <c r="B210" s="62">
        <v>359</v>
      </c>
      <c r="C210" s="58" t="str">
        <f>IFERROR(VLOOKUP(B:B,'SALDO ATUAL'!$A$3:$E$9999,3,0),"")</f>
        <v>NADH (PÓ LIOFILIZADO) OPTIMUS</v>
      </c>
      <c r="D210" s="59" t="str">
        <f>IFERROR(VLOOKUP(B:B,'SALDO ATUAL'!$A$3:$E1202,4,0),"")</f>
        <v>ATIVOS</v>
      </c>
      <c r="E210" s="60" t="str">
        <f>IFERROR(VLOOKUP(B:B,'SALDO ATUAL'!$A$3:$E$999,5,0),"")</f>
        <v>001- Ampola</v>
      </c>
      <c r="F210" s="15">
        <v>1</v>
      </c>
      <c r="G210" s="61"/>
      <c r="H210" s="56"/>
      <c r="I210" s="5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6.25" customHeight="1">
      <c r="A211" s="57">
        <v>46101</v>
      </c>
      <c r="B211" s="62">
        <v>357</v>
      </c>
      <c r="C211" s="58" t="str">
        <f>IFERROR(VLOOKUP(B:B,'SALDO ATUAL'!$A$3:$E$9999,3,0),"")</f>
        <v>SORO  EV 250ML</v>
      </c>
      <c r="D211" s="59" t="str">
        <f>IFERROR(VLOOKUP(B:B,'SALDO ATUAL'!$A$3:$E1203,4,0),"")</f>
        <v>MATERIAIS DESCARTÁVEIS E APOIO</v>
      </c>
      <c r="E211" s="60" t="str">
        <f>IFERROR(VLOOKUP(B:B,'SALDO ATUAL'!$A$3:$E$999,5,0),"")</f>
        <v xml:space="preserve">036- Unidade </v>
      </c>
      <c r="F211" s="15">
        <v>1</v>
      </c>
      <c r="G211" s="61"/>
      <c r="H211" s="56"/>
      <c r="I211" s="5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6.25" customHeight="1">
      <c r="A212" s="57">
        <v>46101</v>
      </c>
      <c r="B212" s="62">
        <v>355</v>
      </c>
      <c r="C212" s="58" t="str">
        <f>IFERROR(VLOOKUP(B:B,'SALDO ATUAL'!$A$3:$E$9999,3,0),"")</f>
        <v>EQUIPO TKL</v>
      </c>
      <c r="D212" s="59" t="str">
        <f>IFERROR(VLOOKUP(B:B,'SALDO ATUAL'!$A$3:$E1204,4,0),"")</f>
        <v>MATERIAIS DESCARTÁVEIS E APOIO</v>
      </c>
      <c r="E212" s="60" t="str">
        <f>IFERROR(VLOOKUP(B:B,'SALDO ATUAL'!$A$3:$E$999,5,0),"")</f>
        <v xml:space="preserve">036- Unidade </v>
      </c>
      <c r="F212" s="15">
        <v>1</v>
      </c>
      <c r="G212" s="61"/>
      <c r="H212" s="56"/>
      <c r="I212" s="5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6.25" customHeight="1">
      <c r="A213" s="57">
        <v>46101</v>
      </c>
      <c r="B213" s="62">
        <v>336</v>
      </c>
      <c r="C213" s="58" t="str">
        <f>IFERROR(VLOOKUP(B:B,'SALDO ATUAL'!$A$3:$E$9999,3,0),"")</f>
        <v>VITAMINA C OPTIMUS</v>
      </c>
      <c r="D213" s="59" t="str">
        <f>IFERROR(VLOOKUP(B:B,'SALDO ATUAL'!$A$3:$E1205,4,0),"")</f>
        <v>ATIVOS</v>
      </c>
      <c r="E213" s="60" t="str">
        <f>IFERROR(VLOOKUP(B:B,'SALDO ATUAL'!$A$3:$E$999,5,0),"")</f>
        <v xml:space="preserve">001- Ampola </v>
      </c>
      <c r="F213" s="15">
        <v>1</v>
      </c>
      <c r="G213" s="61"/>
      <c r="H213" s="56"/>
      <c r="I213" s="5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6.25" customHeight="1">
      <c r="A214" s="57">
        <v>46101</v>
      </c>
      <c r="B214" s="62">
        <v>322</v>
      </c>
      <c r="C214" s="58" t="str">
        <f>IFERROR(VLOOKUP(B:B,'SALDO ATUAL'!$A$3:$E$9999,3,0),"")</f>
        <v>SULF . DE ZINCO OPTIMUS</v>
      </c>
      <c r="D214" s="59" t="str">
        <f>IFERROR(VLOOKUP(B:B,'SALDO ATUAL'!$A$3:$E1206,4,0),"")</f>
        <v>INJETAVEL</v>
      </c>
      <c r="E214" s="60" t="str">
        <f>IFERROR(VLOOKUP(B:B,'SALDO ATUAL'!$A$3:$E$999,5,0),"")</f>
        <v>001 - Ampola</v>
      </c>
      <c r="F214" s="15">
        <v>1</v>
      </c>
      <c r="G214" s="61"/>
      <c r="H214" s="56"/>
      <c r="I214" s="5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6.25" customHeight="1">
      <c r="A215" s="57">
        <v>46101</v>
      </c>
      <c r="B215" s="62">
        <v>203</v>
      </c>
      <c r="C215" s="58" t="str">
        <f>IFERROR(VLOOKUP(B:B,'SALDO ATUAL'!$A$3:$E$9999,3,0),"")</f>
        <v>L GLUTATIONA OPTMUS</v>
      </c>
      <c r="D215" s="59" t="str">
        <f>IFERROR(VLOOKUP(B:B,'SALDO ATUAL'!$A$3:$E1207,4,0),"")</f>
        <v>ATIVOS</v>
      </c>
      <c r="E215" s="60" t="str">
        <f>IFERROR(VLOOKUP(B:B,'SALDO ATUAL'!$A$3:$E$999,5,0),"")</f>
        <v>001- Ampola</v>
      </c>
      <c r="F215" s="15">
        <v>1</v>
      </c>
      <c r="G215" s="61"/>
      <c r="H215" s="56"/>
      <c r="I215" s="5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6.25" customHeight="1">
      <c r="A216" s="57">
        <v>46101</v>
      </c>
      <c r="B216" s="62">
        <v>63</v>
      </c>
      <c r="C216" s="58" t="str">
        <f>IFERROR(VLOOKUP(B:B,'SALDO ATUAL'!$A$3:$E$9999,3,0),"")</f>
        <v>BIOTINA OPTIMUS</v>
      </c>
      <c r="D216" s="59" t="str">
        <f>IFERROR(VLOOKUP(B:B,'SALDO ATUAL'!$A$3:$E1208,4,0),"")</f>
        <v>INJETAVEL</v>
      </c>
      <c r="E216" s="60" t="str">
        <f>IFERROR(VLOOKUP(B:B,'SALDO ATUAL'!$A$3:$E$999,5,0),"")</f>
        <v>001 - Ampola</v>
      </c>
      <c r="F216" s="15">
        <v>1</v>
      </c>
      <c r="G216" s="61"/>
      <c r="H216" s="56"/>
      <c r="I216" s="5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6.25" customHeight="1">
      <c r="A217" s="57">
        <v>46101</v>
      </c>
      <c r="B217" s="62">
        <v>103</v>
      </c>
      <c r="C217" s="58" t="str">
        <f>IFERROR(VLOOKUP(B:B,'SALDO ATUAL'!$A$3:$E$9999,3,0),"")</f>
        <v>D PANTENOL OPTIMUS</v>
      </c>
      <c r="D217" s="59" t="str">
        <f>IFERROR(VLOOKUP(B:B,'SALDO ATUAL'!$A$3:$E1209,4,0),"")</f>
        <v>ATIVOS</v>
      </c>
      <c r="E217" s="60" t="str">
        <f>IFERROR(VLOOKUP(B:B,'SALDO ATUAL'!$A$3:$E$999,5,0),"")</f>
        <v>001 - Ampola</v>
      </c>
      <c r="F217" s="15">
        <v>1</v>
      </c>
      <c r="G217" s="61"/>
      <c r="H217" s="56"/>
      <c r="I217" s="5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6.25" customHeight="1">
      <c r="A218" s="57">
        <v>46101</v>
      </c>
      <c r="B218" s="62">
        <v>289</v>
      </c>
      <c r="C218" s="58" t="str">
        <f>IFERROR(VLOOKUP(B:B,'SALDO ATUAL'!$A$3:$E$9999,3,0),"")</f>
        <v>SERINGA 10ML C/ ROSCA DESCARPACK</v>
      </c>
      <c r="D218" s="59" t="str">
        <f>IFERROR(VLOOKUP(B:B,'SALDO ATUAL'!$A$3:$E1210,4,0),"")</f>
        <v>SERINGA</v>
      </c>
      <c r="E218" s="60" t="str">
        <f>IFERROR(VLOOKUP(B:B,'SALDO ATUAL'!$A$3:$E$999,5,0),"")</f>
        <v>031- Seringa</v>
      </c>
      <c r="F218" s="15">
        <v>10</v>
      </c>
      <c r="G218" s="61"/>
      <c r="H218" s="56"/>
      <c r="I218" s="5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6.25" customHeight="1">
      <c r="A219" s="57">
        <v>46101</v>
      </c>
      <c r="B219" s="62">
        <v>375</v>
      </c>
      <c r="C219" s="58" t="str">
        <f>IFERROR(VLOOKUP(B:B,'SALDO ATUAL'!$A$3:$E$9999,3,0),"")</f>
        <v>SERINGA 10ML C/ ROSCA BD</v>
      </c>
      <c r="D219" s="59" t="str">
        <f>IFERROR(VLOOKUP(B:B,'SALDO ATUAL'!$A$3:$E1211,4,0),"")</f>
        <v>SERINGA</v>
      </c>
      <c r="E219" s="60" t="str">
        <f>IFERROR(VLOOKUP(B:B,'SALDO ATUAL'!$A$3:$E$999,5,0),"")</f>
        <v>036- Unidade</v>
      </c>
      <c r="F219" s="15">
        <v>10</v>
      </c>
      <c r="G219" s="61"/>
      <c r="H219" s="56"/>
      <c r="I219" s="5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6.25" customHeight="1">
      <c r="A220" s="57">
        <v>46101</v>
      </c>
      <c r="B220" s="62">
        <v>124</v>
      </c>
      <c r="C220" s="58" t="str">
        <f>IFERROR(VLOOKUP(B:B,'SALDO ATUAL'!$A$3:$E$9999,3,0),"")</f>
        <v>EXOCUBE</v>
      </c>
      <c r="D220" s="59" t="str">
        <f>IFERROR(VLOOKUP(B:B,'SALDO ATUAL'!$A$3:$E1212,4,0),"")</f>
        <v>TECNOLOGIA E INTRUMENTOS</v>
      </c>
      <c r="E220" s="60" t="str">
        <f>IFERROR(VLOOKUP(B:B,'SALDO ATUAL'!$A$3:$E$999,5,0),"")</f>
        <v>036 - Unidade</v>
      </c>
      <c r="F220" s="15">
        <v>1</v>
      </c>
      <c r="G220" s="61"/>
      <c r="H220" s="56"/>
      <c r="I220" s="5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6.25" customHeight="1">
      <c r="A221" s="57">
        <v>46101</v>
      </c>
      <c r="B221" s="62">
        <v>334</v>
      </c>
      <c r="C221" s="58" t="str">
        <f>IFERROR(VLOOKUP(B:B,'SALDO ATUAL'!$A$3:$E$9999,3,0),"")</f>
        <v>TUBO PRP ARE EXOCUBE</v>
      </c>
      <c r="D221" s="59" t="str">
        <f>IFERROR(VLOOKUP(B:B,'SALDO ATUAL'!$A$3:$E1213,4,0),"")</f>
        <v>MATERIAIS DESCARTÁVEIS E APOIO</v>
      </c>
      <c r="E221" s="60" t="str">
        <f>IFERROR(VLOOKUP(B:B,'SALDO ATUAL'!$A$3:$E$999,5,0),"")</f>
        <v>036-Unidade</v>
      </c>
      <c r="F221" s="15">
        <v>1</v>
      </c>
      <c r="G221" s="61"/>
      <c r="H221" s="56"/>
      <c r="I221" s="5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6.25" customHeight="1">
      <c r="A222" s="57">
        <v>46101</v>
      </c>
      <c r="B222" s="62">
        <v>354</v>
      </c>
      <c r="C222" s="58" t="str">
        <f>IFERROR(VLOOKUP(B:B,'SALDO ATUAL'!$A$3:$E$9999,3,0),"")</f>
        <v>SCALP 23G</v>
      </c>
      <c r="D222" s="59" t="str">
        <f>IFERROR(VLOOKUP(B:B,'SALDO ATUAL'!$A$3:$E1214,4,0),"")</f>
        <v>AGULHAS</v>
      </c>
      <c r="E222" s="60" t="str">
        <f>IFERROR(VLOOKUP(B:B,'SALDO ATUAL'!$A$3:$E$999,5,0),"")</f>
        <v xml:space="preserve">036- Unidade </v>
      </c>
      <c r="F222" s="15">
        <v>1</v>
      </c>
      <c r="G222" s="61"/>
      <c r="H222" s="56"/>
      <c r="I222" s="5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6.25" customHeight="1">
      <c r="A223" s="57">
        <v>46101</v>
      </c>
      <c r="B223" s="62">
        <v>25</v>
      </c>
      <c r="C223" s="58" t="str">
        <f>IFERROR(VLOOKUP(B:B,'SALDO ATUAL'!$A$3:$E$9999,3,0),"")</f>
        <v>AH BELOTERO INTENSE</v>
      </c>
      <c r="D223" s="59" t="str">
        <f>IFERROR(VLOOKUP(B:B,'SALDO ATUAL'!$A$3:$E1215,4,0),"")</f>
        <v>PREENCHEDOR</v>
      </c>
      <c r="E223" s="60" t="str">
        <f>IFERROR(VLOOKUP(B:B,'SALDO ATUAL'!$A$3:$E$999,5,0),"")</f>
        <v>023 - Mililitro</v>
      </c>
      <c r="F223" s="15">
        <v>2</v>
      </c>
      <c r="G223" s="61"/>
      <c r="H223" s="56"/>
      <c r="I223" s="5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6.25" customHeight="1">
      <c r="A224" s="57">
        <v>46101</v>
      </c>
      <c r="B224" s="62">
        <v>26</v>
      </c>
      <c r="C224" s="58" t="str">
        <f>IFERROR(VLOOKUP(B:B,'SALDO ATUAL'!$A$3:$E$9999,3,0),"")</f>
        <v>AH BELOTERO VOLUME</v>
      </c>
      <c r="D224" s="59" t="str">
        <f>IFERROR(VLOOKUP(B:B,'SALDO ATUAL'!$A$3:$E1216,4,0),"")</f>
        <v>PREENCHEDOR</v>
      </c>
      <c r="E224" s="60" t="str">
        <f>IFERROR(VLOOKUP(B:B,'SALDO ATUAL'!$A$3:$E$999,5,0),"")</f>
        <v>023 - Mililitro</v>
      </c>
      <c r="F224" s="15">
        <v>1</v>
      </c>
      <c r="G224" s="61"/>
      <c r="H224" s="56"/>
      <c r="I224" s="5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6.25" customHeight="1">
      <c r="A225" s="57">
        <v>46101</v>
      </c>
      <c r="B225" s="62">
        <v>58</v>
      </c>
      <c r="C225" s="58" t="str">
        <f>IFERROR(VLOOKUP(B:B,'SALDO ATUAL'!$A$3:$E$9999,3,0),"")</f>
        <v>BIOESTIMULADOR RADIESSE</v>
      </c>
      <c r="D225" s="59" t="str">
        <f>IFERROR(VLOOKUP(B:B,'SALDO ATUAL'!$A$3:$E1217,4,0),"")</f>
        <v>BIOESTIMULADORES</v>
      </c>
      <c r="E225" s="60" t="str">
        <f>IFERROR(VLOOKUP(B:B,'SALDO ATUAL'!$A$3:$E$999,5,0),"")</f>
        <v>023 - Mililitro</v>
      </c>
      <c r="F225" s="15">
        <v>1</v>
      </c>
      <c r="G225" s="61"/>
      <c r="H225" s="56"/>
      <c r="I225" s="5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6.25" customHeight="1">
      <c r="A226" s="57">
        <v>46104</v>
      </c>
      <c r="B226" s="62">
        <v>267</v>
      </c>
      <c r="C226" s="58" t="str">
        <f>IFERROR(VLOOKUP(B:B,'SALDO ATUAL'!$A$3:$E$9999,3,0),"")</f>
        <v>PONTEIRA E TIP DENSITY</v>
      </c>
      <c r="D226" s="59" t="str">
        <f>IFERROR(VLOOKUP(B:B,'SALDO ATUAL'!$A$3:$E1218,4,0),"")</f>
        <v>PONTEIRA</v>
      </c>
      <c r="E226" s="60" t="str">
        <f>IFERROR(VLOOKUP(B:B,'SALDO ATUAL'!$A$3:$E$999,5,0),"")</f>
        <v>036-Unidade</v>
      </c>
      <c r="F226" s="15">
        <v>1</v>
      </c>
      <c r="G226" s="61"/>
      <c r="H226" s="56"/>
      <c r="I226" s="5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6.25" customHeight="1">
      <c r="A227" s="57">
        <v>46104</v>
      </c>
      <c r="B227" s="62">
        <v>6</v>
      </c>
      <c r="C227" s="58" t="str">
        <f>IFERROR(VLOOKUP(B:B,'SALDO ATUAL'!$A$3:$E$9999,3,0),"")</f>
        <v>AGUA MICELAR BIODERMA</v>
      </c>
      <c r="D227" s="59" t="str">
        <f>IFERROR(VLOOKUP(B:B,'SALDO ATUAL'!$A$3:$E1219,4,0),"")</f>
        <v>DERMOCOSMÉTICO E COSMÉTICO</v>
      </c>
      <c r="E227" s="60" t="str">
        <f>IFERROR(VLOOKUP(B:B,'SALDO ATUAL'!$A$3:$E$999,5,0),"")</f>
        <v>036 - Unidade</v>
      </c>
      <c r="F227" s="15">
        <v>1</v>
      </c>
      <c r="G227" s="61"/>
      <c r="H227" s="56"/>
      <c r="I227" s="5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6.25" customHeight="1">
      <c r="A228" s="57">
        <v>46104</v>
      </c>
      <c r="B228" s="62">
        <v>83</v>
      </c>
      <c r="C228" s="58" t="str">
        <f>IFERROR(VLOOKUP(B:B,'SALDO ATUAL'!$A$3:$E$9999,3,0),"")</f>
        <v>CLOREX AQUOSO 0,2% 100ML RIOHEX</v>
      </c>
      <c r="D228" s="59" t="str">
        <f>IFERROR(VLOOKUP(B:B,'SALDO ATUAL'!$A$3:$E1220,4,0),"")</f>
        <v>SOLUÇÕES</v>
      </c>
      <c r="E228" s="60" t="str">
        <f>IFERROR(VLOOKUP(B:B,'SALDO ATUAL'!$A$3:$E$999,5,0),"")</f>
        <v>023 - Mililitro</v>
      </c>
      <c r="F228" s="15">
        <v>3</v>
      </c>
      <c r="G228" s="61"/>
      <c r="H228" s="56"/>
      <c r="I228" s="5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6.25" customHeight="1">
      <c r="A229" s="57">
        <v>46104</v>
      </c>
      <c r="B229" s="62">
        <v>38</v>
      </c>
      <c r="C229" s="58" t="str">
        <f>IFERROR(VLOOKUP(B:B,'SALDO ATUAL'!$A$3:$E$9999,3,0),"")</f>
        <v>ALCOOL 70% SEPTPRO 70</v>
      </c>
      <c r="D229" s="59" t="str">
        <f>IFERROR(VLOOKUP(B:B,'SALDO ATUAL'!$A$3:$E1221,4,0),"")</f>
        <v>INSUMOS</v>
      </c>
      <c r="E229" s="60" t="str">
        <f>IFERROR(VLOOKUP(B:B,'SALDO ATUAL'!$A$3:$E$999,5,0),"")</f>
        <v>023 - Mililitro</v>
      </c>
      <c r="F229" s="15">
        <v>3</v>
      </c>
      <c r="G229" s="61"/>
      <c r="H229" s="56"/>
      <c r="I229" s="5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6.25" customHeight="1">
      <c r="A230" s="57">
        <v>46104</v>
      </c>
      <c r="B230" s="62">
        <v>99</v>
      </c>
      <c r="C230" s="58" t="str">
        <f>IFERROR(VLOOKUP(B:B,'SALDO ATUAL'!$A$3:$E$9999,3,0),"")</f>
        <v>CREME EMOLIENTE DC ADCOS</v>
      </c>
      <c r="D230" s="59" t="str">
        <f>IFERROR(VLOOKUP(B:B,'SALDO ATUAL'!$A$3:$E1222,4,0),"")</f>
        <v>DERMOCOSMÉTICO E COSMÉTICO</v>
      </c>
      <c r="E230" s="60" t="str">
        <f>IFERROR(VLOOKUP(B:B,'SALDO ATUAL'!$A$3:$E$999,5,0),"")</f>
        <v>018 - Grama</v>
      </c>
      <c r="F230" s="15">
        <v>1</v>
      </c>
      <c r="G230" s="61"/>
      <c r="H230" s="56"/>
      <c r="I230" s="5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6.25" customHeight="1">
      <c r="A231" s="57">
        <v>46104</v>
      </c>
      <c r="B231" s="62">
        <v>259</v>
      </c>
      <c r="C231" s="58" t="str">
        <f>IFERROR(VLOOKUP(B:B,'SALDO ATUAL'!$A$3:$E$9999,3,0),"")</f>
        <v>PEELING DE HORTELÃ ILUMINADOR ADCOS</v>
      </c>
      <c r="D231" s="59" t="str">
        <f>IFERROR(VLOOKUP(B:B,'SALDO ATUAL'!$A$3:$E1223,4,0),"")</f>
        <v>DERMOCOSMÉTICO E COSMÉTICO</v>
      </c>
      <c r="E231" s="60">
        <f>IFERROR(VLOOKUP(B:B,'SALDO ATUAL'!$A$3:$E$999,5,0),"")</f>
        <v>0</v>
      </c>
      <c r="F231" s="15">
        <v>1</v>
      </c>
      <c r="G231" s="61"/>
      <c r="H231" s="56"/>
      <c r="I231" s="5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6.25" customHeight="1">
      <c r="A232" s="57">
        <v>46104</v>
      </c>
      <c r="B232" s="62">
        <v>51</v>
      </c>
      <c r="C232" s="58" t="str">
        <f>IFERROR(VLOOKUP(B:B,'SALDO ATUAL'!$A$3:$E$9999,3,0),"")</f>
        <v>BETA CALM MÁSCARA PÓS PROCEDIMENTO ADCOS</v>
      </c>
      <c r="D232" s="59" t="str">
        <f>IFERROR(VLOOKUP(B:B,'SALDO ATUAL'!$A$3:$E1224,4,0),"")</f>
        <v>DERMOCOSMÉTICO E COSMÉTICO</v>
      </c>
      <c r="E232" s="60" t="str">
        <f>IFERROR(VLOOKUP(B:B,'SALDO ATUAL'!$A$3:$E$999,5,0),"")</f>
        <v>018 - Grama</v>
      </c>
      <c r="F232" s="15">
        <v>1</v>
      </c>
      <c r="G232" s="61"/>
      <c r="H232" s="56"/>
      <c r="I232" s="5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6.25" customHeight="1">
      <c r="A233" s="57">
        <v>46104</v>
      </c>
      <c r="B233" s="62">
        <v>20</v>
      </c>
      <c r="C233" s="58" t="str">
        <f>IFERROR(VLOOKUP(B:B,'SALDO ATUAL'!$A$3:$E$9999,3,0),"")</f>
        <v>AGULHA ROSA 18G - 40X12 UNIQMED</v>
      </c>
      <c r="D233" s="59" t="str">
        <f>IFERROR(VLOOKUP(B:B,'SALDO ATUAL'!$A$3:$E1225,4,0),"")</f>
        <v>AGULHAS</v>
      </c>
      <c r="E233" s="60" t="str">
        <f>IFERROR(VLOOKUP(B:B,'SALDO ATUAL'!$A$3:$E$999,5,0),"")</f>
        <v>036 - Unidade</v>
      </c>
      <c r="F233" s="15">
        <v>1</v>
      </c>
      <c r="G233" s="61"/>
      <c r="H233" s="56"/>
      <c r="I233" s="5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6.25" customHeight="1">
      <c r="A234" s="57">
        <v>46104</v>
      </c>
      <c r="B234" s="62">
        <v>89</v>
      </c>
      <c r="C234" s="58" t="str">
        <f>IFERROR(VLOOKUP(B:B,'SALDO ATUAL'!$A$3:$E$9999,3,0),"")</f>
        <v>COMPRESSA GAZE 13 FIOS C/ 500 UNID MEDI HOUSE</v>
      </c>
      <c r="D234" s="59" t="str">
        <f>IFERROR(VLOOKUP(B:B,'SALDO ATUAL'!$A$3:$E1226,4,0),"")</f>
        <v>MATERIAIS DESCARTÁVEIS E APOIO</v>
      </c>
      <c r="E234" s="60" t="str">
        <f>IFERROR(VLOOKUP(B:B,'SALDO ATUAL'!$A$3:$E$999,5,0),"")</f>
        <v>036 - Unidade</v>
      </c>
      <c r="F234" s="15">
        <v>1</v>
      </c>
      <c r="G234" s="61"/>
      <c r="H234" s="56"/>
      <c r="I234" s="5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6.25" customHeight="1">
      <c r="A235" s="57">
        <v>46104</v>
      </c>
      <c r="B235" s="62">
        <v>118</v>
      </c>
      <c r="C235" s="58" t="str">
        <f>IFERROR(VLOOKUP(B:B,'SALDO ATUAL'!$A$3:$E$9999,3,0),"")</f>
        <v>ELETRODO DENSITY</v>
      </c>
      <c r="D235" s="59" t="str">
        <f>IFERROR(VLOOKUP(B:B,'SALDO ATUAL'!$A$3:$E1227,4,0),"")</f>
        <v>MATERIAIS DESCARTÁVEIS E APOIO</v>
      </c>
      <c r="E235" s="60" t="str">
        <f>IFERROR(VLOOKUP(B:B,'SALDO ATUAL'!$A$3:$E$999,5,0),"")</f>
        <v>036 - Unidade</v>
      </c>
      <c r="F235" s="15">
        <v>1</v>
      </c>
      <c r="G235" s="61"/>
      <c r="H235" s="56"/>
      <c r="I235" s="5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6.25" customHeight="1">
      <c r="A236" s="57">
        <v>46104</v>
      </c>
      <c r="B236" s="14">
        <v>101</v>
      </c>
      <c r="C236" s="58" t="str">
        <f>IFERROR(VLOOKUP(B:B,'SALDO ATUAL'!$A$3:$E$9999,3,0),"")</f>
        <v>CRIOGENIO DENSITY</v>
      </c>
      <c r="D236" s="59" t="str">
        <f>IFERROR(VLOOKUP(B:B,'SALDO ATUAL'!$A$3:$E1228,4,0),"")</f>
        <v>MATERIAIS DESCARTÁVEIS E APOIO</v>
      </c>
      <c r="E236" s="60" t="str">
        <f>IFERROR(VLOOKUP(B:B,'SALDO ATUAL'!$A$3:$E$999,5,0),"")</f>
        <v>018 - Grama</v>
      </c>
      <c r="F236" s="15">
        <v>1</v>
      </c>
      <c r="G236" s="61"/>
      <c r="H236" s="56"/>
      <c r="I236" s="5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6.25" customHeight="1">
      <c r="A237" s="57">
        <v>46104</v>
      </c>
      <c r="B237" s="14">
        <v>268</v>
      </c>
      <c r="C237" s="58" t="str">
        <f>IFERROR(VLOOKUP(B:B,'SALDO ATUAL'!$A$3:$E$9999,3,0),"")</f>
        <v>PONTEIRA F TIP DENSITY</v>
      </c>
      <c r="D237" s="59" t="str">
        <f>IFERROR(VLOOKUP(B:B,'SALDO ATUAL'!$A$3:$E1229,4,0),"")</f>
        <v>PONTEIRA</v>
      </c>
      <c r="E237" s="60" t="str">
        <f>IFERROR(VLOOKUP(B:B,'SALDO ATUAL'!$A$3:$E$999,5,0),"")</f>
        <v>036-Unidade</v>
      </c>
      <c r="F237" s="15">
        <v>1</v>
      </c>
      <c r="G237" s="61"/>
      <c r="H237" s="56"/>
      <c r="I237" s="5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6.25" customHeight="1">
      <c r="A238" s="57">
        <v>46104</v>
      </c>
      <c r="B238" s="62">
        <v>329</v>
      </c>
      <c r="C238" s="58" t="str">
        <f>IFERROR(VLOOKUP(B:B,'SALDO ATUAL'!$A$3:$E$9999,3,0),"")</f>
        <v>TOXINA BOTULÍNICA XEOMIN 100UI</v>
      </c>
      <c r="D238" s="59" t="str">
        <f>IFERROR(VLOOKUP(B:B,'SALDO ATUAL'!$A$3:$E1230,4,0),"")</f>
        <v>TOXINA</v>
      </c>
      <c r="E238" s="60" t="str">
        <f>IFERROR(VLOOKUP(B:B,'SALDO ATUAL'!$A$3:$E$999,5,0),"")</f>
        <v>037 - Unidade Internacional</v>
      </c>
      <c r="F238" s="15">
        <v>2</v>
      </c>
      <c r="G238" s="61"/>
      <c r="H238" s="56"/>
      <c r="I238" s="5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6.25" customHeight="1">
      <c r="A239" s="57">
        <v>46104</v>
      </c>
      <c r="B239" s="62">
        <v>25</v>
      </c>
      <c r="C239" s="58" t="str">
        <f>IFERROR(VLOOKUP(B:B,'SALDO ATUAL'!$A$3:$E$9999,3,0),"")</f>
        <v>AH BELOTERO INTENSE</v>
      </c>
      <c r="D239" s="59" t="str">
        <f>IFERROR(VLOOKUP(B:B,'SALDO ATUAL'!$A$3:$E1231,4,0),"")</f>
        <v>PREENCHEDOR</v>
      </c>
      <c r="E239" s="60" t="str">
        <f>IFERROR(VLOOKUP(B:B,'SALDO ATUAL'!$A$3:$E$999,5,0),"")</f>
        <v>023 - Mililitro</v>
      </c>
      <c r="F239" s="15">
        <v>3</v>
      </c>
      <c r="G239" s="61"/>
      <c r="H239" s="56"/>
      <c r="I239" s="5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6.25" customHeight="1">
      <c r="A240" s="57">
        <v>46104</v>
      </c>
      <c r="B240" s="62">
        <v>26</v>
      </c>
      <c r="C240" s="58" t="str">
        <f>IFERROR(VLOOKUP(B:B,'SALDO ATUAL'!$A$3:$E$9999,3,0),"")</f>
        <v>AH BELOTERO VOLUME</v>
      </c>
      <c r="D240" s="59" t="str">
        <f>IFERROR(VLOOKUP(B:B,'SALDO ATUAL'!$A$3:$E1232,4,0),"")</f>
        <v>PREENCHEDOR</v>
      </c>
      <c r="E240" s="60" t="str">
        <f>IFERROR(VLOOKUP(B:B,'SALDO ATUAL'!$A$3:$E$999,5,0),"")</f>
        <v>023 - Mililitro</v>
      </c>
      <c r="F240" s="15">
        <v>2</v>
      </c>
      <c r="G240" s="61"/>
      <c r="H240" s="56"/>
      <c r="I240" s="5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6.25" customHeight="1">
      <c r="A241" s="57">
        <v>46104</v>
      </c>
      <c r="B241" s="62">
        <v>380</v>
      </c>
      <c r="C241" s="58" t="str">
        <f>IFERROR(VLOOKUP(B:B,'SALDO ATUAL'!$A$3:$E$9999,3,0),"")</f>
        <v>CREME 2 CLAREADOR INTENSO INC BEAUTY</v>
      </c>
      <c r="D241" s="59" t="str">
        <f>IFERROR(VLOOKUP(B:B,'SALDO ATUAL'!$A$3:$E1233,4,0),"")</f>
        <v>MANIPULADOS</v>
      </c>
      <c r="E241" s="60" t="str">
        <f>IFERROR(VLOOKUP(B:B,'SALDO ATUAL'!$A$3:$E$999,5,0),"")</f>
        <v xml:space="preserve">018- Grama </v>
      </c>
      <c r="F241" s="15">
        <v>1</v>
      </c>
      <c r="G241" s="61"/>
      <c r="H241" s="56"/>
      <c r="I241" s="5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6.25" customHeight="1">
      <c r="A242" s="57">
        <v>46104</v>
      </c>
      <c r="B242" s="62">
        <v>43</v>
      </c>
      <c r="C242" s="58" t="str">
        <f>IFERROR(VLOOKUP(B:B,'SALDO ATUAL'!$A$3:$E$9999,3,0),"")</f>
        <v>ANESTÉSICO MANIPULADO TETRA E LIDO FARMA ASSIST</v>
      </c>
      <c r="D242" s="59" t="str">
        <f>IFERROR(VLOOKUP(B:B,'SALDO ATUAL'!$A$3:$E1234,4,0),"")</f>
        <v>ANESTÉSICO</v>
      </c>
      <c r="E242" s="60" t="str">
        <f>IFERROR(VLOOKUP(B:B,'SALDO ATUAL'!$A$3:$E$999,5,0),"")</f>
        <v>018 - Grama</v>
      </c>
      <c r="F242" s="15">
        <v>1</v>
      </c>
      <c r="G242" s="61"/>
      <c r="H242" s="56"/>
      <c r="I242" s="5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6.25" customHeight="1">
      <c r="A243" s="57">
        <v>46104</v>
      </c>
      <c r="B243" s="62">
        <v>268</v>
      </c>
      <c r="C243" s="58" t="str">
        <f>IFERROR(VLOOKUP(B:B,'SALDO ATUAL'!$A$3:$E$9999,3,0),"")</f>
        <v>PONTEIRA F TIP DENSITY</v>
      </c>
      <c r="D243" s="59" t="str">
        <f>IFERROR(VLOOKUP(B:B,'SALDO ATUAL'!$A$3:$E1235,4,0),"")</f>
        <v>PONTEIRA</v>
      </c>
      <c r="E243" s="60" t="str">
        <f>IFERROR(VLOOKUP(B:B,'SALDO ATUAL'!$A$3:$E$999,5,0),"")</f>
        <v>036-Unidade</v>
      </c>
      <c r="F243" s="15">
        <v>1</v>
      </c>
      <c r="G243" s="61"/>
      <c r="H243" s="56"/>
      <c r="I243" s="5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6.25" customHeight="1">
      <c r="A244" s="57">
        <v>46104</v>
      </c>
      <c r="B244" s="62">
        <v>98</v>
      </c>
      <c r="C244" s="58" t="str">
        <f>IFERROR(VLOOKUP(B:B,'SALDO ATUAL'!$A$3:$E$9999,3,0),"")</f>
        <v>CREME COM NUTRI OMEGA + ASSOCIAÇÕES INC BEAUTY</v>
      </c>
      <c r="D244" s="59" t="str">
        <f>IFERROR(VLOOKUP(B:B,'SALDO ATUAL'!$A$3:$E1236,4,0),"")</f>
        <v>MANIPULADOS</v>
      </c>
      <c r="E244" s="60" t="str">
        <f>IFERROR(VLOOKUP(B:B,'SALDO ATUAL'!$A$3:$E$999,5,0),"")</f>
        <v>018 - Grama</v>
      </c>
      <c r="F244" s="15">
        <v>1</v>
      </c>
      <c r="G244" s="61"/>
      <c r="H244" s="56"/>
      <c r="I244" s="5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6.25" customHeight="1">
      <c r="A245" s="57">
        <v>46104</v>
      </c>
      <c r="B245" s="62">
        <v>95</v>
      </c>
      <c r="C245" s="58" t="str">
        <f>IFERROR(VLOOKUP(B:B,'SALDO ATUAL'!$A$3:$E$9999,3,0),"")</f>
        <v>CREME 3 CLAREADOR MANUTENÇÃO INC BEAUTY</v>
      </c>
      <c r="D245" s="59" t="str">
        <f>IFERROR(VLOOKUP(B:B,'SALDO ATUAL'!$A$3:$E1237,4,0),"")</f>
        <v>MANIPULADOS</v>
      </c>
      <c r="E245" s="60" t="str">
        <f>IFERROR(VLOOKUP(B:B,'SALDO ATUAL'!$A$3:$E$999,5,0),"")</f>
        <v>018 - Grama</v>
      </c>
      <c r="F245" s="15">
        <v>1</v>
      </c>
      <c r="G245" s="61"/>
      <c r="H245" s="56"/>
      <c r="I245" s="5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6.25" customHeight="1">
      <c r="A246" s="57">
        <v>46104</v>
      </c>
      <c r="B246" s="62">
        <v>336</v>
      </c>
      <c r="C246" s="58" t="str">
        <f>IFERROR(VLOOKUP(B:B,'SALDO ATUAL'!$A$3:$E$9999,3,0),"")</f>
        <v>VITAMINA C OPTIMUS</v>
      </c>
      <c r="D246" s="59" t="str">
        <f>IFERROR(VLOOKUP(B:B,'SALDO ATUAL'!$A$3:$E1238,4,0),"")</f>
        <v>ATIVOS</v>
      </c>
      <c r="E246" s="60" t="str">
        <f>IFERROR(VLOOKUP(B:B,'SALDO ATUAL'!$A$3:$E$999,5,0),"")</f>
        <v xml:space="preserve">001- Ampola </v>
      </c>
      <c r="F246" s="15">
        <v>1</v>
      </c>
      <c r="G246" s="61"/>
      <c r="H246" s="56"/>
      <c r="I246" s="5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6.25" customHeight="1">
      <c r="A247" s="57">
        <v>46104</v>
      </c>
      <c r="B247" s="14">
        <v>1</v>
      </c>
      <c r="C247" s="58" t="str">
        <f>IFERROR(VLOOKUP(B:B,'SALDO ATUAL'!$A$3:$E$9999,3,0),"")</f>
        <v>AC. ALFA LIPOICO OPTMUS</v>
      </c>
      <c r="D247" s="59" t="str">
        <f>IFERROR(VLOOKUP(B:B,'SALDO ATUAL'!$A$3:$E1239,4,0),"")</f>
        <v>ATIVOS</v>
      </c>
      <c r="E247" s="60" t="str">
        <f>IFERROR(VLOOKUP(B:B,'SALDO ATUAL'!$A$3:$E$999,5,0),"")</f>
        <v>001 - Ampola</v>
      </c>
      <c r="F247" s="15">
        <v>1</v>
      </c>
      <c r="G247" s="61"/>
      <c r="H247" s="56"/>
      <c r="I247" s="5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6.25" customHeight="1">
      <c r="A248" s="57">
        <v>46104</v>
      </c>
      <c r="B248" s="14">
        <v>80</v>
      </c>
      <c r="C248" s="58" t="str">
        <f>IFERROR(VLOOKUP(B:B,'SALDO ATUAL'!$A$3:$E$9999,3,0),"")</f>
        <v>CLORETO DE MAGNESIO OPTMUS</v>
      </c>
      <c r="D248" s="59" t="str">
        <f>IFERROR(VLOOKUP(B:B,'SALDO ATUAL'!$A$3:$E1240,4,0),"")</f>
        <v>ATIVOS</v>
      </c>
      <c r="E248" s="60" t="str">
        <f>IFERROR(VLOOKUP(B:B,'SALDO ATUAL'!$A$3:$E$999,5,0),"")</f>
        <v>001- Ampola</v>
      </c>
      <c r="F248" s="15">
        <v>1</v>
      </c>
      <c r="G248" s="61"/>
      <c r="H248" s="56"/>
      <c r="I248" s="5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6.25" customHeight="1">
      <c r="A249" s="57">
        <v>46104</v>
      </c>
      <c r="B249" s="62">
        <v>203</v>
      </c>
      <c r="C249" s="58" t="str">
        <f>IFERROR(VLOOKUP(B:B,'SALDO ATUAL'!$A$3:$E$9999,3,0),"")</f>
        <v>L GLUTATIONA OPTMUS</v>
      </c>
      <c r="D249" s="59" t="str">
        <f>IFERROR(VLOOKUP(B:B,'SALDO ATUAL'!$A$3:$E1241,4,0),"")</f>
        <v>ATIVOS</v>
      </c>
      <c r="E249" s="60" t="str">
        <f>IFERROR(VLOOKUP(B:B,'SALDO ATUAL'!$A$3:$E$999,5,0),"")</f>
        <v>001- Ampola</v>
      </c>
      <c r="F249" s="15">
        <v>1</v>
      </c>
      <c r="G249" s="61"/>
      <c r="H249" s="56"/>
      <c r="I249" s="5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6.25" customHeight="1">
      <c r="A250" s="57">
        <v>46104</v>
      </c>
      <c r="B250" s="62">
        <v>284</v>
      </c>
      <c r="C250" s="58" t="str">
        <f>IFERROR(VLOOKUP(B:B,'SALDO ATUAL'!$A$3:$E$9999,3,0),"")</f>
        <v>RESVERASROL OPTIMUS</v>
      </c>
      <c r="D250" s="59" t="str">
        <f>IFERROR(VLOOKUP(B:B,'SALDO ATUAL'!$A$3:$E1242,4,0),"")</f>
        <v>ATIVOS</v>
      </c>
      <c r="E250" s="60" t="str">
        <f>IFERROR(VLOOKUP(B:B,'SALDO ATUAL'!$A$3:$E$999,5,0),"")</f>
        <v>001- Ampola</v>
      </c>
      <c r="F250" s="15">
        <v>1</v>
      </c>
      <c r="G250" s="61"/>
      <c r="H250" s="56"/>
      <c r="I250" s="5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6.25" customHeight="1">
      <c r="A251" s="57">
        <v>46104</v>
      </c>
      <c r="B251" s="14">
        <v>357</v>
      </c>
      <c r="C251" s="58" t="str">
        <f>IFERROR(VLOOKUP(B:B,'SALDO ATUAL'!$A$3:$E$9999,3,0),"")</f>
        <v>SORO  EV 250ML</v>
      </c>
      <c r="D251" s="59" t="str">
        <f>IFERROR(VLOOKUP(B:B,'SALDO ATUAL'!$A$3:$E1243,4,0),"")</f>
        <v>MATERIAIS DESCARTÁVEIS E APOIO</v>
      </c>
      <c r="E251" s="60" t="str">
        <f>IFERROR(VLOOKUP(B:B,'SALDO ATUAL'!$A$3:$E$999,5,0),"")</f>
        <v xml:space="preserve">036- Unidade </v>
      </c>
      <c r="F251" s="15">
        <v>1</v>
      </c>
      <c r="G251" s="61"/>
      <c r="H251" s="56"/>
      <c r="I251" s="5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6.25" customHeight="1">
      <c r="A252" s="57">
        <v>46104</v>
      </c>
      <c r="B252" s="62">
        <v>354</v>
      </c>
      <c r="C252" s="58" t="str">
        <f>IFERROR(VLOOKUP(B:B,'SALDO ATUAL'!$A$3:$E$9999,3,0),"")</f>
        <v>SCALP 23G</v>
      </c>
      <c r="D252" s="59" t="str">
        <f>IFERROR(VLOOKUP(B:B,'SALDO ATUAL'!$A$3:$E1244,4,0),"")</f>
        <v>AGULHAS</v>
      </c>
      <c r="E252" s="60" t="str">
        <f>IFERROR(VLOOKUP(B:B,'SALDO ATUAL'!$A$3:$E$999,5,0),"")</f>
        <v xml:space="preserve">036- Unidade </v>
      </c>
      <c r="F252" s="15">
        <v>1</v>
      </c>
      <c r="G252" s="61"/>
      <c r="H252" s="56"/>
      <c r="I252" s="5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6.25" customHeight="1">
      <c r="A253" s="57">
        <v>46104</v>
      </c>
      <c r="B253" s="14">
        <v>355</v>
      </c>
      <c r="C253" s="58" t="str">
        <f>IFERROR(VLOOKUP(B:B,'SALDO ATUAL'!$A$3:$E$9999,3,0),"")</f>
        <v>EQUIPO TKL</v>
      </c>
      <c r="D253" s="59" t="str">
        <f>IFERROR(VLOOKUP(B:B,'SALDO ATUAL'!$A$3:$E1245,4,0),"")</f>
        <v>MATERIAIS DESCARTÁVEIS E APOIO</v>
      </c>
      <c r="E253" s="60" t="str">
        <f>IFERROR(VLOOKUP(B:B,'SALDO ATUAL'!$A$3:$E$999,5,0),"")</f>
        <v xml:space="preserve">036- Unidade </v>
      </c>
      <c r="F253" s="15">
        <v>1</v>
      </c>
      <c r="G253" s="61"/>
      <c r="H253" s="56"/>
      <c r="I253" s="5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6.25" customHeight="1">
      <c r="A254" s="57">
        <v>46105</v>
      </c>
      <c r="B254" s="14">
        <v>94</v>
      </c>
      <c r="C254" s="58" t="str">
        <f>IFERROR(VLOOKUP(B:B,'SALDO ATUAL'!$A$3:$E$9999,3,0),"")</f>
        <v>CREME 1 CALMANTE IMEDIATO INC BEAUTY</v>
      </c>
      <c r="D254" s="59" t="str">
        <f>IFERROR(VLOOKUP(B:B,'SALDO ATUAL'!$A$3:$E1246,4,0),"")</f>
        <v>MANIPULADOS</v>
      </c>
      <c r="E254" s="60" t="str">
        <f>IFERROR(VLOOKUP(B:B,'SALDO ATUAL'!$A$3:$E$999,5,0),"")</f>
        <v>018 - Grama</v>
      </c>
      <c r="F254" s="15">
        <v>1</v>
      </c>
      <c r="G254" s="61"/>
      <c r="H254" s="56"/>
      <c r="I254" s="5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6.25" customHeight="1">
      <c r="A255" s="57">
        <v>46105</v>
      </c>
      <c r="B255" s="14">
        <v>50</v>
      </c>
      <c r="C255" s="58" t="str">
        <f>IFERROR(VLOOKUP(B:B,'SALDO ATUAL'!$A$3:$E$9999,3,0),"")</f>
        <v>BÁLSAMO DE LIMPEZA FACIAL OLERA</v>
      </c>
      <c r="D255" s="59" t="str">
        <f>IFERROR(VLOOKUP(B:B,'SALDO ATUAL'!$A$3:$E1247,4,0),"")</f>
        <v>DERMOCOSMÉTICO E COSMÉTICO</v>
      </c>
      <c r="E255" s="60" t="str">
        <f>IFERROR(VLOOKUP(B:B,'SALDO ATUAL'!$A$3:$E$999,5,0),"")</f>
        <v>013 - Frasco</v>
      </c>
      <c r="F255" s="15">
        <v>1</v>
      </c>
      <c r="G255" s="61"/>
      <c r="H255" s="56"/>
      <c r="I255" s="5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6.25" customHeight="1">
      <c r="A256" s="57">
        <v>46105</v>
      </c>
      <c r="B256" s="14">
        <v>380</v>
      </c>
      <c r="C256" s="58" t="str">
        <f>IFERROR(VLOOKUP(B:B,'SALDO ATUAL'!$A$3:$E$9999,3,0),"")</f>
        <v>CREME 2 CLAREADOR INTENSO INC BEAUTY</v>
      </c>
      <c r="D256" s="59" t="str">
        <f>IFERROR(VLOOKUP(B:B,'SALDO ATUAL'!$A$3:$E1248,4,0),"")</f>
        <v>MANIPULADOS</v>
      </c>
      <c r="E256" s="60" t="str">
        <f>IFERROR(VLOOKUP(B:B,'SALDO ATUAL'!$A$3:$E$999,5,0),"")</f>
        <v xml:space="preserve">018- Grama </v>
      </c>
      <c r="F256" s="15">
        <v>1</v>
      </c>
      <c r="G256" s="61"/>
      <c r="H256" s="56"/>
      <c r="I256" s="5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6.25" customHeight="1">
      <c r="A257" s="57">
        <v>46105</v>
      </c>
      <c r="B257" s="62">
        <v>95</v>
      </c>
      <c r="C257" s="58" t="str">
        <f>IFERROR(VLOOKUP(B:B,'SALDO ATUAL'!$A$3:$E$9999,3,0),"")</f>
        <v>CREME 3 CLAREADOR MANUTENÇÃO INC BEAUTY</v>
      </c>
      <c r="D257" s="59" t="str">
        <f>IFERROR(VLOOKUP(B:B,'SALDO ATUAL'!$A$3:$E1249,4,0),"")</f>
        <v>MANIPULADOS</v>
      </c>
      <c r="E257" s="60" t="str">
        <f>IFERROR(VLOOKUP(B:B,'SALDO ATUAL'!$A$3:$E$999,5,0),"")</f>
        <v>018 - Grama</v>
      </c>
      <c r="F257" s="15">
        <v>1</v>
      </c>
      <c r="G257" s="61"/>
      <c r="H257" s="56"/>
      <c r="I257" s="5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6.25" customHeight="1">
      <c r="A258" s="57">
        <v>46105</v>
      </c>
      <c r="B258" s="62">
        <v>336</v>
      </c>
      <c r="C258" s="58" t="str">
        <f>IFERROR(VLOOKUP(B:B,'SALDO ATUAL'!$A$3:$E$9999,3,0),"")</f>
        <v>VITAMINA C OPTIMUS</v>
      </c>
      <c r="D258" s="59" t="str">
        <f>IFERROR(VLOOKUP(B:B,'SALDO ATUAL'!$A$3:$E1250,4,0),"")</f>
        <v>ATIVOS</v>
      </c>
      <c r="E258" s="60" t="str">
        <f>IFERROR(VLOOKUP(B:B,'SALDO ATUAL'!$A$3:$E$999,5,0),"")</f>
        <v xml:space="preserve">001- Ampola </v>
      </c>
      <c r="F258" s="15">
        <v>1</v>
      </c>
      <c r="G258" s="61"/>
      <c r="H258" s="56"/>
      <c r="I258" s="5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6.25" customHeight="1">
      <c r="A259" s="57">
        <v>46105</v>
      </c>
      <c r="B259" s="62">
        <v>322</v>
      </c>
      <c r="C259" s="58" t="str">
        <f>IFERROR(VLOOKUP(B:B,'SALDO ATUAL'!$A$3:$E$9999,3,0),"")</f>
        <v>SULF . DE ZINCO OPTIMUS</v>
      </c>
      <c r="D259" s="59" t="str">
        <f>IFERROR(VLOOKUP(B:B,'SALDO ATUAL'!$A$3:$E1251,4,0),"")</f>
        <v>INJETAVEL</v>
      </c>
      <c r="E259" s="60" t="str">
        <f>IFERROR(VLOOKUP(B:B,'SALDO ATUAL'!$A$3:$E$999,5,0),"")</f>
        <v>001 - Ampola</v>
      </c>
      <c r="F259" s="15">
        <v>1</v>
      </c>
      <c r="G259" s="61"/>
      <c r="H259" s="56"/>
      <c r="I259" s="5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6.25" customHeight="1">
      <c r="A260" s="57">
        <v>46105</v>
      </c>
      <c r="B260" s="62">
        <v>335</v>
      </c>
      <c r="C260" s="58" t="str">
        <f>IFERROR(VLOOKUP(B:B,'SALDO ATUAL'!$A$3:$E$9999,3,0),"")</f>
        <v>VITAMINA B12 OPTIMUS</v>
      </c>
      <c r="D260" s="59" t="str">
        <f>IFERROR(VLOOKUP(B:B,'SALDO ATUAL'!$A$3:$E1252,4,0),"")</f>
        <v>ATIVOS</v>
      </c>
      <c r="E260" s="60" t="str">
        <f>IFERROR(VLOOKUP(B:B,'SALDO ATUAL'!$A$3:$E$999,5,0),"")</f>
        <v xml:space="preserve">001- Ampola </v>
      </c>
      <c r="F260" s="15">
        <v>1</v>
      </c>
      <c r="G260" s="61"/>
      <c r="H260" s="56"/>
      <c r="I260" s="5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6.25" customHeight="1">
      <c r="A261" s="57">
        <v>46105</v>
      </c>
      <c r="B261" s="62">
        <v>288</v>
      </c>
      <c r="C261" s="58" t="str">
        <f>IFERROR(VLOOKUP(B:B,'SALDO ATUAL'!$A$3:$E$9999,3,0),"")</f>
        <v>SELENIO OPTIMUS</v>
      </c>
      <c r="D261" s="59" t="str">
        <f>IFERROR(VLOOKUP(B:B,'SALDO ATUAL'!$A$3:$E1253,4,0),"")</f>
        <v>ATIVOS</v>
      </c>
      <c r="E261" s="60" t="str">
        <f>IFERROR(VLOOKUP(B:B,'SALDO ATUAL'!$A$3:$E$999,5,0),"")</f>
        <v>001- Ampola</v>
      </c>
      <c r="F261" s="15">
        <v>1</v>
      </c>
      <c r="G261" s="61"/>
      <c r="H261" s="56"/>
      <c r="I261" s="5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6.25" customHeight="1">
      <c r="A262" s="57">
        <v>46105</v>
      </c>
      <c r="B262" s="62">
        <v>324</v>
      </c>
      <c r="C262" s="58" t="str">
        <f>IFERROR(VLOOKUP(B:B,'SALDO ATUAL'!$A$3:$E$9999,3,0),"")</f>
        <v>TIMOMODULINA OPTIMUS</v>
      </c>
      <c r="D262" s="59" t="str">
        <f>IFERROR(VLOOKUP(B:B,'SALDO ATUAL'!$A$3:$E1254,4,0),"")</f>
        <v>ATIVOS</v>
      </c>
      <c r="E262" s="60" t="str">
        <f>IFERROR(VLOOKUP(B:B,'SALDO ATUAL'!$A$3:$E$999,5,0),"")</f>
        <v>001 - Ampola</v>
      </c>
      <c r="F262" s="15">
        <v>1</v>
      </c>
      <c r="G262" s="61"/>
      <c r="H262" s="56"/>
      <c r="I262" s="5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6.25" customHeight="1">
      <c r="A263" s="57">
        <v>46105</v>
      </c>
      <c r="B263" s="62">
        <v>357</v>
      </c>
      <c r="C263" s="58" t="str">
        <f>IFERROR(VLOOKUP(B:B,'SALDO ATUAL'!$A$3:$E$9999,3,0),"")</f>
        <v>SORO  EV 250ML</v>
      </c>
      <c r="D263" s="59" t="str">
        <f>IFERROR(VLOOKUP(B:B,'SALDO ATUAL'!$A$3:$E1255,4,0),"")</f>
        <v>MATERIAIS DESCARTÁVEIS E APOIO</v>
      </c>
      <c r="E263" s="60" t="str">
        <f>IFERROR(VLOOKUP(B:B,'SALDO ATUAL'!$A$3:$E$999,5,0),"")</f>
        <v xml:space="preserve">036- Unidade </v>
      </c>
      <c r="F263" s="15">
        <v>1</v>
      </c>
      <c r="G263" s="61"/>
      <c r="H263" s="56"/>
      <c r="I263" s="5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6.25" customHeight="1">
      <c r="A264" s="57">
        <v>46105</v>
      </c>
      <c r="B264" s="62">
        <v>356</v>
      </c>
      <c r="C264" s="58" t="str">
        <f>IFERROR(VLOOKUP(B:B,'SALDO ATUAL'!$A$3:$E$9999,3,0),"")</f>
        <v>JELCO 22G BD</v>
      </c>
      <c r="D264" s="59" t="str">
        <f>IFERROR(VLOOKUP(B:B,'SALDO ATUAL'!$A$3:$E1256,4,0),"")</f>
        <v>AGULHAS</v>
      </c>
      <c r="E264" s="60" t="str">
        <f>IFERROR(VLOOKUP(B:B,'SALDO ATUAL'!$A$3:$E$999,5,0),"")</f>
        <v xml:space="preserve">036- Unidade </v>
      </c>
      <c r="F264" s="15">
        <v>1</v>
      </c>
      <c r="G264" s="61"/>
      <c r="H264" s="56"/>
      <c r="I264" s="5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6.25" customHeight="1">
      <c r="A265" s="57">
        <v>46105</v>
      </c>
      <c r="B265" s="62">
        <v>355</v>
      </c>
      <c r="C265" s="58" t="str">
        <f>IFERROR(VLOOKUP(B:B,'SALDO ATUAL'!$A$3:$E$9999,3,0),"")</f>
        <v>EQUIPO TKL</v>
      </c>
      <c r="D265" s="59" t="str">
        <f>IFERROR(VLOOKUP(B:B,'SALDO ATUAL'!$A$3:$E1257,4,0),"")</f>
        <v>MATERIAIS DESCARTÁVEIS E APOIO</v>
      </c>
      <c r="E265" s="60" t="str">
        <f>IFERROR(VLOOKUP(B:B,'SALDO ATUAL'!$A$3:$E$999,5,0),"")</f>
        <v xml:space="preserve">036- Unidade </v>
      </c>
      <c r="F265" s="15">
        <v>1</v>
      </c>
      <c r="G265" s="61"/>
      <c r="H265" s="56"/>
      <c r="I265" s="5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6.25" customHeight="1">
      <c r="A266" s="69">
        <v>46106</v>
      </c>
      <c r="B266" s="62">
        <v>294</v>
      </c>
      <c r="C266" s="58" t="str">
        <f>IFERROR(VLOOKUP(B:B,'SALDO ATUAL'!$A$3:$E$9999,3,0),"")</f>
        <v>SERINGA 3ML LOCK - ROSCA DESCARPACK</v>
      </c>
      <c r="D266" s="59" t="str">
        <f>IFERROR(VLOOKUP(B:B,'SALDO ATUAL'!$A$3:$E1258,4,0),"")</f>
        <v>SERINGA</v>
      </c>
      <c r="E266" s="60" t="str">
        <f>IFERROR(VLOOKUP(B:B,'SALDO ATUAL'!$A$3:$E$999,5,0),"")</f>
        <v>031- Seringa</v>
      </c>
      <c r="F266" s="15">
        <v>10</v>
      </c>
      <c r="G266" s="61"/>
      <c r="H266" s="56"/>
      <c r="I266" s="5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6.25" customHeight="1">
      <c r="A267" s="69">
        <v>46106</v>
      </c>
      <c r="B267" s="62">
        <v>329</v>
      </c>
      <c r="C267" s="58" t="str">
        <f>IFERROR(VLOOKUP(B:B,'SALDO ATUAL'!$A$3:$E$9999,3,0),"")</f>
        <v>TOXINA BOTULÍNICA XEOMIN 100UI</v>
      </c>
      <c r="D267" s="59" t="str">
        <f>IFERROR(VLOOKUP(B:B,'SALDO ATUAL'!$A$3:$E1259,4,0),"")</f>
        <v>TOXINA</v>
      </c>
      <c r="E267" s="60" t="str">
        <f>IFERROR(VLOOKUP(B:B,'SALDO ATUAL'!$A$3:$E$999,5,0),"")</f>
        <v>037 - Unidade Internacional</v>
      </c>
      <c r="F267" s="15">
        <v>1</v>
      </c>
      <c r="G267" s="61"/>
      <c r="H267" s="56"/>
      <c r="I267" s="5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6.25" customHeight="1">
      <c r="A268" s="69">
        <v>46106</v>
      </c>
      <c r="B268" s="14">
        <v>298</v>
      </c>
      <c r="C268" s="58" t="str">
        <f>IFERROR(VLOOKUP(B:B,'SALDO ATUAL'!$A$3:$E$9999,3,0),"")</f>
        <v>SERINGA 5ML LOCK - ROSCA BD</v>
      </c>
      <c r="D268" s="59" t="str">
        <f>IFERROR(VLOOKUP(B:B,'SALDO ATUAL'!$A$3:$E1260,4,0),"")</f>
        <v>SERINGA</v>
      </c>
      <c r="E268" s="60" t="str">
        <f>IFERROR(VLOOKUP(B:B,'SALDO ATUAL'!$A$3:$E$999,5,0),"")</f>
        <v>036- Unidade</v>
      </c>
      <c r="F268" s="15">
        <v>1</v>
      </c>
      <c r="G268" s="61"/>
      <c r="H268" s="56"/>
      <c r="I268" s="5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6.25" customHeight="1">
      <c r="A269" s="69">
        <v>46106</v>
      </c>
      <c r="B269" s="14">
        <v>24</v>
      </c>
      <c r="C269" s="58" t="str">
        <f>IFERROR(VLOOKUP(B:B,'SALDO ATUAL'!$A$3:$E$9999,3,0),"")</f>
        <v>AH BELOTERO BALANCE</v>
      </c>
      <c r="D269" s="59" t="str">
        <f>IFERROR(VLOOKUP(B:B,'SALDO ATUAL'!$A$3:$E1261,4,0),"")</f>
        <v>PREENCHEDOR</v>
      </c>
      <c r="E269" s="60" t="str">
        <f>IFERROR(VLOOKUP(B:B,'SALDO ATUAL'!$A$3:$E$999,5,0),"")</f>
        <v>023 - Mililitro</v>
      </c>
      <c r="F269" s="15">
        <v>2</v>
      </c>
      <c r="G269" s="61"/>
      <c r="H269" s="56"/>
      <c r="I269" s="5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6.25" customHeight="1">
      <c r="A270" s="69">
        <v>46106</v>
      </c>
      <c r="B270" s="14">
        <v>187</v>
      </c>
      <c r="C270" s="58" t="str">
        <f>IFERROR(VLOOKUP(B:B,'SALDO ATUAL'!$A$3:$E$9999,3,0),"")</f>
        <v>GEL DE TRATAMENTO NEAUVIA</v>
      </c>
      <c r="D270" s="59" t="str">
        <f>IFERROR(VLOOKUP(B:B,'SALDO ATUAL'!$A$3:$E1262,4,0),"")</f>
        <v>SOLUÇÕES</v>
      </c>
      <c r="E270" s="60">
        <f>IFERROR(VLOOKUP(B:B,'SALDO ATUAL'!$A$3:$E$999,5,0),"")</f>
        <v>0</v>
      </c>
      <c r="F270" s="15">
        <v>1</v>
      </c>
      <c r="G270" s="61"/>
      <c r="H270" s="56"/>
      <c r="I270" s="5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6.25" customHeight="1">
      <c r="A271" s="69">
        <v>46106</v>
      </c>
      <c r="B271" s="62">
        <v>96</v>
      </c>
      <c r="C271" s="58" t="str">
        <f>IFERROR(VLOOKUP(B:B,'SALDO ATUAL'!$A$3:$E$9999,3,0),"")</f>
        <v>CREME CALMANTE NIACINAMIDA INC BEAUTY</v>
      </c>
      <c r="D271" s="59" t="str">
        <f>IFERROR(VLOOKUP(B:B,'SALDO ATUAL'!$A$3:$E1263,4,0),"")</f>
        <v>MANIPULADOS</v>
      </c>
      <c r="E271" s="60" t="str">
        <f>IFERROR(VLOOKUP(B:B,'SALDO ATUAL'!$A$3:$E$999,5,0),"")</f>
        <v>018 - Grama</v>
      </c>
      <c r="F271" s="15">
        <v>1</v>
      </c>
      <c r="G271" s="61"/>
      <c r="H271" s="56"/>
      <c r="I271" s="5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6.25" customHeight="1">
      <c r="A272" s="69">
        <v>46106</v>
      </c>
      <c r="B272" s="62">
        <v>50</v>
      </c>
      <c r="C272" s="58" t="str">
        <f>IFERROR(VLOOKUP(B:B,'SALDO ATUAL'!$A$3:$E$9999,3,0),"")</f>
        <v>BÁLSAMO DE LIMPEZA FACIAL OLERA</v>
      </c>
      <c r="D272" s="59" t="str">
        <f>IFERROR(VLOOKUP(B:B,'SALDO ATUAL'!$A$3:$E1264,4,0),"")</f>
        <v>DERMOCOSMÉTICO E COSMÉTICO</v>
      </c>
      <c r="E272" s="60" t="str">
        <f>IFERROR(VLOOKUP(B:B,'SALDO ATUAL'!$A$3:$E$999,5,0),"")</f>
        <v>013 - Frasco</v>
      </c>
      <c r="F272" s="15">
        <v>1</v>
      </c>
      <c r="G272" s="61"/>
      <c r="H272" s="56"/>
      <c r="I272" s="5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6.25" customHeight="1">
      <c r="A273" s="69">
        <v>46106</v>
      </c>
      <c r="B273" s="62">
        <v>220</v>
      </c>
      <c r="C273" s="58" t="str">
        <f>IFERROR(VLOOKUP(B:B,'SALDO ATUAL'!$A$3:$E$9999,3,0),"")</f>
        <v>MASCARA ARGILA INC BEAUTY</v>
      </c>
      <c r="D273" s="59" t="str">
        <f>IFERROR(VLOOKUP(B:B,'SALDO ATUAL'!$A$3:$E1265,4,0),"")</f>
        <v>MANIPULADOS</v>
      </c>
      <c r="E273" s="60" t="str">
        <f>IFERROR(VLOOKUP(B:B,'SALDO ATUAL'!$A$3:$E$999,5,0),"")</f>
        <v>018 - Grama</v>
      </c>
      <c r="F273" s="15">
        <v>1</v>
      </c>
      <c r="G273" s="61"/>
      <c r="H273" s="56"/>
      <c r="I273" s="5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6.25" customHeight="1">
      <c r="A274" s="69">
        <v>46106</v>
      </c>
      <c r="B274" s="62">
        <v>25</v>
      </c>
      <c r="C274" s="58" t="str">
        <f>IFERROR(VLOOKUP(B:B,'SALDO ATUAL'!$A$3:$E$9999,3,0),"")</f>
        <v>AH BELOTERO INTENSE</v>
      </c>
      <c r="D274" s="59" t="str">
        <f>IFERROR(VLOOKUP(B:B,'SALDO ATUAL'!$A$3:$E1267,4,0),"")</f>
        <v>PREENCHEDOR</v>
      </c>
      <c r="E274" s="60" t="str">
        <f>IFERROR(VLOOKUP(B:B,'SALDO ATUAL'!$A$3:$E$999,5,0),"")</f>
        <v>023 - Mililitro</v>
      </c>
      <c r="F274" s="15">
        <v>4</v>
      </c>
      <c r="G274" s="61"/>
      <c r="H274" s="56"/>
      <c r="I274" s="5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6.25" customHeight="1">
      <c r="A275" s="69">
        <v>46106</v>
      </c>
      <c r="B275" s="62">
        <v>329</v>
      </c>
      <c r="C275" s="58" t="str">
        <f>IFERROR(VLOOKUP(B:B,'SALDO ATUAL'!$A$3:$E$9999,3,0),"")</f>
        <v>TOXINA BOTULÍNICA XEOMIN 100UI</v>
      </c>
      <c r="D275" s="59" t="str">
        <f>IFERROR(VLOOKUP(B:B,'SALDO ATUAL'!$A$3:$E1268,4,0),"")</f>
        <v>TOXINA</v>
      </c>
      <c r="E275" s="60" t="str">
        <f>IFERROR(VLOOKUP(B:B,'SALDO ATUAL'!$A$3:$E$999,5,0),"")</f>
        <v>037 - Unidade Internacional</v>
      </c>
      <c r="F275" s="15">
        <v>1</v>
      </c>
      <c r="G275" s="61"/>
      <c r="H275" s="56"/>
      <c r="I275" s="5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6.25" customHeight="1">
      <c r="A276" s="69">
        <v>46106</v>
      </c>
      <c r="B276" s="62">
        <v>359</v>
      </c>
      <c r="C276" s="58" t="str">
        <f>IFERROR(VLOOKUP(B:B,'SALDO ATUAL'!$A$3:$E$9999,3,0),"")</f>
        <v>NADH (PÓ LIOFILIZADO) OPTIMUS</v>
      </c>
      <c r="D276" s="59" t="str">
        <f>IFERROR(VLOOKUP(B:B,'SALDO ATUAL'!$A$3:$E1269,4,0),"")</f>
        <v>ATIVOS</v>
      </c>
      <c r="E276" s="60" t="str">
        <f>IFERROR(VLOOKUP(B:B,'SALDO ATUAL'!$A$3:$E$999,5,0),"")</f>
        <v>001- Ampola</v>
      </c>
      <c r="F276" s="15">
        <v>1</v>
      </c>
      <c r="G276" s="61"/>
      <c r="H276" s="56"/>
      <c r="I276" s="5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6.25" customHeight="1">
      <c r="A277" s="69">
        <v>46106</v>
      </c>
      <c r="B277" s="62">
        <v>336</v>
      </c>
      <c r="C277" s="58" t="str">
        <f>IFERROR(VLOOKUP(B:B,'SALDO ATUAL'!$A$3:$E$9999,3,0),"")</f>
        <v>VITAMINA C OPTIMUS</v>
      </c>
      <c r="D277" s="59" t="str">
        <f>IFERROR(VLOOKUP(B:B,'SALDO ATUAL'!$A$3:$E1270,4,0),"")</f>
        <v>ATIVOS</v>
      </c>
      <c r="E277" s="60" t="str">
        <f>IFERROR(VLOOKUP(B:B,'SALDO ATUAL'!$A$3:$E$999,5,0),"")</f>
        <v xml:space="preserve">001- Ampola </v>
      </c>
      <c r="F277" s="15">
        <v>2</v>
      </c>
      <c r="G277" s="61"/>
      <c r="H277" s="56"/>
      <c r="I277" s="5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6.25" customHeight="1">
      <c r="A278" s="69">
        <v>46106</v>
      </c>
      <c r="B278" s="62">
        <v>322</v>
      </c>
      <c r="C278" s="58" t="str">
        <f>IFERROR(VLOOKUP(B:B,'SALDO ATUAL'!$A$3:$E$9999,3,0),"")</f>
        <v>SULF . DE ZINCO OPTIMUS</v>
      </c>
      <c r="D278" s="59" t="str">
        <f>IFERROR(VLOOKUP(B:B,'SALDO ATUAL'!$A$3:$E1271,4,0),"")</f>
        <v>INJETAVEL</v>
      </c>
      <c r="E278" s="60" t="str">
        <f>IFERROR(VLOOKUP(B:B,'SALDO ATUAL'!$A$3:$E$999,5,0),"")</f>
        <v>001 - Ampola</v>
      </c>
      <c r="F278" s="15">
        <v>2</v>
      </c>
      <c r="G278" s="61"/>
      <c r="H278" s="56"/>
      <c r="I278" s="5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6.25" customHeight="1">
      <c r="A279" s="69">
        <v>46106</v>
      </c>
      <c r="B279" s="62">
        <v>335</v>
      </c>
      <c r="C279" s="58" t="str">
        <f>IFERROR(VLOOKUP(B:B,'SALDO ATUAL'!$A$3:$E$9999,3,0),"")</f>
        <v>VITAMINA B12 OPTIMUS</v>
      </c>
      <c r="D279" s="59" t="str">
        <f>IFERROR(VLOOKUP(B:B,'SALDO ATUAL'!$A$3:$E1272,4,0),"")</f>
        <v>ATIVOS</v>
      </c>
      <c r="E279" s="60" t="str">
        <f>IFERROR(VLOOKUP(B:B,'SALDO ATUAL'!$A$3:$E$999,5,0),"")</f>
        <v xml:space="preserve">001- Ampola </v>
      </c>
      <c r="F279" s="15">
        <v>2</v>
      </c>
      <c r="G279" s="61"/>
      <c r="H279" s="56"/>
      <c r="I279" s="5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6.25" customHeight="1">
      <c r="A280" s="69">
        <v>46106</v>
      </c>
      <c r="B280" s="62">
        <v>288</v>
      </c>
      <c r="C280" s="58" t="str">
        <f>IFERROR(VLOOKUP(B:B,'SALDO ATUAL'!$A$3:$E$9999,3,0),"")</f>
        <v>SELENIO OPTIMUS</v>
      </c>
      <c r="D280" s="59" t="str">
        <f>IFERROR(VLOOKUP(B:B,'SALDO ATUAL'!$A$3:$E1273,4,0),"")</f>
        <v>ATIVOS</v>
      </c>
      <c r="E280" s="60" t="str">
        <f>IFERROR(VLOOKUP(B:B,'SALDO ATUAL'!$A$3:$E$999,5,0),"")</f>
        <v>001- Ampola</v>
      </c>
      <c r="F280" s="15">
        <v>2</v>
      </c>
      <c r="G280" s="61"/>
      <c r="H280" s="56"/>
      <c r="I280" s="5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6.25" customHeight="1">
      <c r="A281" s="69">
        <v>46106</v>
      </c>
      <c r="B281" s="62">
        <v>324</v>
      </c>
      <c r="C281" s="58" t="str">
        <f>IFERROR(VLOOKUP(B:B,'SALDO ATUAL'!$A$3:$E$9999,3,0),"")</f>
        <v>TIMOMODULINA OPTIMUS</v>
      </c>
      <c r="D281" s="59" t="str">
        <f>IFERROR(VLOOKUP(B:B,'SALDO ATUAL'!$A$3:$E1274,4,0),"")</f>
        <v>ATIVOS</v>
      </c>
      <c r="E281" s="60" t="str">
        <f>IFERROR(VLOOKUP(B:B,'SALDO ATUAL'!$A$3:$E$999,5,0),"")</f>
        <v>001 - Ampola</v>
      </c>
      <c r="F281" s="15">
        <v>2</v>
      </c>
      <c r="G281" s="61"/>
      <c r="H281" s="56"/>
      <c r="I281" s="5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6.25" customHeight="1">
      <c r="A282" s="69">
        <v>46106</v>
      </c>
      <c r="B282" s="62">
        <v>357</v>
      </c>
      <c r="C282" s="58" t="str">
        <f>IFERROR(VLOOKUP(B:B,'SALDO ATUAL'!$A$3:$E$9999,3,0),"")</f>
        <v>SORO  EV 250ML</v>
      </c>
      <c r="D282" s="59" t="str">
        <f>IFERROR(VLOOKUP(B:B,'SALDO ATUAL'!$A$3:$E1275,4,0),"")</f>
        <v>MATERIAIS DESCARTÁVEIS E APOIO</v>
      </c>
      <c r="E282" s="60" t="str">
        <f>IFERROR(VLOOKUP(B:B,'SALDO ATUAL'!$A$3:$E$999,5,0),"")</f>
        <v xml:space="preserve">036- Unidade </v>
      </c>
      <c r="F282" s="15">
        <v>2</v>
      </c>
      <c r="G282" s="61"/>
      <c r="H282" s="56"/>
      <c r="I282" s="5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6.25" customHeight="1">
      <c r="A283" s="69">
        <v>46106</v>
      </c>
      <c r="B283" s="14">
        <v>354</v>
      </c>
      <c r="C283" s="58" t="str">
        <f>IFERROR(VLOOKUP(B:B,'SALDO ATUAL'!$A$3:$E$9999,3,0),"")</f>
        <v>SCALP 23G</v>
      </c>
      <c r="D283" s="59" t="str">
        <f>IFERROR(VLOOKUP(B:B,'SALDO ATUAL'!$A$3:$E1276,4,0),"")</f>
        <v>AGULHAS</v>
      </c>
      <c r="E283" s="60" t="str">
        <f>IFERROR(VLOOKUP(B:B,'SALDO ATUAL'!$A$3:$E$999,5,0),"")</f>
        <v xml:space="preserve">036- Unidade </v>
      </c>
      <c r="F283" s="15">
        <v>2</v>
      </c>
      <c r="G283" s="61"/>
      <c r="H283" s="56"/>
      <c r="I283" s="5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6.25" customHeight="1">
      <c r="A284" s="69">
        <v>46106</v>
      </c>
      <c r="B284" s="62">
        <v>355</v>
      </c>
      <c r="C284" s="58" t="str">
        <f>IFERROR(VLOOKUP(B:B,'SALDO ATUAL'!$A$3:$E$9999,3,0),"")</f>
        <v>EQUIPO TKL</v>
      </c>
      <c r="D284" s="59" t="str">
        <f>IFERROR(VLOOKUP(B:B,'SALDO ATUAL'!$A$3:$E1277,4,0),"")</f>
        <v>MATERIAIS DESCARTÁVEIS E APOIO</v>
      </c>
      <c r="E284" s="60" t="str">
        <f>IFERROR(VLOOKUP(B:B,'SALDO ATUAL'!$A$3:$E$999,5,0),"")</f>
        <v xml:space="preserve">036- Unidade </v>
      </c>
      <c r="F284" s="15">
        <v>1</v>
      </c>
      <c r="G284" s="61"/>
      <c r="H284" s="56"/>
      <c r="I284" s="5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6.25" customHeight="1">
      <c r="A285" s="69">
        <v>46107</v>
      </c>
      <c r="B285" s="62">
        <v>84</v>
      </c>
      <c r="C285" s="58" t="str">
        <f>IFERROR(VLOOKUP(B:B,'SALDO ATUAL'!$A$3:$E$9999,3,0),"")</f>
        <v>COLETOR PERFUROCORTANTE 3L DESCARPACK</v>
      </c>
      <c r="D285" s="59" t="str">
        <f>IFERROR(VLOOKUP(B:B,'SALDO ATUAL'!$A$3:$E1278,4,0),"")</f>
        <v>MATERIAIS DESCARTÁVEIS E APOIO</v>
      </c>
      <c r="E285" s="60" t="str">
        <f>IFERROR(VLOOKUP(B:B,'SALDO ATUAL'!$A$3:$E$999,5,0),"")</f>
        <v>036 - Unidade</v>
      </c>
      <c r="F285" s="15">
        <v>2</v>
      </c>
      <c r="G285" s="61"/>
      <c r="H285" s="56"/>
      <c r="I285" s="5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6.25" customHeight="1">
      <c r="A286" s="69">
        <v>46107</v>
      </c>
      <c r="B286" s="62">
        <v>294</v>
      </c>
      <c r="C286" s="58" t="str">
        <f>IFERROR(VLOOKUP(B:B,'SALDO ATUAL'!$A$3:$E$9999,3,0),"")</f>
        <v>SERINGA 3ML LOCK - ROSCA DESCARPACK</v>
      </c>
      <c r="D286" s="59" t="str">
        <f>IFERROR(VLOOKUP(B:B,'SALDO ATUAL'!$A$3:$E1279,4,0),"")</f>
        <v>SERINGA</v>
      </c>
      <c r="E286" s="60" t="str">
        <f>IFERROR(VLOOKUP(B:B,'SALDO ATUAL'!$A$3:$E$999,5,0),"")</f>
        <v>031- Seringa</v>
      </c>
      <c r="F286" s="15">
        <v>10</v>
      </c>
      <c r="G286" s="61"/>
      <c r="H286" s="56"/>
      <c r="I286" s="5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6.25" customHeight="1">
      <c r="A287" s="69">
        <v>46107</v>
      </c>
      <c r="B287" s="62">
        <v>299</v>
      </c>
      <c r="C287" s="58" t="str">
        <f>IFERROR(VLOOKUP(B:B,'SALDO ATUAL'!$A$3:$E$9999,3,0),"")</f>
        <v>SERINGA 5ML LOCK - ROSCA DESCARPACK</v>
      </c>
      <c r="D287" s="59" t="str">
        <f>IFERROR(VLOOKUP(B:B,'SALDO ATUAL'!$A$3:$E1280,4,0),"")</f>
        <v>SERINGA</v>
      </c>
      <c r="E287" s="60" t="str">
        <f>IFERROR(VLOOKUP(B:B,'SALDO ATUAL'!$A$3:$E$999,5,0),"")</f>
        <v>036- Unidade</v>
      </c>
      <c r="F287" s="15">
        <v>10</v>
      </c>
      <c r="G287" s="61"/>
      <c r="H287" s="56"/>
      <c r="I287" s="5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6.25" customHeight="1">
      <c r="A288" s="69">
        <v>46107</v>
      </c>
      <c r="B288" s="62">
        <v>101</v>
      </c>
      <c r="C288" s="58" t="str">
        <f>IFERROR(VLOOKUP(B:B,'SALDO ATUAL'!$A$3:$E$9999,3,0),"")</f>
        <v>CRIOGENIO DENSITY</v>
      </c>
      <c r="D288" s="59" t="str">
        <f>IFERROR(VLOOKUP(B:B,'SALDO ATUAL'!$A$3:$E1281,4,0),"")</f>
        <v>MATERIAIS DESCARTÁVEIS E APOIO</v>
      </c>
      <c r="E288" s="60" t="str">
        <f>IFERROR(VLOOKUP(B:B,'SALDO ATUAL'!$A$3:$E$999,5,0),"")</f>
        <v>018 - Grama</v>
      </c>
      <c r="F288" s="15">
        <v>2</v>
      </c>
      <c r="G288" s="61"/>
      <c r="H288" s="56"/>
      <c r="I288" s="5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6.25" customHeight="1">
      <c r="A289" s="69">
        <v>46107</v>
      </c>
      <c r="B289" s="62">
        <v>267</v>
      </c>
      <c r="C289" s="58" t="str">
        <f>IFERROR(VLOOKUP(B:B,'SALDO ATUAL'!$A$3:$E$9999,3,0),"")</f>
        <v>PONTEIRA E TIP DENSITY</v>
      </c>
      <c r="D289" s="59" t="str">
        <f>IFERROR(VLOOKUP(B:B,'SALDO ATUAL'!$A$3:$E1282,4,0),"")</f>
        <v>PONTEIRA</v>
      </c>
      <c r="E289" s="60" t="str">
        <f>IFERROR(VLOOKUP(B:B,'SALDO ATUAL'!$A$3:$E$999,5,0),"")</f>
        <v>036-Unidade</v>
      </c>
      <c r="F289" s="15">
        <v>1</v>
      </c>
      <c r="G289" s="61"/>
      <c r="H289" s="56"/>
      <c r="I289" s="5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6.25" customHeight="1">
      <c r="A290" s="69">
        <v>46107</v>
      </c>
      <c r="B290" s="62">
        <v>94</v>
      </c>
      <c r="C290" s="58" t="str">
        <f>IFERROR(VLOOKUP(B:B,'SALDO ATUAL'!$A$3:$E$9999,3,0),"")</f>
        <v>CREME 1 CALMANTE IMEDIATO INC BEAUTY</v>
      </c>
      <c r="D290" s="59" t="str">
        <f>IFERROR(VLOOKUP(B:B,'SALDO ATUAL'!$A$3:$E1283,4,0),"")</f>
        <v>MANIPULADOS</v>
      </c>
      <c r="E290" s="60" t="str">
        <f>IFERROR(VLOOKUP(B:B,'SALDO ATUAL'!$A$3:$E$999,5,0),"")</f>
        <v>018 - Grama</v>
      </c>
      <c r="F290" s="15">
        <v>1</v>
      </c>
      <c r="G290" s="61"/>
      <c r="H290" s="56"/>
      <c r="I290" s="5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6.25" customHeight="1">
      <c r="A291" s="69">
        <v>46107</v>
      </c>
      <c r="B291" s="14">
        <v>335</v>
      </c>
      <c r="C291" s="58" t="str">
        <f>IFERROR(VLOOKUP(B:B,'SALDO ATUAL'!$A$3:$E$9999,3,0),"")</f>
        <v>VITAMINA B12 OPTIMUS</v>
      </c>
      <c r="D291" s="59" t="str">
        <f>IFERROR(VLOOKUP(B:B,'SALDO ATUAL'!$A$3:$E1284,4,0),"")</f>
        <v>ATIVOS</v>
      </c>
      <c r="E291" s="60" t="str">
        <f>IFERROR(VLOOKUP(B:B,'SALDO ATUAL'!$A$3:$E$999,5,0),"")</f>
        <v xml:space="preserve">001- Ampola </v>
      </c>
      <c r="F291" s="15">
        <v>1</v>
      </c>
      <c r="G291" s="61"/>
      <c r="H291" s="56"/>
      <c r="I291" s="5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6.25" customHeight="1">
      <c r="A292" s="69">
        <v>46107</v>
      </c>
      <c r="B292" s="14">
        <v>203</v>
      </c>
      <c r="C292" s="58" t="str">
        <f>IFERROR(VLOOKUP(B:B,'SALDO ATUAL'!$A$3:$E$9999,3,0),"")</f>
        <v>L GLUTATIONA OPTMUS</v>
      </c>
      <c r="D292" s="59" t="str">
        <f>IFERROR(VLOOKUP(B:B,'SALDO ATUAL'!$A$3:$E1285,4,0),"")</f>
        <v>ATIVOS</v>
      </c>
      <c r="E292" s="60" t="str">
        <f>IFERROR(VLOOKUP(B:B,'SALDO ATUAL'!$A$3:$E$999,5,0),"")</f>
        <v>001- Ampola</v>
      </c>
      <c r="F292" s="15">
        <v>1</v>
      </c>
      <c r="G292" s="61"/>
      <c r="H292" s="56"/>
      <c r="I292" s="5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6.25" customHeight="1">
      <c r="A293" s="69">
        <v>46107</v>
      </c>
      <c r="B293" s="62">
        <v>200</v>
      </c>
      <c r="C293" s="58" t="str">
        <f>IFERROR(VLOOKUP(B:B,'SALDO ATUAL'!$A$3:$E$9999,3,0),"")</f>
        <v>INOSITOL OPTIMUS</v>
      </c>
      <c r="D293" s="59" t="str">
        <f>IFERROR(VLOOKUP(B:B,'SALDO ATUAL'!$A$3:$E1286,4,0),"")</f>
        <v>INJETAVEL</v>
      </c>
      <c r="E293" s="60" t="str">
        <f>IFERROR(VLOOKUP(B:B,'SALDO ATUAL'!$A$3:$E$999,5,0),"")</f>
        <v>001- Ampola</v>
      </c>
      <c r="F293" s="15">
        <v>1</v>
      </c>
      <c r="G293" s="61"/>
      <c r="H293" s="56"/>
      <c r="I293" s="5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6.25" customHeight="1">
      <c r="A294" s="69">
        <v>46107</v>
      </c>
      <c r="B294" s="62">
        <v>371</v>
      </c>
      <c r="C294" s="58" t="str">
        <f>IFERROR(VLOOKUP(B:B,'SALDO ATUAL'!$A$3:$E$9999,3,0),"")</f>
        <v>NAC-N-ACETIL OPTIMUS</v>
      </c>
      <c r="D294" s="59" t="str">
        <f>IFERROR(VLOOKUP(B:B,'SALDO ATUAL'!$A$3:$E1287,4,0),"")</f>
        <v>INJETAVEL</v>
      </c>
      <c r="E294" s="60" t="str">
        <f>IFERROR(VLOOKUP(B:B,'SALDO ATUAL'!$A$3:$E$999,5,0),"")</f>
        <v>001- Ampola</v>
      </c>
      <c r="F294" s="15">
        <v>1</v>
      </c>
      <c r="G294" s="61"/>
      <c r="H294" s="56"/>
      <c r="I294" s="5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6.25" customHeight="1">
      <c r="A295" s="69">
        <v>46107</v>
      </c>
      <c r="B295" s="62">
        <v>85</v>
      </c>
      <c r="C295" s="58" t="str">
        <f>IFERROR(VLOOKUP(B:B,'SALDO ATUAL'!$A$3:$E$9999,3,0),"")</f>
        <v>COLINA OPTIMUS</v>
      </c>
      <c r="D295" s="59" t="str">
        <f>IFERROR(VLOOKUP(B:B,'SALDO ATUAL'!$A$3:$E1288,4,0),"")</f>
        <v>ATIVOS</v>
      </c>
      <c r="E295" s="60" t="str">
        <f>IFERROR(VLOOKUP(B:B,'SALDO ATUAL'!$A$3:$E$999,5,0),"")</f>
        <v>001- Ampola</v>
      </c>
      <c r="F295" s="15">
        <v>1</v>
      </c>
      <c r="G295" s="61"/>
      <c r="H295" s="56"/>
      <c r="I295" s="5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6.25" customHeight="1">
      <c r="A296" s="69">
        <v>46107</v>
      </c>
      <c r="B296" s="62">
        <v>357</v>
      </c>
      <c r="C296" s="58" t="str">
        <f>IFERROR(VLOOKUP(B:B,'SALDO ATUAL'!$A$3:$E$9999,3,0),"")</f>
        <v>SORO  EV 250ML</v>
      </c>
      <c r="D296" s="59" t="str">
        <f>IFERROR(VLOOKUP(B:B,'SALDO ATUAL'!$A$3:$E1289,4,0),"")</f>
        <v>MATERIAIS DESCARTÁVEIS E APOIO</v>
      </c>
      <c r="E296" s="60" t="str">
        <f>IFERROR(VLOOKUP(B:B,'SALDO ATUAL'!$A$3:$E$999,5,0),"")</f>
        <v xml:space="preserve">036- Unidade </v>
      </c>
      <c r="F296" s="15">
        <v>1</v>
      </c>
      <c r="G296" s="61"/>
      <c r="H296" s="56"/>
      <c r="I296" s="5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6.25" customHeight="1">
      <c r="A297" s="69">
        <v>46107</v>
      </c>
      <c r="B297" s="62">
        <v>355</v>
      </c>
      <c r="C297" s="58" t="str">
        <f>IFERROR(VLOOKUP(B:B,'SALDO ATUAL'!$A$3:$E$9999,3,0),"")</f>
        <v>EQUIPO TKL</v>
      </c>
      <c r="D297" s="59" t="str">
        <f>IFERROR(VLOOKUP(B:B,'SALDO ATUAL'!$A$3:$E1290,4,0),"")</f>
        <v>MATERIAIS DESCARTÁVEIS E APOIO</v>
      </c>
      <c r="E297" s="60" t="str">
        <f>IFERROR(VLOOKUP(B:B,'SALDO ATUAL'!$A$3:$E$999,5,0),"")</f>
        <v xml:space="preserve">036- Unidade </v>
      </c>
      <c r="F297" s="15">
        <v>1</v>
      </c>
      <c r="G297" s="61"/>
      <c r="H297" s="56"/>
      <c r="I297" s="5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6.25" customHeight="1">
      <c r="A298" s="69">
        <v>46107</v>
      </c>
      <c r="B298" s="62">
        <v>356</v>
      </c>
      <c r="C298" s="58" t="str">
        <f>IFERROR(VLOOKUP(B:B,'SALDO ATUAL'!$A$3:$E$9999,3,0),"")</f>
        <v>JELCO 22G BD</v>
      </c>
      <c r="D298" s="59" t="str">
        <f>IFERROR(VLOOKUP(B:B,'SALDO ATUAL'!$A$3:$E1291,4,0),"")</f>
        <v>AGULHAS</v>
      </c>
      <c r="E298" s="60" t="str">
        <f>IFERROR(VLOOKUP(B:B,'SALDO ATUAL'!$A$3:$E$999,5,0),"")</f>
        <v xml:space="preserve">036- Unidade </v>
      </c>
      <c r="F298" s="15">
        <v>1</v>
      </c>
      <c r="G298" s="61"/>
      <c r="H298" s="56"/>
      <c r="I298" s="5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6.25" customHeight="1">
      <c r="A299" s="69">
        <v>46107</v>
      </c>
      <c r="B299" s="62">
        <v>94</v>
      </c>
      <c r="C299" s="58" t="str">
        <f>IFERROR(VLOOKUP(B:B,'SALDO ATUAL'!$A$3:$E$9999,3,0),"")</f>
        <v>CREME 1 CALMANTE IMEDIATO INC BEAUTY</v>
      </c>
      <c r="D299" s="59" t="str">
        <f>IFERROR(VLOOKUP(B:B,'SALDO ATUAL'!$A$3:$E1292,4,0),"")</f>
        <v>MANIPULADOS</v>
      </c>
      <c r="E299" s="60" t="str">
        <f>IFERROR(VLOOKUP(B:B,'SALDO ATUAL'!$A$3:$E$999,5,0),"")</f>
        <v>018 - Grama</v>
      </c>
      <c r="F299" s="15">
        <v>1</v>
      </c>
      <c r="G299" s="61"/>
      <c r="H299" s="56"/>
      <c r="I299" s="5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6.25" customHeight="1">
      <c r="A300" s="69">
        <v>46107</v>
      </c>
      <c r="B300" s="62">
        <v>11</v>
      </c>
      <c r="C300" s="58" t="str">
        <f>IFERROR(VLOOKUP(B:B,'SALDO ATUAL'!$A$3:$E$9999,3,0),"")</f>
        <v>ÁGUA TERMAL MINERAUX</v>
      </c>
      <c r="D300" s="59" t="str">
        <f>IFERROR(VLOOKUP(B:B,'SALDO ATUAL'!$A$3:$E1293,4,0),"")</f>
        <v>DERMOCOSMÉTICO E COSMÉTICO</v>
      </c>
      <c r="E300" s="60" t="str">
        <f>IFERROR(VLOOKUP(B:B,'SALDO ATUAL'!$A$3:$E$999,5,0),"")</f>
        <v>013 - Frasco</v>
      </c>
      <c r="F300" s="15">
        <v>1</v>
      </c>
      <c r="G300" s="61"/>
      <c r="H300" s="56"/>
      <c r="I300" s="5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6.25" customHeight="1">
      <c r="A301" s="69">
        <v>46107</v>
      </c>
      <c r="B301" s="62">
        <v>95</v>
      </c>
      <c r="C301" s="58" t="str">
        <f>IFERROR(VLOOKUP(B:B,'SALDO ATUAL'!$A$3:$E$9999,3,0),"")</f>
        <v>CREME 3 CLAREADOR MANUTENÇÃO INC BEAUTY</v>
      </c>
      <c r="D301" s="59" t="str">
        <f>IFERROR(VLOOKUP(B:B,'SALDO ATUAL'!$A$3:$E1294,4,0),"")</f>
        <v>MANIPULADOS</v>
      </c>
      <c r="E301" s="60" t="str">
        <f>IFERROR(VLOOKUP(B:B,'SALDO ATUAL'!$A$3:$E$999,5,0),"")</f>
        <v>018 - Grama</v>
      </c>
      <c r="F301" s="15">
        <v>1</v>
      </c>
      <c r="G301" s="61"/>
      <c r="H301" s="56"/>
      <c r="I301" s="5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6.25" customHeight="1">
      <c r="A302" s="69">
        <v>46107</v>
      </c>
      <c r="B302" s="62">
        <v>94</v>
      </c>
      <c r="C302" s="58" t="str">
        <f>IFERROR(VLOOKUP(B:B,'SALDO ATUAL'!$A$3:$E$9999,3,0),"")</f>
        <v>CREME 1 CALMANTE IMEDIATO INC BEAUTY</v>
      </c>
      <c r="D302" s="59" t="str">
        <f>IFERROR(VLOOKUP(B:B,'SALDO ATUAL'!$A$3:$E1295,4,0),"")</f>
        <v>MANIPULADOS</v>
      </c>
      <c r="E302" s="60" t="str">
        <f>IFERROR(VLOOKUP(B:B,'SALDO ATUAL'!$A$3:$E$999,5,0),"")</f>
        <v>018 - Grama</v>
      </c>
      <c r="F302" s="15">
        <v>1</v>
      </c>
      <c r="G302" s="61"/>
      <c r="H302" s="56"/>
      <c r="I302" s="5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6.25" customHeight="1">
      <c r="A303" s="69">
        <v>46108</v>
      </c>
      <c r="B303" s="62">
        <v>328</v>
      </c>
      <c r="C303" s="58" t="str">
        <f>IFERROR(VLOOKUP(B:B,'SALDO ATUAL'!$A$3:$E$9999,3,0),"")</f>
        <v>TOXINA BOTULÍNICA DYSPORT 300U</v>
      </c>
      <c r="D303" s="59" t="str">
        <f>IFERROR(VLOOKUP(B:B,'SALDO ATUAL'!$A$3:$E1296,4,0),"")</f>
        <v>TOXINA</v>
      </c>
      <c r="E303" s="60" t="str">
        <f>IFERROR(VLOOKUP(B:B,'SALDO ATUAL'!$A$3:$E$999,5,0),"")</f>
        <v>037 - Unidade Internacional</v>
      </c>
      <c r="F303" s="15">
        <v>1</v>
      </c>
      <c r="G303" s="61"/>
      <c r="H303" s="56"/>
      <c r="I303" s="5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6.25" customHeight="1">
      <c r="A304" s="57">
        <v>46111</v>
      </c>
      <c r="B304" s="62">
        <v>294</v>
      </c>
      <c r="C304" s="58" t="str">
        <f>IFERROR(VLOOKUP(B:B,'SALDO ATUAL'!$A$3:$E$9999,3,0),"")</f>
        <v>SERINGA 3ML LOCK - ROSCA DESCARPACK</v>
      </c>
      <c r="D304" s="59" t="str">
        <f>IFERROR(VLOOKUP(B:B,'SALDO ATUAL'!$A$3:$E1297,4,0),"")</f>
        <v>SERINGA</v>
      </c>
      <c r="E304" s="60" t="str">
        <f>IFERROR(VLOOKUP(B:B,'SALDO ATUAL'!$A$3:$E$999,5,0),"")</f>
        <v>031- Seringa</v>
      </c>
      <c r="F304" s="15">
        <v>10</v>
      </c>
      <c r="G304" s="61"/>
      <c r="H304" s="56"/>
      <c r="I304" s="5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6.25" customHeight="1">
      <c r="A305" s="57">
        <v>46111</v>
      </c>
      <c r="B305" s="62">
        <v>298</v>
      </c>
      <c r="C305" s="58" t="str">
        <f>IFERROR(VLOOKUP(B:B,'SALDO ATUAL'!$A$3:$E$9999,3,0),"")</f>
        <v>SERINGA 5ML LOCK - ROSCA BD</v>
      </c>
      <c r="D305" s="59" t="str">
        <f>IFERROR(VLOOKUP(B:B,'SALDO ATUAL'!$A$3:$E1298,4,0),"")</f>
        <v>SERINGA</v>
      </c>
      <c r="E305" s="60" t="str">
        <f>IFERROR(VLOOKUP(B:B,'SALDO ATUAL'!$A$3:$E$999,5,0),"")</f>
        <v>036- Unidade</v>
      </c>
      <c r="F305" s="15">
        <v>10</v>
      </c>
      <c r="G305" s="61"/>
      <c r="H305" s="56"/>
      <c r="I305" s="5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6.25" customHeight="1">
      <c r="A306" s="57">
        <v>46111</v>
      </c>
      <c r="B306" s="62">
        <v>289</v>
      </c>
      <c r="C306" s="58" t="str">
        <f>IFERROR(VLOOKUP(B:B,'SALDO ATUAL'!$A$3:$E$9999,3,0),"")</f>
        <v>SERINGA 10ML C/ ROSCA DESCARPACK</v>
      </c>
      <c r="D306" s="59" t="str">
        <f>IFERROR(VLOOKUP(B:B,'SALDO ATUAL'!$A$3:$E1299,4,0),"")</f>
        <v>SERINGA</v>
      </c>
      <c r="E306" s="60" t="str">
        <f>IFERROR(VLOOKUP(B:B,'SALDO ATUAL'!$A$3:$E$999,5,0),"")</f>
        <v>031- Seringa</v>
      </c>
      <c r="F306" s="15">
        <v>10</v>
      </c>
      <c r="G306" s="61"/>
      <c r="H306" s="56"/>
      <c r="I306" s="5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6.25" customHeight="1">
      <c r="A307" s="57">
        <v>46111</v>
      </c>
      <c r="B307" s="62">
        <v>20</v>
      </c>
      <c r="C307" s="58" t="str">
        <f>IFERROR(VLOOKUP(B:B,'SALDO ATUAL'!$A$3:$E$9999,3,0),"")</f>
        <v>AGULHA ROSA 18G - 40X12 UNIQMED</v>
      </c>
      <c r="D307" s="59" t="str">
        <f>IFERROR(VLOOKUP(B:B,'SALDO ATUAL'!$A$3:$E1300,4,0),"")</f>
        <v>AGULHAS</v>
      </c>
      <c r="E307" s="60" t="str">
        <f>IFERROR(VLOOKUP(B:B,'SALDO ATUAL'!$A$3:$E$999,5,0),"")</f>
        <v>036 - Unidade</v>
      </c>
      <c r="F307" s="15">
        <v>1</v>
      </c>
      <c r="G307" s="61"/>
      <c r="H307" s="56"/>
      <c r="I307" s="5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6.25" customHeight="1">
      <c r="A308" s="57">
        <v>46111</v>
      </c>
      <c r="B308" s="62">
        <v>72</v>
      </c>
      <c r="C308" s="58" t="str">
        <f>IFERROR(VLOOKUP(B:B,'SALDO ATUAL'!$A$3:$E$9999,3,0),"")</f>
        <v>CANULA 22G 50MM - 0,7x50 FABINJECT</v>
      </c>
      <c r="D308" s="59" t="str">
        <f>IFERROR(VLOOKUP(B:B,'SALDO ATUAL'!$A$3:$E1301,4,0),"")</f>
        <v>CANULAS</v>
      </c>
      <c r="E308" s="60" t="str">
        <f>IFERROR(VLOOKUP(B:B,'SALDO ATUAL'!$A$3:$E$999,5,0),"")</f>
        <v>036 - Unidade</v>
      </c>
      <c r="F308" s="15">
        <v>1</v>
      </c>
      <c r="G308" s="61"/>
      <c r="H308" s="56"/>
      <c r="I308" s="5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6.25" customHeight="1">
      <c r="A309" s="57">
        <v>46111</v>
      </c>
      <c r="B309" s="62">
        <v>73</v>
      </c>
      <c r="C309" s="58" t="str">
        <f>IFERROR(VLOOKUP(B:B,'SALDO ATUAL'!$A$3:$E$9999,3,0),"")</f>
        <v>CANULA 25G 50MM x 50MM FABINJECT</v>
      </c>
      <c r="D309" s="59" t="str">
        <f>IFERROR(VLOOKUP(B:B,'SALDO ATUAL'!$A$3:$E1302,4,0),"")</f>
        <v>CANULAS</v>
      </c>
      <c r="E309" s="60" t="str">
        <f>IFERROR(VLOOKUP(B:B,'SALDO ATUAL'!$A$3:$E$999,5,0),"")</f>
        <v>036 - Unidade</v>
      </c>
      <c r="F309" s="15">
        <v>1</v>
      </c>
      <c r="G309" s="61"/>
      <c r="H309" s="56"/>
      <c r="I309" s="5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6.25" customHeight="1">
      <c r="A310" s="57">
        <v>46111</v>
      </c>
      <c r="B310" s="62">
        <v>392</v>
      </c>
      <c r="C310" s="58" t="str">
        <f>IFERROR(VLOOKUP(B:B,'SALDO ATUAL'!$A$3:$E$9999,3,0),"")</f>
        <v>COTONETES</v>
      </c>
      <c r="D310" s="59" t="str">
        <f>IFERROR(VLOOKUP(B:B,'SALDO ATUAL'!$A$3:$E1303,4,0),"")</f>
        <v>MATERIAIS DESCARTÁVEIS E APOIO</v>
      </c>
      <c r="E310" s="60" t="str">
        <f>IFERROR(VLOOKUP(B:B,'SALDO ATUAL'!$A$3:$E$999,5,0),"")</f>
        <v>005 - CAIXA</v>
      </c>
      <c r="F310" s="15">
        <v>1</v>
      </c>
      <c r="G310" s="61"/>
      <c r="H310" s="56"/>
      <c r="I310" s="5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6.25" customHeight="1">
      <c r="A311" s="57">
        <v>46111</v>
      </c>
      <c r="B311" s="62">
        <v>26</v>
      </c>
      <c r="C311" s="58" t="str">
        <f>IFERROR(VLOOKUP(B:B,'SALDO ATUAL'!$A$3:$E$9999,3,0),"")</f>
        <v>AH BELOTERO VOLUME</v>
      </c>
      <c r="D311" s="59" t="str">
        <f>IFERROR(VLOOKUP(B:B,'SALDO ATUAL'!$A$3:$E1304,4,0),"")</f>
        <v>PREENCHEDOR</v>
      </c>
      <c r="E311" s="60" t="str">
        <f>IFERROR(VLOOKUP(B:B,'SALDO ATUAL'!$A$3:$E$999,5,0),"")</f>
        <v>023 - Mililitro</v>
      </c>
      <c r="F311" s="15">
        <v>2</v>
      </c>
      <c r="G311" s="61"/>
      <c r="H311" s="56"/>
      <c r="I311" s="5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6.25" customHeight="1">
      <c r="A312" s="57">
        <v>46111</v>
      </c>
      <c r="B312" s="62">
        <v>24</v>
      </c>
      <c r="C312" s="58" t="str">
        <f>IFERROR(VLOOKUP(B:B,'SALDO ATUAL'!$A$3:$E$9999,3,0),"")</f>
        <v>AH BELOTERO BALANCE</v>
      </c>
      <c r="D312" s="59" t="str">
        <f>IFERROR(VLOOKUP(B:B,'SALDO ATUAL'!$A$3:$E1305,4,0),"")</f>
        <v>PREENCHEDOR</v>
      </c>
      <c r="E312" s="60" t="str">
        <f>IFERROR(VLOOKUP(B:B,'SALDO ATUAL'!$A$3:$E$999,5,0),"")</f>
        <v>023 - Mililitro</v>
      </c>
      <c r="F312" s="15">
        <v>1</v>
      </c>
      <c r="G312" s="61"/>
      <c r="H312" s="56"/>
      <c r="I312" s="5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6.25" customHeight="1">
      <c r="A313" s="57">
        <v>46111</v>
      </c>
      <c r="B313" s="62">
        <v>363</v>
      </c>
      <c r="C313" s="58" t="str">
        <f>IFERROR(VLOOKUP(B:B,'SALDO ATUAL'!$A$3:$E$9999,3,0),"")</f>
        <v>ALFA LIPÓICO 600mg OPTIMUS</v>
      </c>
      <c r="D313" s="59" t="str">
        <f>IFERROR(VLOOKUP(B:B,'SALDO ATUAL'!$A$3:$E1306,4,0),"")</f>
        <v>MANIPULADOS</v>
      </c>
      <c r="E313" s="60" t="str">
        <f>IFERROR(VLOOKUP(B:B,'SALDO ATUAL'!$A$3:$E$999,5,0),"")</f>
        <v>023- Mililitro</v>
      </c>
      <c r="F313" s="15">
        <v>1</v>
      </c>
      <c r="G313" s="61"/>
      <c r="H313" s="56"/>
      <c r="I313" s="5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6.25" customHeight="1">
      <c r="A314" s="57">
        <v>46111</v>
      </c>
      <c r="B314" s="62">
        <v>379</v>
      </c>
      <c r="C314" s="58" t="str">
        <f>IFERROR(VLOOKUP(B:B,'SALDO ATUAL'!$A$3:$E$9999,3,0),"")</f>
        <v xml:space="preserve">COENZIMA Q10  OPTIMUS </v>
      </c>
      <c r="D314" s="59" t="str">
        <f>IFERROR(VLOOKUP(B:B,'SALDO ATUAL'!$A$3:$E1307,4,0),"")</f>
        <v>MANIPULADOS</v>
      </c>
      <c r="E314" s="60" t="str">
        <f>IFERROR(VLOOKUP(B:B,'SALDO ATUAL'!$A$3:$E$999,5,0),"")</f>
        <v>036- Unidade</v>
      </c>
      <c r="F314" s="15">
        <v>4</v>
      </c>
      <c r="G314" s="61"/>
      <c r="H314" s="56"/>
      <c r="I314" s="5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6.25" customHeight="1">
      <c r="A315" s="57">
        <v>46111</v>
      </c>
      <c r="B315" s="62">
        <v>218</v>
      </c>
      <c r="C315" s="58" t="str">
        <f>IFERROR(VLOOKUP(B:B,'SALDO ATUAL'!$A$3:$E$9999,3,0),"")</f>
        <v>LUVA P SEM PÓ DESCARPACK</v>
      </c>
      <c r="D315" s="59" t="str">
        <f>IFERROR(VLOOKUP(B:B,'SALDO ATUAL'!$A$3:$E1308,4,0),"")</f>
        <v>MATERIAIS DESCARTÁVEIS E APOIO</v>
      </c>
      <c r="E315" s="60" t="str">
        <f>IFERROR(VLOOKUP(B:B,'SALDO ATUAL'!$A$3:$E$999,5,0),"")</f>
        <v>005- Caixa</v>
      </c>
      <c r="F315" s="15">
        <v>1</v>
      </c>
      <c r="G315" s="61"/>
      <c r="H315" s="56"/>
      <c r="I315" s="5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6.25" customHeight="1">
      <c r="A316" s="57">
        <v>46111</v>
      </c>
      <c r="B316" s="62">
        <v>58</v>
      </c>
      <c r="C316" s="58" t="str">
        <f>IFERROR(VLOOKUP(B:B,'SALDO ATUAL'!$A$3:$E$9999,3,0),"")</f>
        <v>BIOESTIMULADOR RADIESSE</v>
      </c>
      <c r="D316" s="59" t="str">
        <f>IFERROR(VLOOKUP(B:B,'SALDO ATUAL'!$A$3:$E1309,4,0),"")</f>
        <v>BIOESTIMULADORES</v>
      </c>
      <c r="E316" s="60" t="str">
        <f>IFERROR(VLOOKUP(B:B,'SALDO ATUAL'!$A$3:$E$999,5,0),"")</f>
        <v>023 - Mililitro</v>
      </c>
      <c r="F316" s="15">
        <v>2</v>
      </c>
      <c r="G316" s="61"/>
      <c r="H316" s="56"/>
      <c r="I316" s="5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6.25" customHeight="1">
      <c r="A317" s="57">
        <v>46111</v>
      </c>
      <c r="B317" s="62">
        <v>380</v>
      </c>
      <c r="C317" s="58" t="str">
        <f>IFERROR(VLOOKUP(B:B,'SALDO ATUAL'!$A$3:$E$9999,3,0),"")</f>
        <v>CREME 2 CLAREADOR INTENSO INC BEAUTY</v>
      </c>
      <c r="D317" s="59" t="str">
        <f>IFERROR(VLOOKUP(B:B,'SALDO ATUAL'!$A$3:$E1310,4,0),"")</f>
        <v>MANIPULADOS</v>
      </c>
      <c r="E317" s="60" t="str">
        <f>IFERROR(VLOOKUP(B:B,'SALDO ATUAL'!$A$3:$E$999,5,0),"")</f>
        <v xml:space="preserve">018- Grama </v>
      </c>
      <c r="F317" s="15">
        <v>1</v>
      </c>
      <c r="G317" s="61"/>
      <c r="H317" s="56"/>
      <c r="I317" s="5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6.25" customHeight="1">
      <c r="A318" s="57">
        <v>46111</v>
      </c>
      <c r="B318" s="62">
        <v>94</v>
      </c>
      <c r="C318" s="58" t="str">
        <f>IFERROR(VLOOKUP(B:B,'SALDO ATUAL'!$A$3:$E$9999,3,0),"")</f>
        <v>CREME 1 CALMANTE IMEDIATO INC BEAUTY</v>
      </c>
      <c r="D318" s="59" t="str">
        <f>IFERROR(VLOOKUP(B:B,'SALDO ATUAL'!$A$3:$E1311,4,0),"")</f>
        <v>MANIPULADOS</v>
      </c>
      <c r="E318" s="60" t="str">
        <f>IFERROR(VLOOKUP(B:B,'SALDO ATUAL'!$A$3:$E$999,5,0),"")</f>
        <v>018 - Grama</v>
      </c>
      <c r="F318" s="15">
        <v>1</v>
      </c>
      <c r="G318" s="61"/>
      <c r="H318" s="56"/>
      <c r="I318" s="5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6.25" customHeight="1">
      <c r="A319" s="57">
        <v>46111</v>
      </c>
      <c r="B319" s="62">
        <v>220</v>
      </c>
      <c r="C319" s="58" t="str">
        <f>IFERROR(VLOOKUP(B:B,'SALDO ATUAL'!$A$3:$E$9999,3,0),"")</f>
        <v>MASCARA ARGILA INC BEAUTY</v>
      </c>
      <c r="D319" s="59" t="str">
        <f>IFERROR(VLOOKUP(B:B,'SALDO ATUAL'!$A$3:$E1312,4,0),"")</f>
        <v>MANIPULADOS</v>
      </c>
      <c r="E319" s="60" t="str">
        <f>IFERROR(VLOOKUP(B:B,'SALDO ATUAL'!$A$3:$E$999,5,0),"")</f>
        <v>018 - Grama</v>
      </c>
      <c r="F319" s="15">
        <v>1</v>
      </c>
      <c r="G319" s="61"/>
      <c r="H319" s="56"/>
      <c r="I319" s="5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6.25" customHeight="1">
      <c r="A320" s="57">
        <v>46111</v>
      </c>
      <c r="B320" s="62">
        <v>50</v>
      </c>
      <c r="C320" s="58" t="str">
        <f>IFERROR(VLOOKUP(B:B,'SALDO ATUAL'!$A$3:$E$9999,3,0),"")</f>
        <v>BÁLSAMO DE LIMPEZA FACIAL OLERA</v>
      </c>
      <c r="D320" s="59" t="str">
        <f>IFERROR(VLOOKUP(B:B,'SALDO ATUAL'!$A$3:$E1313,4,0),"")</f>
        <v>DERMOCOSMÉTICO E COSMÉTICO</v>
      </c>
      <c r="E320" s="60" t="str">
        <f>IFERROR(VLOOKUP(B:B,'SALDO ATUAL'!$A$3:$E$999,5,0),"")</f>
        <v>013 - Frasco</v>
      </c>
      <c r="F320" s="15">
        <v>1</v>
      </c>
      <c r="G320" s="61"/>
      <c r="H320" s="56"/>
      <c r="I320" s="5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6.25" customHeight="1">
      <c r="A321" s="57">
        <v>46111</v>
      </c>
      <c r="B321" s="62">
        <v>96</v>
      </c>
      <c r="C321" s="58" t="str">
        <f>IFERROR(VLOOKUP(B:B,'SALDO ATUAL'!$A$3:$E$9999,3,0),"")</f>
        <v>CREME CALMANTE NIACINAMIDA INC BEAUTY</v>
      </c>
      <c r="D321" s="59" t="str">
        <f>IFERROR(VLOOKUP(B:B,'SALDO ATUAL'!$A$3:$E794,4,0),"")</f>
        <v>MANIPULADOS</v>
      </c>
      <c r="E321" s="60" t="str">
        <f>IFERROR(VLOOKUP(B:B,'SALDO ATUAL'!$A$3:$E$999,5,0),"")</f>
        <v>018 - Grama</v>
      </c>
      <c r="F321" s="15">
        <v>1</v>
      </c>
      <c r="G321" s="61"/>
      <c r="H321" s="56"/>
      <c r="I321" s="5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6.25" customHeight="1">
      <c r="A322" s="57">
        <v>46112</v>
      </c>
      <c r="B322" s="62">
        <v>58</v>
      </c>
      <c r="C322" s="58" t="str">
        <f>IFERROR(VLOOKUP(B:B,'SALDO ATUAL'!$A$3:$E$9999,3,0),"")</f>
        <v>BIOESTIMULADOR RADIESSE</v>
      </c>
      <c r="D322" s="59" t="str">
        <f>IFERROR(VLOOKUP(B:B,'SALDO ATUAL'!$A$3:$E795,4,0),"")</f>
        <v>BIOESTIMULADORES</v>
      </c>
      <c r="E322" s="60" t="str">
        <f>IFERROR(VLOOKUP(B:B,'SALDO ATUAL'!$A$3:$E$999,5,0),"")</f>
        <v>023 - Mililitro</v>
      </c>
      <c r="F322" s="15">
        <v>1</v>
      </c>
      <c r="G322" s="61"/>
      <c r="H322" s="56"/>
      <c r="I322" s="5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6.25" customHeight="1">
      <c r="A323" s="57">
        <v>46112</v>
      </c>
      <c r="B323" s="62">
        <v>336</v>
      </c>
      <c r="C323" s="58" t="str">
        <f>IFERROR(VLOOKUP(B:B,'SALDO ATUAL'!$A$3:$E$9999,3,0),"")</f>
        <v>VITAMINA C OPTIMUS</v>
      </c>
      <c r="D323" s="59" t="str">
        <f>IFERROR(VLOOKUP(B:B,'SALDO ATUAL'!$A$3:$E796,4,0),"")</f>
        <v>ATIVOS</v>
      </c>
      <c r="E323" s="60" t="str">
        <f>IFERROR(VLOOKUP(B:B,'SALDO ATUAL'!$A$3:$E$999,5,0),"")</f>
        <v xml:space="preserve">001- Ampola </v>
      </c>
      <c r="F323" s="15">
        <v>1</v>
      </c>
      <c r="G323" s="61"/>
      <c r="H323" s="56"/>
      <c r="I323" s="5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6.25" customHeight="1">
      <c r="A324" s="57">
        <v>46112</v>
      </c>
      <c r="B324" s="62">
        <v>324</v>
      </c>
      <c r="C324" s="58" t="str">
        <f>IFERROR(VLOOKUP(B:B,'SALDO ATUAL'!$A$3:$E$9999,3,0),"")</f>
        <v>TIMOMODULINA OPTIMUS</v>
      </c>
      <c r="D324" s="59" t="str">
        <f>IFERROR(VLOOKUP(B:B,'SALDO ATUAL'!$A$3:$E797,4,0),"")</f>
        <v>ATIVOS</v>
      </c>
      <c r="E324" s="60" t="str">
        <f>IFERROR(VLOOKUP(B:B,'SALDO ATUAL'!$A$3:$E$999,5,0),"")</f>
        <v>001 - Ampola</v>
      </c>
      <c r="F324" s="15">
        <v>1</v>
      </c>
      <c r="G324" s="61"/>
      <c r="H324" s="56"/>
      <c r="I324" s="5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6.25" customHeight="1">
      <c r="A325" s="57">
        <v>46112</v>
      </c>
      <c r="B325" s="62">
        <v>322</v>
      </c>
      <c r="C325" s="58" t="str">
        <f>IFERROR(VLOOKUP(B:B,'SALDO ATUAL'!$A$3:$E$9999,3,0),"")</f>
        <v>SULF . DE ZINCO OPTIMUS</v>
      </c>
      <c r="D325" s="59" t="str">
        <f>IFERROR(VLOOKUP(B:B,'SALDO ATUAL'!$A$3:$E798,4,0),"")</f>
        <v>INJETAVEL</v>
      </c>
      <c r="E325" s="60" t="str">
        <f>IFERROR(VLOOKUP(B:B,'SALDO ATUAL'!$A$3:$E$999,5,0),"")</f>
        <v>001 - Ampola</v>
      </c>
      <c r="F325" s="15">
        <v>1</v>
      </c>
      <c r="G325" s="61"/>
      <c r="H325" s="56"/>
      <c r="I325" s="5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6.25" customHeight="1">
      <c r="A326" s="57">
        <v>46112</v>
      </c>
      <c r="B326" s="62">
        <v>335</v>
      </c>
      <c r="C326" s="58" t="str">
        <f>IFERROR(VLOOKUP(B:B,'SALDO ATUAL'!$A$3:$E$9999,3,0),"")</f>
        <v>VITAMINA B12 OPTIMUS</v>
      </c>
      <c r="D326" s="59" t="str">
        <f>IFERROR(VLOOKUP(B:B,'SALDO ATUAL'!$A$3:$E799,4,0),"")</f>
        <v>ATIVOS</v>
      </c>
      <c r="E326" s="60" t="str">
        <f>IFERROR(VLOOKUP(B:B,'SALDO ATUAL'!$A$3:$E$999,5,0),"")</f>
        <v xml:space="preserve">001- Ampola </v>
      </c>
      <c r="F326" s="15">
        <v>1</v>
      </c>
      <c r="G326" s="61"/>
      <c r="H326" s="56"/>
      <c r="I326" s="5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6.25" customHeight="1">
      <c r="A327" s="57">
        <v>46112</v>
      </c>
      <c r="B327" s="62">
        <v>288</v>
      </c>
      <c r="C327" s="58" t="str">
        <f>IFERROR(VLOOKUP(B:B,'SALDO ATUAL'!$A$3:$E$9999,3,0),"")</f>
        <v>SELENIO OPTIMUS</v>
      </c>
      <c r="D327" s="59" t="str">
        <f>IFERROR(VLOOKUP(B:B,'SALDO ATUAL'!$A$3:$E800,4,0),"")</f>
        <v>ATIVOS</v>
      </c>
      <c r="E327" s="60" t="str">
        <f>IFERROR(VLOOKUP(B:B,'SALDO ATUAL'!$A$3:$E$999,5,0),"")</f>
        <v>001- Ampola</v>
      </c>
      <c r="F327" s="15">
        <v>1</v>
      </c>
      <c r="G327" s="61"/>
      <c r="H327" s="56"/>
      <c r="I327" s="5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6.25" customHeight="1">
      <c r="A328" s="57">
        <v>46112</v>
      </c>
      <c r="B328" s="62">
        <v>357</v>
      </c>
      <c r="C328" s="58" t="str">
        <f>IFERROR(VLOOKUP(B:B,'SALDO ATUAL'!$A$3:$E$9999,3,0),"")</f>
        <v>SORO  EV 250ML</v>
      </c>
      <c r="D328" s="59" t="str">
        <f>IFERROR(VLOOKUP(B:B,'SALDO ATUAL'!$A$3:$E801,4,0),"")</f>
        <v>MATERIAIS DESCARTÁVEIS E APOIO</v>
      </c>
      <c r="E328" s="60" t="str">
        <f>IFERROR(VLOOKUP(B:B,'SALDO ATUAL'!$A$3:$E$999,5,0),"")</f>
        <v xml:space="preserve">036- Unidade </v>
      </c>
      <c r="F328" s="15">
        <v>1</v>
      </c>
      <c r="G328" s="61"/>
      <c r="H328" s="56"/>
      <c r="I328" s="5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6.25" customHeight="1">
      <c r="A329" s="57">
        <v>46112</v>
      </c>
      <c r="B329" s="62">
        <v>356</v>
      </c>
      <c r="C329" s="58" t="str">
        <f>IFERROR(VLOOKUP(B:B,'SALDO ATUAL'!$A$3:$E$9999,3,0),"")</f>
        <v>JELCO 22G BD</v>
      </c>
      <c r="D329" s="59" t="str">
        <f>IFERROR(VLOOKUP(B:B,'SALDO ATUAL'!$A$3:$E802,4,0),"")</f>
        <v>AGULHAS</v>
      </c>
      <c r="E329" s="60" t="str">
        <f>IFERROR(VLOOKUP(B:B,'SALDO ATUAL'!$A$3:$E$999,5,0),"")</f>
        <v xml:space="preserve">036- Unidade </v>
      </c>
      <c r="F329" s="15">
        <v>1</v>
      </c>
      <c r="G329" s="61"/>
      <c r="H329" s="56"/>
      <c r="I329" s="5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6.25" customHeight="1">
      <c r="A330" s="57">
        <v>46112</v>
      </c>
      <c r="B330" s="62">
        <v>355</v>
      </c>
      <c r="C330" s="58" t="str">
        <f>IFERROR(VLOOKUP(B:B,'SALDO ATUAL'!$A$3:$E$9999,3,0),"")</f>
        <v>EQUIPO TKL</v>
      </c>
      <c r="D330" s="59" t="str">
        <f>IFERROR(VLOOKUP(B:B,'SALDO ATUAL'!$A$3:$E803,4,0),"")</f>
        <v>MATERIAIS DESCARTÁVEIS E APOIO</v>
      </c>
      <c r="E330" s="60" t="str">
        <f>IFERROR(VLOOKUP(B:B,'SALDO ATUAL'!$A$3:$E$999,5,0),"")</f>
        <v xml:space="preserve">036- Unidade </v>
      </c>
      <c r="F330" s="15">
        <v>1</v>
      </c>
      <c r="G330" s="61"/>
      <c r="H330" s="56"/>
      <c r="I330" s="5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6.25" customHeight="1">
      <c r="A331" s="57">
        <v>46112</v>
      </c>
      <c r="B331" s="62">
        <v>26</v>
      </c>
      <c r="C331" s="58" t="str">
        <f>IFERROR(VLOOKUP(B:B,'SALDO ATUAL'!$A$3:$E$9999,3,0),"")</f>
        <v>AH BELOTERO VOLUME</v>
      </c>
      <c r="D331" s="59" t="str">
        <f>IFERROR(VLOOKUP(B:B,'SALDO ATUAL'!$A$3:$E804,4,0),"")</f>
        <v>PREENCHEDOR</v>
      </c>
      <c r="E331" s="60" t="str">
        <f>IFERROR(VLOOKUP(B:B,'SALDO ATUAL'!$A$3:$E$999,5,0),"")</f>
        <v>023 - Mililitro</v>
      </c>
      <c r="F331" s="15">
        <v>1</v>
      </c>
      <c r="G331" s="61"/>
      <c r="H331" s="56"/>
      <c r="I331" s="5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6.25" customHeight="1">
      <c r="A332" s="57">
        <v>46112</v>
      </c>
      <c r="B332" s="62">
        <v>25</v>
      </c>
      <c r="C332" s="58" t="str">
        <f>IFERROR(VLOOKUP(B:B,'SALDO ATUAL'!$A$3:$E$9999,3,0),"")</f>
        <v>AH BELOTERO INTENSE</v>
      </c>
      <c r="D332" s="59" t="str">
        <f>IFERROR(VLOOKUP(B:B,'SALDO ATUAL'!$A$3:$E805,4,0),"")</f>
        <v>PREENCHEDOR</v>
      </c>
      <c r="E332" s="60" t="str">
        <f>IFERROR(VLOOKUP(B:B,'SALDO ATUAL'!$A$3:$E$999,5,0),"")</f>
        <v>023 - Mililitro</v>
      </c>
      <c r="F332" s="15">
        <v>1</v>
      </c>
      <c r="G332" s="61"/>
      <c r="H332" s="56"/>
      <c r="I332" s="5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6.25" customHeight="1">
      <c r="A333" s="57">
        <v>46112</v>
      </c>
      <c r="B333" s="62">
        <v>24</v>
      </c>
      <c r="C333" s="58" t="str">
        <f>IFERROR(VLOOKUP(B:B,'SALDO ATUAL'!$A$3:$E$9999,3,0),"")</f>
        <v>AH BELOTERO BALANCE</v>
      </c>
      <c r="D333" s="59" t="str">
        <f>IFERROR(VLOOKUP(B:B,'SALDO ATUAL'!$A$3:$E806,4,0),"")</f>
        <v>PREENCHEDOR</v>
      </c>
      <c r="E333" s="60" t="str">
        <f>IFERROR(VLOOKUP(B:B,'SALDO ATUAL'!$A$3:$E$999,5,0),"")</f>
        <v>023 - Mililitro</v>
      </c>
      <c r="F333" s="15">
        <v>1</v>
      </c>
      <c r="G333" s="61"/>
      <c r="H333" s="56"/>
      <c r="I333" s="5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6.25" customHeight="1">
      <c r="A334" s="57">
        <v>46112</v>
      </c>
      <c r="B334" s="62">
        <v>241</v>
      </c>
      <c r="C334" s="58" t="str">
        <f>IFERROR(VLOOKUP(B:B,'SALDO ATUAL'!$A$3:$E$9999,3,0),"")</f>
        <v>MESO OX PPC SKYMEDIC</v>
      </c>
      <c r="D334" s="59" t="str">
        <f>IFERROR(VLOOKUP(B:B,'SALDO ATUAL'!$A$3:$E807,4,0),"")</f>
        <v>ATIVOS</v>
      </c>
      <c r="E334" s="60">
        <f>IFERROR(VLOOKUP(B:B,'SALDO ATUAL'!$A$3:$E$999,5,0),"")</f>
        <v>0</v>
      </c>
      <c r="F334" s="15">
        <v>1</v>
      </c>
      <c r="G334" s="61"/>
      <c r="H334" s="56"/>
      <c r="I334" s="5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6.25" customHeight="1">
      <c r="A335" s="57">
        <v>46112</v>
      </c>
      <c r="B335" s="62">
        <v>50</v>
      </c>
      <c r="C335" s="58" t="str">
        <f>IFERROR(VLOOKUP(B:B,'SALDO ATUAL'!$A$3:$E$9999,3,0),"")</f>
        <v>BÁLSAMO DE LIMPEZA FACIAL OLERA</v>
      </c>
      <c r="D335" s="59" t="str">
        <f>IFERROR(VLOOKUP(B:B,'SALDO ATUAL'!$A$3:$E809,4,0),"")</f>
        <v>DERMOCOSMÉTICO E COSMÉTICO</v>
      </c>
      <c r="E335" s="60" t="str">
        <f>IFERROR(VLOOKUP(B:B,'SALDO ATUAL'!$A$3:$E$999,5,0),"")</f>
        <v>013 - Frasco</v>
      </c>
      <c r="F335" s="15">
        <v>1</v>
      </c>
      <c r="G335" s="61"/>
      <c r="H335" s="56"/>
      <c r="I335" s="5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6.25" customHeight="1">
      <c r="A336" s="57">
        <v>46113</v>
      </c>
      <c r="B336" s="62">
        <v>359</v>
      </c>
      <c r="C336" s="58" t="str">
        <f>IFERROR(VLOOKUP(B:B,'SALDO ATUAL'!$A$3:$E$9999,3,0),"")</f>
        <v>NADH (PÓ LIOFILIZADO) OPTIMUS</v>
      </c>
      <c r="D336" s="59" t="str">
        <f>IFERROR(VLOOKUP(B:B,'SALDO ATUAL'!$A$3:$E810,4,0),"")</f>
        <v>ATIVOS</v>
      </c>
      <c r="E336" s="60" t="str">
        <f>IFERROR(VLOOKUP(B:B,'SALDO ATUAL'!$A$3:$E$999,5,0),"")</f>
        <v>001- Ampola</v>
      </c>
      <c r="F336" s="15">
        <v>1</v>
      </c>
      <c r="G336" s="61"/>
      <c r="H336" s="56"/>
      <c r="I336" s="5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6.25" customHeight="1">
      <c r="A337" s="57">
        <v>46113</v>
      </c>
      <c r="B337" s="62">
        <v>357</v>
      </c>
      <c r="C337" s="58" t="str">
        <f>IFERROR(VLOOKUP(B:B,'SALDO ATUAL'!$A$3:$E$9999,3,0),"")</f>
        <v>SORO  EV 250ML</v>
      </c>
      <c r="D337" s="59" t="str">
        <f>IFERROR(VLOOKUP(B:B,'SALDO ATUAL'!$A$3:$E811,4,0),"")</f>
        <v>MATERIAIS DESCARTÁVEIS E APOIO</v>
      </c>
      <c r="E337" s="60" t="str">
        <f>IFERROR(VLOOKUP(B:B,'SALDO ATUAL'!$A$3:$E$999,5,0),"")</f>
        <v xml:space="preserve">036- Unidade </v>
      </c>
      <c r="F337" s="15">
        <v>2</v>
      </c>
      <c r="G337" s="61"/>
      <c r="H337" s="56"/>
      <c r="I337" s="5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6.25" customHeight="1">
      <c r="A338" s="57">
        <v>46113</v>
      </c>
      <c r="B338" s="62">
        <v>355</v>
      </c>
      <c r="C338" s="58" t="str">
        <f>IFERROR(VLOOKUP(B:B,'SALDO ATUAL'!$A$3:$E$9999,3,0),"")</f>
        <v>EQUIPO TKL</v>
      </c>
      <c r="D338" s="59" t="str">
        <f>IFERROR(VLOOKUP(B:B,'SALDO ATUAL'!$A$3:$E812,4,0),"")</f>
        <v>MATERIAIS DESCARTÁVEIS E APOIO</v>
      </c>
      <c r="E338" s="60" t="str">
        <f>IFERROR(VLOOKUP(B:B,'SALDO ATUAL'!$A$3:$E$999,5,0),"")</f>
        <v xml:space="preserve">036- Unidade </v>
      </c>
      <c r="F338" s="15">
        <v>2</v>
      </c>
      <c r="G338" s="61"/>
      <c r="H338" s="56"/>
      <c r="I338" s="5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6.25" customHeight="1">
      <c r="A339" s="57">
        <v>46113</v>
      </c>
      <c r="B339" s="62">
        <v>356</v>
      </c>
      <c r="C339" s="58" t="str">
        <f>IFERROR(VLOOKUP(B:B,'SALDO ATUAL'!$A$3:$E$9999,3,0),"")</f>
        <v>JELCO 22G BD</v>
      </c>
      <c r="D339" s="59" t="str">
        <f>IFERROR(VLOOKUP(B:B,'SALDO ATUAL'!$A$3:$E813,4,0),"")</f>
        <v>AGULHAS</v>
      </c>
      <c r="E339" s="60" t="str">
        <f>IFERROR(VLOOKUP(B:B,'SALDO ATUAL'!$A$3:$E$999,5,0),"")</f>
        <v xml:space="preserve">036- Unidade </v>
      </c>
      <c r="F339" s="15">
        <v>1</v>
      </c>
      <c r="G339" s="61"/>
      <c r="H339" s="56"/>
      <c r="I339" s="5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6.25" customHeight="1">
      <c r="A340" s="57">
        <v>46113</v>
      </c>
      <c r="B340" s="62">
        <v>354</v>
      </c>
      <c r="C340" s="58" t="str">
        <f>IFERROR(VLOOKUP(B:B,'SALDO ATUAL'!$A$3:$E$9999,3,0),"")</f>
        <v>SCALP 23G</v>
      </c>
      <c r="D340" s="59" t="str">
        <f>IFERROR(VLOOKUP(B:B,'SALDO ATUAL'!$A$3:$E814,4,0),"")</f>
        <v>AGULHAS</v>
      </c>
      <c r="E340" s="60" t="str">
        <f>IFERROR(VLOOKUP(B:B,'SALDO ATUAL'!$A$3:$E$999,5,0),"")</f>
        <v xml:space="preserve">036- Unidade </v>
      </c>
      <c r="F340" s="15">
        <v>2</v>
      </c>
      <c r="G340" s="61"/>
      <c r="H340" s="56"/>
      <c r="I340" s="5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6.25" customHeight="1">
      <c r="A341" s="57">
        <v>46113</v>
      </c>
      <c r="B341" s="62">
        <v>336</v>
      </c>
      <c r="C341" s="58" t="str">
        <f>IFERROR(VLOOKUP(B:B,'SALDO ATUAL'!$A$3:$E$9999,3,0),"")</f>
        <v>VITAMINA C OPTIMUS</v>
      </c>
      <c r="D341" s="59" t="str">
        <f>IFERROR(VLOOKUP(B:B,'SALDO ATUAL'!$A$3:$E815,4,0),"")</f>
        <v>ATIVOS</v>
      </c>
      <c r="E341" s="60" t="str">
        <f>IFERROR(VLOOKUP(B:B,'SALDO ATUAL'!$A$3:$E$999,5,0),"")</f>
        <v xml:space="preserve">001- Ampola </v>
      </c>
      <c r="F341" s="15">
        <v>1</v>
      </c>
      <c r="G341" s="61"/>
      <c r="H341" s="56"/>
      <c r="I341" s="5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6.25" customHeight="1">
      <c r="A342" s="57">
        <v>46113</v>
      </c>
      <c r="B342" s="62">
        <v>1</v>
      </c>
      <c r="C342" s="58" t="str">
        <f>IFERROR(VLOOKUP(B:B,'SALDO ATUAL'!$A$3:$E$9999,3,0),"")</f>
        <v>AC. ALFA LIPOICO OPTMUS</v>
      </c>
      <c r="D342" s="59" t="str">
        <f>IFERROR(VLOOKUP(B:B,'SALDO ATUAL'!$A$3:$E816,4,0),"")</f>
        <v>ATIVOS</v>
      </c>
      <c r="E342" s="60" t="str">
        <f>IFERROR(VLOOKUP(B:B,'SALDO ATUAL'!$A$3:$E$999,5,0),"")</f>
        <v>001 - Ampola</v>
      </c>
      <c r="F342" s="15">
        <v>1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6.25" customHeight="1">
      <c r="A343" s="57">
        <v>46113</v>
      </c>
      <c r="B343" s="62">
        <v>80</v>
      </c>
      <c r="C343" s="58" t="str">
        <f>IFERROR(VLOOKUP(B:B,'SALDO ATUAL'!$A$3:$E$9999,3,0),"")</f>
        <v>CLORETO DE MAGNESIO OPTMUS</v>
      </c>
      <c r="D343" s="59" t="str">
        <f>IFERROR(VLOOKUP(B:B,'SALDO ATUAL'!$A$3:$E817,4,0),"")</f>
        <v>ATIVOS</v>
      </c>
      <c r="E343" s="60" t="str">
        <f>IFERROR(VLOOKUP(B:B,'SALDO ATUAL'!$A$3:$E$999,5,0),"")</f>
        <v>001- Ampola</v>
      </c>
      <c r="F343" s="15">
        <v>1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6.25" customHeight="1">
      <c r="A344" s="57">
        <v>46113</v>
      </c>
      <c r="B344" s="62">
        <v>203</v>
      </c>
      <c r="C344" s="58" t="str">
        <f>IFERROR(VLOOKUP(B:B,'SALDO ATUAL'!$A$3:$E$9999,3,0),"")</f>
        <v>L GLUTATIONA OPTMUS</v>
      </c>
      <c r="D344" s="59" t="str">
        <f>IFERROR(VLOOKUP(B:B,'SALDO ATUAL'!$A$3:$E818,4,0),"")</f>
        <v>ATIVOS</v>
      </c>
      <c r="E344" s="60" t="str">
        <f>IFERROR(VLOOKUP(B:B,'SALDO ATUAL'!$A$3:$E$999,5,0),"")</f>
        <v>001- Ampola</v>
      </c>
      <c r="F344" s="15">
        <v>1</v>
      </c>
      <c r="G344" s="61"/>
      <c r="H344" s="56"/>
      <c r="I344" s="5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6.25" customHeight="1">
      <c r="A345" s="57">
        <v>46113</v>
      </c>
      <c r="B345" s="62">
        <v>284</v>
      </c>
      <c r="C345" s="58" t="str">
        <f>IFERROR(VLOOKUP(B:B,'SALDO ATUAL'!$A$3:$E$9999,3,0),"")</f>
        <v>RESVERASROL OPTIMUS</v>
      </c>
      <c r="D345" s="59" t="str">
        <f>IFERROR(VLOOKUP(B:B,'SALDO ATUAL'!$A$3:$E819,4,0),"")</f>
        <v>ATIVOS</v>
      </c>
      <c r="E345" s="60" t="str">
        <f>IFERROR(VLOOKUP(B:B,'SALDO ATUAL'!$A$3:$E$999,5,0),"")</f>
        <v>001- Ampola</v>
      </c>
      <c r="F345" s="15">
        <v>1</v>
      </c>
      <c r="G345" s="61"/>
      <c r="H345" s="56"/>
      <c r="I345" s="5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6.25" customHeight="1">
      <c r="A346" s="57">
        <v>46114</v>
      </c>
      <c r="B346" s="62">
        <v>25</v>
      </c>
      <c r="C346" s="58" t="str">
        <f>IFERROR(VLOOKUP(B:B,'SALDO ATUAL'!$A$3:$E$9999,3,0),"")</f>
        <v>AH BELOTERO INTENSE</v>
      </c>
      <c r="D346" s="59" t="str">
        <f>IFERROR(VLOOKUP(B:B,'SALDO ATUAL'!$A$3:$E820,4,0),"")</f>
        <v>PREENCHEDOR</v>
      </c>
      <c r="E346" s="60" t="str">
        <f>IFERROR(VLOOKUP(B:B,'SALDO ATUAL'!$A$3:$E$999,5,0),"")</f>
        <v>023 - Mililitro</v>
      </c>
      <c r="F346" s="15">
        <v>3</v>
      </c>
      <c r="G346" s="61"/>
      <c r="H346" s="56"/>
      <c r="I346" s="5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6.25" customHeight="1">
      <c r="A347" s="57">
        <v>46114</v>
      </c>
      <c r="B347" s="62">
        <v>26</v>
      </c>
      <c r="C347" s="58" t="str">
        <f>IFERROR(VLOOKUP(B:B,'SALDO ATUAL'!$A$3:$E$9999,3,0),"")</f>
        <v>AH BELOTERO VOLUME</v>
      </c>
      <c r="D347" s="59" t="str">
        <f>IFERROR(VLOOKUP(B:B,'SALDO ATUAL'!$A$3:$E821,4,0),"")</f>
        <v>PREENCHEDOR</v>
      </c>
      <c r="E347" s="60" t="str">
        <f>IFERROR(VLOOKUP(B:B,'SALDO ATUAL'!$A$3:$E$999,5,0),"")</f>
        <v>023 - Mililitro</v>
      </c>
      <c r="F347" s="15">
        <v>1</v>
      </c>
      <c r="G347" s="61"/>
      <c r="H347" s="56"/>
      <c r="I347" s="5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6.25" customHeight="1">
      <c r="A348" s="57">
        <v>46114</v>
      </c>
      <c r="B348" s="62">
        <v>123</v>
      </c>
      <c r="C348" s="58" t="str">
        <f>IFERROR(VLOOKUP(B:B,'SALDO ATUAL'!$A$3:$E$9999,3,0),"")</f>
        <v>EXO OX REGENERATIVE/POWER SKYMEDIC</v>
      </c>
      <c r="D348" s="59" t="str">
        <f>IFERROR(VLOOKUP(B:B,'SALDO ATUAL'!$A$3:$E822,4,0),"")</f>
        <v>ATIVOS</v>
      </c>
      <c r="E348" s="60">
        <f>IFERROR(VLOOKUP(B:B,'SALDO ATUAL'!$A$3:$E$999,5,0),"")</f>
        <v>0</v>
      </c>
      <c r="F348" s="15">
        <v>1</v>
      </c>
      <c r="G348" s="61"/>
      <c r="H348" s="56"/>
      <c r="I348" s="5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6.25" customHeight="1">
      <c r="A349" s="57">
        <v>46114</v>
      </c>
      <c r="B349" s="62">
        <v>94</v>
      </c>
      <c r="C349" s="58" t="str">
        <f>IFERROR(VLOOKUP(B:B,'SALDO ATUAL'!$A$3:$E$9999,3,0),"")</f>
        <v>CREME 1 CALMANTE IMEDIATO INC BEAUTY</v>
      </c>
      <c r="D349" s="59" t="str">
        <f>IFERROR(VLOOKUP(B:B,'SALDO ATUAL'!$A$3:$E823,4,0),"")</f>
        <v>MANIPULADOS</v>
      </c>
      <c r="E349" s="60" t="str">
        <f>IFERROR(VLOOKUP(B:B,'SALDO ATUAL'!$A$3:$E$999,5,0),"")</f>
        <v>018 - Grama</v>
      </c>
      <c r="F349" s="15">
        <v>1</v>
      </c>
      <c r="G349" s="61"/>
      <c r="H349" s="56"/>
      <c r="I349" s="5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6.25" customHeight="1">
      <c r="A350" s="57">
        <v>46114</v>
      </c>
      <c r="B350" s="62">
        <v>380</v>
      </c>
      <c r="C350" s="58" t="str">
        <f>IFERROR(VLOOKUP(B:B,'SALDO ATUAL'!$A$3:$E$9999,3,0),"")</f>
        <v>CREME 2 CLAREADOR INTENSO INC BEAUTY</v>
      </c>
      <c r="D350" s="59" t="str">
        <f>IFERROR(VLOOKUP(B:B,'SALDO ATUAL'!$A$3:$E824,4,0),"")</f>
        <v>MANIPULADOS</v>
      </c>
      <c r="E350" s="60" t="str">
        <f>IFERROR(VLOOKUP(B:B,'SALDO ATUAL'!$A$3:$E$999,5,0),"")</f>
        <v xml:space="preserve">018- Grama </v>
      </c>
      <c r="F350" s="15">
        <v>1</v>
      </c>
      <c r="G350" s="61"/>
      <c r="H350" s="56"/>
      <c r="I350" s="5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6.25" customHeight="1">
      <c r="A351" s="57">
        <v>46114</v>
      </c>
      <c r="B351" s="62">
        <v>95</v>
      </c>
      <c r="C351" s="58" t="str">
        <f>IFERROR(VLOOKUP(B:B,'SALDO ATUAL'!$A$3:$E$9999,3,0),"")</f>
        <v>CREME 3 CLAREADOR MANUTENÇÃO INC BEAUTY</v>
      </c>
      <c r="D351" s="59" t="str">
        <f>IFERROR(VLOOKUP(B:B,'SALDO ATUAL'!$A$3:$E825,4,0),"")</f>
        <v>MANIPULADOS</v>
      </c>
      <c r="E351" s="60" t="str">
        <f>IFERROR(VLOOKUP(B:B,'SALDO ATUAL'!$A$3:$E$999,5,0),"")</f>
        <v>018 - Grama</v>
      </c>
      <c r="F351" s="15">
        <v>1</v>
      </c>
      <c r="G351" s="61"/>
      <c r="H351" s="56"/>
      <c r="I351" s="5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6.25" customHeight="1">
      <c r="A352" s="57">
        <v>46114</v>
      </c>
      <c r="B352" s="62">
        <v>275</v>
      </c>
      <c r="C352" s="58" t="str">
        <f>IFERROR(VLOOKUP(B:B,'SALDO ATUAL'!$A$3:$E$9999,3,0),"")</f>
        <v>PROFHILO</v>
      </c>
      <c r="D352" s="59" t="str">
        <f>IFERROR(VLOOKUP(B:B,'SALDO ATUAL'!$A$3:$E826,4,0),"")</f>
        <v>BIORREMODULADOR</v>
      </c>
      <c r="E352" s="60" t="str">
        <f>IFERROR(VLOOKUP(B:B,'SALDO ATUAL'!$A$3:$E$999,5,0),"")</f>
        <v>031- Seringa</v>
      </c>
      <c r="F352" s="15">
        <v>2</v>
      </c>
      <c r="G352" s="61"/>
      <c r="H352" s="56"/>
      <c r="I352" s="5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6.25" customHeight="1">
      <c r="A353" s="57">
        <v>46114</v>
      </c>
      <c r="B353" s="62">
        <v>24</v>
      </c>
      <c r="C353" s="58" t="str">
        <f>IFERROR(VLOOKUP(B:B,'SALDO ATUAL'!$A$3:$E$9999,3,0),"")</f>
        <v>AH BELOTERO BALANCE</v>
      </c>
      <c r="D353" s="59" t="str">
        <f>IFERROR(VLOOKUP(B:B,'SALDO ATUAL'!$A$3:$E827,4,0),"")</f>
        <v>PREENCHEDOR</v>
      </c>
      <c r="E353" s="60" t="str">
        <f>IFERROR(VLOOKUP(B:B,'SALDO ATUAL'!$A$3:$E$999,5,0),"")</f>
        <v>023 - Mililitro</v>
      </c>
      <c r="F353" s="15">
        <v>1</v>
      </c>
      <c r="G353" s="61"/>
      <c r="H353" s="56"/>
      <c r="I353" s="5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6.25" customHeight="1">
      <c r="A354" s="57">
        <v>46114</v>
      </c>
      <c r="B354" s="62">
        <v>11</v>
      </c>
      <c r="C354" s="58" t="str">
        <f>IFERROR(VLOOKUP(B:B,'SALDO ATUAL'!$A$3:$E$9999,3,0),"")</f>
        <v>ÁGUA TERMAL MINERAUX</v>
      </c>
      <c r="D354" s="59" t="str">
        <f>IFERROR(VLOOKUP(B:B,'SALDO ATUAL'!$A$3:$E828,4,0),"")</f>
        <v>DERMOCOSMÉTICO E COSMÉTICO</v>
      </c>
      <c r="E354" s="60" t="str">
        <f>IFERROR(VLOOKUP(B:B,'SALDO ATUAL'!$A$3:$E$999,5,0),"")</f>
        <v>013 - Frasco</v>
      </c>
      <c r="F354" s="15">
        <v>1</v>
      </c>
      <c r="G354" s="61"/>
      <c r="H354" s="56"/>
      <c r="I354" s="5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6.25" customHeight="1">
      <c r="A355" s="57">
        <v>46114</v>
      </c>
      <c r="B355" s="62">
        <v>94</v>
      </c>
      <c r="C355" s="58" t="str">
        <f>IFERROR(VLOOKUP(B:B,'SALDO ATUAL'!$A$3:$E$9999,3,0),"")</f>
        <v>CREME 1 CALMANTE IMEDIATO INC BEAUTY</v>
      </c>
      <c r="D355" s="59" t="str">
        <f>IFERROR(VLOOKUP(B:B,'SALDO ATUAL'!$A$3:$E829,4,0),"")</f>
        <v>MANIPULADOS</v>
      </c>
      <c r="E355" s="60" t="str">
        <f>IFERROR(VLOOKUP(B:B,'SALDO ATUAL'!$A$3:$E$999,5,0),"")</f>
        <v>018 - Grama</v>
      </c>
      <c r="F355" s="15">
        <v>1</v>
      </c>
      <c r="G355" s="61"/>
      <c r="H355" s="56"/>
      <c r="I355" s="5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6.25" customHeight="1">
      <c r="A356" s="57">
        <v>46114</v>
      </c>
      <c r="B356" s="62">
        <v>380</v>
      </c>
      <c r="C356" s="58" t="str">
        <f>IFERROR(VLOOKUP(B:B,'SALDO ATUAL'!$A$3:$E$9999,3,0),"")</f>
        <v>CREME 2 CLAREADOR INTENSO INC BEAUTY</v>
      </c>
      <c r="D356" s="59" t="str">
        <f>IFERROR(VLOOKUP(B:B,'SALDO ATUAL'!$A$3:$E830,4,0),"")</f>
        <v>MANIPULADOS</v>
      </c>
      <c r="E356" s="60" t="str">
        <f>IFERROR(VLOOKUP(B:B,'SALDO ATUAL'!$A$3:$E$999,5,0),"")</f>
        <v xml:space="preserve">018- Grama </v>
      </c>
      <c r="F356" s="15">
        <v>1</v>
      </c>
      <c r="G356" s="61"/>
      <c r="H356" s="56"/>
      <c r="I356" s="5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6.25" customHeight="1">
      <c r="A357" s="57">
        <v>46114</v>
      </c>
      <c r="B357" s="62">
        <v>95</v>
      </c>
      <c r="C357" s="58" t="str">
        <f>IFERROR(VLOOKUP(B:B,'SALDO ATUAL'!$A$3:$E$9999,3,0),"")</f>
        <v>CREME 3 CLAREADOR MANUTENÇÃO INC BEAUTY</v>
      </c>
      <c r="D357" s="59" t="str">
        <f>IFERROR(VLOOKUP(B:B,'SALDO ATUAL'!$A$3:$E831,4,0),"")</f>
        <v>MANIPULADOS</v>
      </c>
      <c r="E357" s="60" t="str">
        <f>IFERROR(VLOOKUP(B:B,'SALDO ATUAL'!$A$3:$E$999,5,0),"")</f>
        <v>018 - Grama</v>
      </c>
      <c r="F357" s="15">
        <v>1</v>
      </c>
      <c r="G357" s="61"/>
      <c r="H357" s="56"/>
      <c r="I357" s="5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6.25" customHeight="1">
      <c r="A358" s="57">
        <v>46118</v>
      </c>
      <c r="B358" s="62">
        <v>329</v>
      </c>
      <c r="C358" s="58" t="str">
        <f>IFERROR(VLOOKUP(B:B,'SALDO ATUAL'!$A$3:$E$9999,3,0),"")</f>
        <v>TOXINA BOTULÍNICA XEOMIN 100UI</v>
      </c>
      <c r="D358" s="59" t="str">
        <f>IFERROR(VLOOKUP(B:B,'SALDO ATUAL'!$A$3:$E832,4,0),"")</f>
        <v>TOXINA</v>
      </c>
      <c r="E358" s="60" t="str">
        <f>IFERROR(VLOOKUP(B:B,'SALDO ATUAL'!$A$3:$E$999,5,0),"")</f>
        <v>037 - Unidade Internacional</v>
      </c>
      <c r="F358" s="15">
        <v>2</v>
      </c>
      <c r="G358" s="61"/>
      <c r="H358" s="56"/>
      <c r="I358" s="5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6.25" customHeight="1">
      <c r="A359" s="57">
        <v>46118</v>
      </c>
      <c r="B359" s="62">
        <v>316</v>
      </c>
      <c r="C359" s="58" t="str">
        <f>IFERROR(VLOOKUP(B:B,'SALDO ATUAL'!$A$3:$E$9999,3,0),"")</f>
        <v>SORO ESTÉRIL 10 ML ISOFARMA</v>
      </c>
      <c r="D359" s="59" t="str">
        <f>IFERROR(VLOOKUP(B:B,'SALDO ATUAL'!$A$3:$E833,4,0),"")</f>
        <v>SOLUÇÕES</v>
      </c>
      <c r="E359" s="60" t="str">
        <f>IFERROR(VLOOKUP(B:B,'SALDO ATUAL'!$A$3:$E$999,5,0),"")</f>
        <v>012- Floconete</v>
      </c>
      <c r="F359" s="15">
        <v>10</v>
      </c>
      <c r="G359" s="61"/>
      <c r="H359" s="56"/>
      <c r="I359" s="5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6.25" customHeight="1">
      <c r="A360" s="57">
        <v>46118</v>
      </c>
      <c r="B360" s="62">
        <v>25</v>
      </c>
      <c r="C360" s="58" t="str">
        <f>IFERROR(VLOOKUP(B:B,'SALDO ATUAL'!$A$3:$E$9999,3,0),"")</f>
        <v>AH BELOTERO INTENSE</v>
      </c>
      <c r="D360" s="59" t="str">
        <f>IFERROR(VLOOKUP(B:B,'SALDO ATUAL'!$A$3:$E834,4,0),"")</f>
        <v>PREENCHEDOR</v>
      </c>
      <c r="E360" s="60" t="str">
        <f>IFERROR(VLOOKUP(B:B,'SALDO ATUAL'!$A$3:$E$999,5,0),"")</f>
        <v>023 - Mililitro</v>
      </c>
      <c r="F360" s="15">
        <v>5</v>
      </c>
      <c r="G360" s="61"/>
      <c r="H360" s="56"/>
      <c r="I360" s="5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6.25" customHeight="1">
      <c r="A361" s="57">
        <v>46119</v>
      </c>
      <c r="B361" s="62">
        <v>359</v>
      </c>
      <c r="C361" s="58" t="str">
        <f>IFERROR(VLOOKUP(B:B,'SALDO ATUAL'!$A$3:$E$9999,3,0),"")</f>
        <v>NADH (PÓ LIOFILIZADO) OPTIMUS</v>
      </c>
      <c r="D361" s="59" t="str">
        <f>IFERROR(VLOOKUP(B:B,'SALDO ATUAL'!$A$3:$E835,4,0),"")</f>
        <v>ATIVOS</v>
      </c>
      <c r="E361" s="60" t="str">
        <f>IFERROR(VLOOKUP(B:B,'SALDO ATUAL'!$A$3:$E$999,5,0),"")</f>
        <v>001- Ampola</v>
      </c>
      <c r="F361" s="15">
        <v>1</v>
      </c>
      <c r="G361" s="61"/>
      <c r="H361" s="56"/>
      <c r="I361" s="5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6.25" customHeight="1">
      <c r="A362" s="57">
        <v>46119</v>
      </c>
      <c r="B362" s="62">
        <v>96</v>
      </c>
      <c r="C362" s="58" t="str">
        <f>IFERROR(VLOOKUP(B:B,'SALDO ATUAL'!$A$3:$E$9999,3,0),"")</f>
        <v>CREME CALMANTE NIACINAMIDA INC BEAUTY</v>
      </c>
      <c r="D362" s="59" t="str">
        <f>IFERROR(VLOOKUP(B:B,'SALDO ATUAL'!$A$3:$E836,4,0),"")</f>
        <v>MANIPULADOS</v>
      </c>
      <c r="E362" s="60" t="str">
        <f>IFERROR(VLOOKUP(B:B,'SALDO ATUAL'!$A$3:$E$999,5,0),"")</f>
        <v>018 - Grama</v>
      </c>
      <c r="F362" s="15">
        <v>1</v>
      </c>
      <c r="G362" s="61"/>
      <c r="H362" s="56"/>
      <c r="I362" s="5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6.25" customHeight="1">
      <c r="A363" s="57">
        <v>46119</v>
      </c>
      <c r="B363" s="62">
        <v>363</v>
      </c>
      <c r="C363" s="58" t="str">
        <f>IFERROR(VLOOKUP(B:B,'SALDO ATUAL'!$A$3:$E$9999,3,0),"")</f>
        <v>ALFA LIPÓICO 600mg OPTIMUS</v>
      </c>
      <c r="D363" s="59" t="str">
        <f>IFERROR(VLOOKUP(B:B,'SALDO ATUAL'!$A$3:$E837,4,0),"")</f>
        <v>MANIPULADOS</v>
      </c>
      <c r="E363" s="60" t="str">
        <f>IFERROR(VLOOKUP(B:B,'SALDO ATUAL'!$A$3:$E$999,5,0),"")</f>
        <v>023- Mililitro</v>
      </c>
      <c r="F363" s="15">
        <v>1</v>
      </c>
      <c r="G363" s="61"/>
      <c r="H363" s="56"/>
      <c r="I363" s="5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6.25" customHeight="1">
      <c r="A364" s="57">
        <v>46119</v>
      </c>
      <c r="B364" s="62">
        <v>95</v>
      </c>
      <c r="C364" s="58" t="str">
        <f>IFERROR(VLOOKUP(B:B,'SALDO ATUAL'!$A$3:$E$9999,3,0),"")</f>
        <v>CREME 3 CLAREADOR MANUTENÇÃO INC BEAUTY</v>
      </c>
      <c r="D364" s="59" t="str">
        <f>IFERROR(VLOOKUP(B:B,'SALDO ATUAL'!$A$3:$E838,4,0),"")</f>
        <v>MANIPULADOS</v>
      </c>
      <c r="E364" s="60" t="str">
        <f>IFERROR(VLOOKUP(B:B,'SALDO ATUAL'!$A$3:$E$999,5,0),"")</f>
        <v>018 - Grama</v>
      </c>
      <c r="F364" s="15">
        <v>2</v>
      </c>
      <c r="G364" s="61"/>
      <c r="H364" s="56"/>
      <c r="I364" s="5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6.25" customHeight="1">
      <c r="A365" s="57">
        <v>46119</v>
      </c>
      <c r="B365" s="62">
        <v>249</v>
      </c>
      <c r="C365" s="58" t="str">
        <f>IFERROR(VLOOKUP(B:B,'SALDO ATUAL'!$A$3:$E$9999,3,0),"")</f>
        <v>PANCAKE FPS 50 PEACH INC BEAUTY</v>
      </c>
      <c r="D365" s="59" t="str">
        <f>IFERROR(VLOOKUP(B:B,'SALDO ATUAL'!$A$3:$E839,4,0),"")</f>
        <v>MANIPULADOS</v>
      </c>
      <c r="E365" s="60" t="str">
        <f>IFERROR(VLOOKUP(B:B,'SALDO ATUAL'!$A$3:$E$999,5,0),"")</f>
        <v>036-Unidade</v>
      </c>
      <c r="F365" s="15">
        <v>1</v>
      </c>
      <c r="G365" s="61"/>
      <c r="H365" s="56"/>
      <c r="I365" s="5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6.25" customHeight="1">
      <c r="A366" s="57">
        <v>46119</v>
      </c>
      <c r="B366" s="62">
        <v>24</v>
      </c>
      <c r="C366" s="58" t="str">
        <f>IFERROR(VLOOKUP(B:B,'SALDO ATUAL'!$A$3:$E$9999,3,0),"")</f>
        <v>AH BELOTERO BALANCE</v>
      </c>
      <c r="D366" s="59" t="str">
        <f>IFERROR(VLOOKUP(B:B,'SALDO ATUAL'!$A$3:$E840,4,0),"")</f>
        <v>PREENCHEDOR</v>
      </c>
      <c r="E366" s="60" t="str">
        <f>IFERROR(VLOOKUP(B:B,'SALDO ATUAL'!$A$3:$E$999,5,0),"")</f>
        <v>023 - Mililitro</v>
      </c>
      <c r="F366" s="15">
        <v>4</v>
      </c>
      <c r="G366" s="61"/>
      <c r="H366" s="56"/>
      <c r="I366" s="5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6.25" customHeight="1">
      <c r="A367" s="57">
        <v>46119</v>
      </c>
      <c r="B367" s="62">
        <v>329</v>
      </c>
      <c r="C367" s="58" t="str">
        <f>IFERROR(VLOOKUP(B:B,'SALDO ATUAL'!$A$3:$E$9999,3,0),"")</f>
        <v>TOXINA BOTULÍNICA XEOMIN 100UI</v>
      </c>
      <c r="D367" s="59" t="str">
        <f>IFERROR(VLOOKUP(B:B,'SALDO ATUAL'!$A$3:$E841,4,0),"")</f>
        <v>TOXINA</v>
      </c>
      <c r="E367" s="60" t="str">
        <f>IFERROR(VLOOKUP(B:B,'SALDO ATUAL'!$A$3:$E$999,5,0),"")</f>
        <v>037 - Unidade Internacional</v>
      </c>
      <c r="F367" s="15">
        <v>1</v>
      </c>
      <c r="G367" s="61"/>
      <c r="H367" s="56"/>
      <c r="I367" s="5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6.25" customHeight="1">
      <c r="A368" s="57">
        <v>46119</v>
      </c>
      <c r="B368" s="62">
        <v>50</v>
      </c>
      <c r="C368" s="58" t="str">
        <f>IFERROR(VLOOKUP(B:B,'SALDO ATUAL'!$A$3:$E$9999,3,0),"")</f>
        <v>BÁLSAMO DE LIMPEZA FACIAL OLERA</v>
      </c>
      <c r="D368" s="59" t="str">
        <f>IFERROR(VLOOKUP(B:B,'SALDO ATUAL'!$A$3:$E842,4,0),"")</f>
        <v>DERMOCOSMÉTICO E COSMÉTICO</v>
      </c>
      <c r="E368" s="60" t="str">
        <f>IFERROR(VLOOKUP(B:B,'SALDO ATUAL'!$A$3:$E$999,5,0),"")</f>
        <v>013 - Frasco</v>
      </c>
      <c r="F368" s="15">
        <v>3</v>
      </c>
      <c r="G368" s="61"/>
      <c r="H368" s="56"/>
      <c r="I368" s="5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6.25" customHeight="1">
      <c r="A369" s="57">
        <v>46119</v>
      </c>
      <c r="B369" s="62">
        <v>220</v>
      </c>
      <c r="C369" s="58" t="str">
        <f>IFERROR(VLOOKUP(B:B,'SALDO ATUAL'!$A$3:$E$9999,3,0),"")</f>
        <v>MASCARA ARGILA INC BEAUTY</v>
      </c>
      <c r="D369" s="59" t="str">
        <f>IFERROR(VLOOKUP(B:B,'SALDO ATUAL'!$A$3:$E843,4,0),"")</f>
        <v>MANIPULADOS</v>
      </c>
      <c r="E369" s="60" t="str">
        <f>IFERROR(VLOOKUP(B:B,'SALDO ATUAL'!$A$3:$E$999,5,0),"")</f>
        <v>018 - Grama</v>
      </c>
      <c r="F369" s="15">
        <v>2</v>
      </c>
      <c r="G369" s="61"/>
      <c r="H369" s="56"/>
      <c r="I369" s="5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6.25" customHeight="1">
      <c r="A370" s="57">
        <v>46119</v>
      </c>
      <c r="B370" s="62">
        <v>11</v>
      </c>
      <c r="C370" s="58" t="str">
        <f>IFERROR(VLOOKUP(B:B,'SALDO ATUAL'!$A$3:$E$9999,3,0),"")</f>
        <v>ÁGUA TERMAL MINERAUX</v>
      </c>
      <c r="D370" s="59" t="str">
        <f>IFERROR(VLOOKUP(B:B,'SALDO ATUAL'!$A$3:$E844,4,0),"")</f>
        <v>DERMOCOSMÉTICO E COSMÉTICO</v>
      </c>
      <c r="E370" s="60" t="str">
        <f>IFERROR(VLOOKUP(B:B,'SALDO ATUAL'!$A$3:$E$999,5,0),"")</f>
        <v>013 - Frasco</v>
      </c>
      <c r="F370" s="15">
        <v>2</v>
      </c>
      <c r="G370" s="61"/>
      <c r="H370" s="56"/>
      <c r="I370" s="5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6.25" customHeight="1">
      <c r="A371" s="57">
        <v>46119</v>
      </c>
      <c r="B371" s="62">
        <v>315</v>
      </c>
      <c r="C371" s="58" t="str">
        <f>IFERROR(VLOOKUP(B:B,'SALDO ATUAL'!$A$3:$E$9999,3,0),"")</f>
        <v>SOOTHING SKIN FORMULA NEAUVIA</v>
      </c>
      <c r="D371" s="59" t="str">
        <f>IFERROR(VLOOKUP(B:B,'SALDO ATUAL'!$A$3:$E845,4,0),"")</f>
        <v>ATIVOS</v>
      </c>
      <c r="E371" s="60" t="str">
        <f>IFERROR(VLOOKUP(B:B,'SALDO ATUAL'!$A$3:$E$999,5,0),"")</f>
        <v>001 - Ampola</v>
      </c>
      <c r="F371" s="15">
        <v>1</v>
      </c>
      <c r="G371" s="61"/>
      <c r="H371" s="56"/>
      <c r="I371" s="5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6.25" customHeight="1">
      <c r="A372" s="57">
        <v>46119</v>
      </c>
      <c r="B372" s="62">
        <v>25</v>
      </c>
      <c r="C372" s="58" t="str">
        <f>IFERROR(VLOOKUP(B:B,'SALDO ATUAL'!$A$3:$E$9999,3,0),"")</f>
        <v>AH BELOTERO INTENSE</v>
      </c>
      <c r="D372" s="59" t="str">
        <f>IFERROR(VLOOKUP(B:B,'SALDO ATUAL'!$A$3:$E846,4,0),"")</f>
        <v>PREENCHEDOR</v>
      </c>
      <c r="E372" s="60" t="str">
        <f>IFERROR(VLOOKUP(B:B,'SALDO ATUAL'!$A$3:$E$999,5,0),"")</f>
        <v>023 - Mililitro</v>
      </c>
      <c r="F372" s="15">
        <v>2</v>
      </c>
      <c r="G372" s="61"/>
      <c r="H372" s="56"/>
      <c r="I372" s="5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6.25" customHeight="1">
      <c r="A373" s="57">
        <v>46120</v>
      </c>
      <c r="B373" s="62">
        <v>89</v>
      </c>
      <c r="C373" s="58" t="str">
        <f>IFERROR(VLOOKUP(B:B,'SALDO ATUAL'!$A$3:$E$9999,3,0),"")</f>
        <v>COMPRESSA GAZE 13 FIOS C/ 500 UNID MEDI HOUSE</v>
      </c>
      <c r="D373" s="59" t="str">
        <f>IFERROR(VLOOKUP(B:B,'SALDO ATUAL'!$A$3:$E847,4,0),"")</f>
        <v>MATERIAIS DESCARTÁVEIS E APOIO</v>
      </c>
      <c r="E373" s="60" t="str">
        <f>IFERROR(VLOOKUP(B:B,'SALDO ATUAL'!$A$3:$E$999,5,0),"")</f>
        <v>036 - Unidade</v>
      </c>
      <c r="F373" s="15">
        <v>2</v>
      </c>
      <c r="G373" s="61"/>
      <c r="H373" s="56"/>
      <c r="I373" s="5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6.25" customHeight="1">
      <c r="A374" s="57">
        <v>46120</v>
      </c>
      <c r="B374" s="62">
        <v>218</v>
      </c>
      <c r="C374" s="58" t="str">
        <f>IFERROR(VLOOKUP(B:B,'SALDO ATUAL'!$A$3:$E$9999,3,0),"")</f>
        <v>LUVA P SEM PÓ DESCARPACK</v>
      </c>
      <c r="D374" s="59" t="str">
        <f>IFERROR(VLOOKUP(B:B,'SALDO ATUAL'!$A$3:$E848,4,0),"")</f>
        <v>MATERIAIS DESCARTÁVEIS E APOIO</v>
      </c>
      <c r="E374" s="60" t="str">
        <f>IFERROR(VLOOKUP(B:B,'SALDO ATUAL'!$A$3:$E$999,5,0),"")</f>
        <v>005- Caixa</v>
      </c>
      <c r="F374" s="15">
        <v>2</v>
      </c>
      <c r="G374" s="61"/>
      <c r="H374" s="56"/>
      <c r="I374" s="5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6.25" customHeight="1">
      <c r="A375" s="57">
        <v>46120</v>
      </c>
      <c r="B375" s="62">
        <v>40</v>
      </c>
      <c r="C375" s="58" t="str">
        <f>IFERROR(VLOOKUP(B:B,'SALDO ATUAL'!$A$3:$E$9999,3,0),"")</f>
        <v>ALGODÃO QUADRADINHO SUSSEX</v>
      </c>
      <c r="D375" s="59" t="str">
        <f>IFERROR(VLOOKUP(B:B,'SALDO ATUAL'!$A$3:$E849,4,0),"")</f>
        <v>MATERIAIS DESCARTÁVEIS E APOIO</v>
      </c>
      <c r="E375" s="60" t="str">
        <f>IFERROR(VLOOKUP(B:B,'SALDO ATUAL'!$A$3:$E$999,5,0),"")</f>
        <v>043 - Pacote</v>
      </c>
      <c r="F375" s="15">
        <v>1</v>
      </c>
      <c r="G375" s="61"/>
      <c r="H375" s="56"/>
      <c r="I375" s="5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6.25" customHeight="1">
      <c r="A376" s="57">
        <v>46120</v>
      </c>
      <c r="B376" s="62">
        <v>6</v>
      </c>
      <c r="C376" s="58" t="str">
        <f>IFERROR(VLOOKUP(B:B,'SALDO ATUAL'!$A$3:$E$9999,3,0),"")</f>
        <v>AGUA MICELAR BIODERMA</v>
      </c>
      <c r="D376" s="59" t="str">
        <f>IFERROR(VLOOKUP(B:B,'SALDO ATUAL'!$A$3:$E850,4,0),"")</f>
        <v>DERMOCOSMÉTICO E COSMÉTICO</v>
      </c>
      <c r="E376" s="60" t="str">
        <f>IFERROR(VLOOKUP(B:B,'SALDO ATUAL'!$A$3:$E$999,5,0),"")</f>
        <v>036 - Unidade</v>
      </c>
      <c r="F376" s="15">
        <v>1</v>
      </c>
      <c r="G376" s="61"/>
      <c r="H376" s="56"/>
      <c r="I376" s="5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6.25" customHeight="1">
      <c r="A377" s="57">
        <v>46120</v>
      </c>
      <c r="B377" s="62">
        <v>268</v>
      </c>
      <c r="C377" s="58" t="str">
        <f>IFERROR(VLOOKUP(B:B,'SALDO ATUAL'!$A$3:$E$9999,3,0),"")</f>
        <v>PONTEIRA F TIP DENSITY</v>
      </c>
      <c r="D377" s="59" t="str">
        <f>IFERROR(VLOOKUP(B:B,'SALDO ATUAL'!$A$3:$E851,4,0),"")</f>
        <v>PONTEIRA</v>
      </c>
      <c r="E377" s="60" t="str">
        <f>IFERROR(VLOOKUP(B:B,'SALDO ATUAL'!$A$3:$E$999,5,0),"")</f>
        <v>036-Unidade</v>
      </c>
      <c r="F377" s="15">
        <v>1</v>
      </c>
      <c r="G377" s="61"/>
      <c r="H377" s="56"/>
      <c r="I377" s="5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6.25" customHeight="1">
      <c r="A378" s="57">
        <v>46120</v>
      </c>
      <c r="B378" s="62">
        <v>38</v>
      </c>
      <c r="C378" s="58" t="str">
        <f>IFERROR(VLOOKUP(B:B,'SALDO ATUAL'!$A$3:$E$9999,3,0),"")</f>
        <v>ALCOOL 70% SEPTPRO 70</v>
      </c>
      <c r="D378" s="59" t="str">
        <f>IFERROR(VLOOKUP(B:B,'SALDO ATUAL'!$A$3:$E852,4,0),"")</f>
        <v>INSUMOS</v>
      </c>
      <c r="E378" s="60" t="str">
        <f>IFERROR(VLOOKUP(B:B,'SALDO ATUAL'!$A$3:$E$999,5,0),"")</f>
        <v>023 - Mililitro</v>
      </c>
      <c r="F378" s="15">
        <v>1</v>
      </c>
      <c r="G378" s="61"/>
      <c r="H378" s="56"/>
      <c r="I378" s="5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6.25" customHeight="1">
      <c r="A379" s="57">
        <v>46120</v>
      </c>
      <c r="B379" s="62">
        <v>24</v>
      </c>
      <c r="C379" s="58" t="str">
        <f>IFERROR(VLOOKUP(B:B,'SALDO ATUAL'!$A$3:$E$9999,3,0),"")</f>
        <v>AH BELOTERO BALANCE</v>
      </c>
      <c r="D379" s="59" t="str">
        <f>IFERROR(VLOOKUP(B:B,'SALDO ATUAL'!$A$3:$E853,4,0),"")</f>
        <v>PREENCHEDOR</v>
      </c>
      <c r="E379" s="60" t="str">
        <f>IFERROR(VLOOKUP(B:B,'SALDO ATUAL'!$A$3:$E$999,5,0),"")</f>
        <v>023 - Mililitro</v>
      </c>
      <c r="F379" s="15">
        <v>2</v>
      </c>
      <c r="G379" s="61"/>
      <c r="H379" s="56"/>
      <c r="I379" s="5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6.25" customHeight="1">
      <c r="A380" s="57">
        <v>46120</v>
      </c>
      <c r="B380" s="62">
        <v>26</v>
      </c>
      <c r="C380" s="58" t="str">
        <f>IFERROR(VLOOKUP(B:B,'SALDO ATUAL'!$A$3:$E$9999,3,0),"")</f>
        <v>AH BELOTERO VOLUME</v>
      </c>
      <c r="D380" s="59" t="str">
        <f>IFERROR(VLOOKUP(B:B,'SALDO ATUAL'!$A$3:$E854,4,0),"")</f>
        <v>PREENCHEDOR</v>
      </c>
      <c r="E380" s="60" t="str">
        <f>IFERROR(VLOOKUP(B:B,'SALDO ATUAL'!$A$3:$E$999,5,0),"")</f>
        <v>023 - Mililitro</v>
      </c>
      <c r="F380" s="15">
        <v>1</v>
      </c>
      <c r="G380" s="61"/>
      <c r="H380" s="56"/>
      <c r="I380" s="5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6.25" customHeight="1">
      <c r="A381" s="57">
        <v>46120</v>
      </c>
      <c r="B381" s="62">
        <v>85</v>
      </c>
      <c r="C381" s="58" t="str">
        <f>IFERROR(VLOOKUP(B:B,'SALDO ATUAL'!$A$3:$E$9999,3,0),"")</f>
        <v>COLINA OPTIMUS</v>
      </c>
      <c r="D381" s="59" t="str">
        <f>IFERROR(VLOOKUP(B:B,'SALDO ATUAL'!$A$3:$E855,4,0),"")</f>
        <v>ATIVOS</v>
      </c>
      <c r="E381" s="60" t="str">
        <f>IFERROR(VLOOKUP(B:B,'SALDO ATUAL'!$A$3:$E$999,5,0),"")</f>
        <v>001- Ampola</v>
      </c>
      <c r="F381" s="15">
        <v>1</v>
      </c>
      <c r="G381" s="61"/>
      <c r="H381" s="56"/>
      <c r="I381" s="5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6.25" customHeight="1">
      <c r="A382" s="57">
        <v>46120</v>
      </c>
      <c r="B382" s="62">
        <v>335</v>
      </c>
      <c r="C382" s="58" t="str">
        <f>IFERROR(VLOOKUP(B:B,'SALDO ATUAL'!$A$3:$E$9999,3,0),"")</f>
        <v>VITAMINA B12 OPTIMUS</v>
      </c>
      <c r="D382" s="59" t="str">
        <f>IFERROR(VLOOKUP(B:B,'SALDO ATUAL'!$A$3:$E856,4,0),"")</f>
        <v>ATIVOS</v>
      </c>
      <c r="E382" s="60" t="str">
        <f>IFERROR(VLOOKUP(B:B,'SALDO ATUAL'!$A$3:$E$999,5,0),"")</f>
        <v xml:space="preserve">001- Ampola </v>
      </c>
      <c r="F382" s="15">
        <v>1</v>
      </c>
      <c r="G382" s="61"/>
      <c r="H382" s="56"/>
      <c r="I382" s="5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6.25" customHeight="1">
      <c r="A383" s="57">
        <v>46120</v>
      </c>
      <c r="B383" s="62">
        <v>200</v>
      </c>
      <c r="C383" s="58" t="str">
        <f>IFERROR(VLOOKUP(B:B,'SALDO ATUAL'!$A$3:$E$9999,3,0),"")</f>
        <v>INOSITOL OPTIMUS</v>
      </c>
      <c r="D383" s="59" t="str">
        <f>IFERROR(VLOOKUP(B:B,'SALDO ATUAL'!$A$3:$E857,4,0),"")</f>
        <v>INJETAVEL</v>
      </c>
      <c r="E383" s="60" t="str">
        <f>IFERROR(VLOOKUP(B:B,'SALDO ATUAL'!$A$3:$E$999,5,0),"")</f>
        <v>001- Ampola</v>
      </c>
      <c r="F383" s="15">
        <v>1</v>
      </c>
      <c r="G383" s="61"/>
      <c r="H383" s="56"/>
      <c r="I383" s="5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6.25" customHeight="1">
      <c r="A384" s="57">
        <v>46120</v>
      </c>
      <c r="B384" s="62">
        <v>203</v>
      </c>
      <c r="C384" s="58" t="str">
        <f>IFERROR(VLOOKUP(B:B,'SALDO ATUAL'!$A$3:$E$9999,3,0),"")</f>
        <v>L GLUTATIONA OPTMUS</v>
      </c>
      <c r="D384" s="59" t="str">
        <f>IFERROR(VLOOKUP(B:B,'SALDO ATUAL'!$A$3:$E858,4,0),"")</f>
        <v>ATIVOS</v>
      </c>
      <c r="E384" s="60" t="str">
        <f>IFERROR(VLOOKUP(B:B,'SALDO ATUAL'!$A$3:$E$999,5,0),"")</f>
        <v>001- Ampola</v>
      </c>
      <c r="F384" s="15">
        <v>1</v>
      </c>
      <c r="G384" s="61"/>
      <c r="H384" s="56"/>
      <c r="I384" s="5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6.25" customHeight="1">
      <c r="A385" s="57">
        <v>46120</v>
      </c>
      <c r="B385" s="62">
        <v>371</v>
      </c>
      <c r="C385" s="58" t="str">
        <f>IFERROR(VLOOKUP(B:B,'SALDO ATUAL'!$A$3:$E$9999,3,0),"")</f>
        <v>NAC-N-ACETIL OPTIMUS</v>
      </c>
      <c r="D385" s="59" t="str">
        <f>IFERROR(VLOOKUP(B:B,'SALDO ATUAL'!$A$3:$E859,4,0),"")</f>
        <v>INJETAVEL</v>
      </c>
      <c r="E385" s="60" t="str">
        <f>IFERROR(VLOOKUP(B:B,'SALDO ATUAL'!$A$3:$E$999,5,0),"")</f>
        <v>001- Ampola</v>
      </c>
      <c r="F385" s="15">
        <v>1</v>
      </c>
      <c r="G385" s="61"/>
      <c r="H385" s="56"/>
      <c r="I385" s="5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6.25" customHeight="1">
      <c r="A386" s="57">
        <v>46120</v>
      </c>
      <c r="B386" s="62">
        <v>357</v>
      </c>
      <c r="C386" s="58" t="str">
        <f>IFERROR(VLOOKUP(B:B,'SALDO ATUAL'!$A$3:$E$9999,3,0),"")</f>
        <v>SORO  EV 250ML</v>
      </c>
      <c r="D386" s="59" t="str">
        <f>IFERROR(VLOOKUP(B:B,'SALDO ATUAL'!$A$3:$E860,4,0),"")</f>
        <v>MATERIAIS DESCARTÁVEIS E APOIO</v>
      </c>
      <c r="E386" s="60" t="str">
        <f>IFERROR(VLOOKUP(B:B,'SALDO ATUAL'!$A$3:$E$999,5,0),"")</f>
        <v xml:space="preserve">036- Unidade </v>
      </c>
      <c r="F386" s="15">
        <v>2</v>
      </c>
      <c r="G386" s="61"/>
      <c r="H386" s="56"/>
      <c r="I386" s="5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6.25" customHeight="1">
      <c r="A387" s="57">
        <v>46120</v>
      </c>
      <c r="B387" s="62">
        <v>355</v>
      </c>
      <c r="C387" s="58" t="str">
        <f>IFERROR(VLOOKUP(B:B,'SALDO ATUAL'!$A$3:$E$9999,3,0),"")</f>
        <v>EQUIPO TKL</v>
      </c>
      <c r="D387" s="59" t="str">
        <f>IFERROR(VLOOKUP(B:B,'SALDO ATUAL'!$A$3:$E861,4,0),"")</f>
        <v>MATERIAIS DESCARTÁVEIS E APOIO</v>
      </c>
      <c r="E387" s="60" t="str">
        <f>IFERROR(VLOOKUP(B:B,'SALDO ATUAL'!$A$3:$E$999,5,0),"")</f>
        <v xml:space="preserve">036- Unidade </v>
      </c>
      <c r="F387" s="15">
        <v>2</v>
      </c>
      <c r="G387" s="61"/>
      <c r="H387" s="56"/>
      <c r="I387" s="5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6.25" customHeight="1">
      <c r="A388" s="57">
        <v>46120</v>
      </c>
      <c r="B388" s="62">
        <v>354</v>
      </c>
      <c r="C388" s="58" t="str">
        <f>IFERROR(VLOOKUP(B:B,'SALDO ATUAL'!$A$3:$E$9999,3,0),"")</f>
        <v>SCALP 23G</v>
      </c>
      <c r="D388" s="59" t="str">
        <f>IFERROR(VLOOKUP(B:B,'SALDO ATUAL'!$A$3:$E862,4,0),"")</f>
        <v>AGULHAS</v>
      </c>
      <c r="E388" s="60" t="str">
        <f>IFERROR(VLOOKUP(B:B,'SALDO ATUAL'!$A$3:$E$999,5,0),"")</f>
        <v xml:space="preserve">036- Unidade </v>
      </c>
      <c r="F388" s="15">
        <v>23</v>
      </c>
      <c r="G388" s="61"/>
      <c r="H388" s="56"/>
      <c r="I388" s="5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6.25" customHeight="1">
      <c r="A389" s="57">
        <v>46120</v>
      </c>
      <c r="B389" s="62">
        <v>359</v>
      </c>
      <c r="C389" s="58" t="str">
        <f>IFERROR(VLOOKUP(B:B,'SALDO ATUAL'!$A$3:$E$9999,3,0),"")</f>
        <v>NADH (PÓ LIOFILIZADO) OPTIMUS</v>
      </c>
      <c r="D389" s="59" t="str">
        <f>IFERROR(VLOOKUP(B:B,'SALDO ATUAL'!$A$3:$E863,4,0),"")</f>
        <v>ATIVOS</v>
      </c>
      <c r="E389" s="60" t="str">
        <f>IFERROR(VLOOKUP(B:B,'SALDO ATUAL'!$A$3:$E$999,5,0),"")</f>
        <v>001- Ampola</v>
      </c>
      <c r="F389" s="15">
        <v>1</v>
      </c>
      <c r="G389" s="61"/>
      <c r="H389" s="56"/>
      <c r="I389" s="5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6.25" customHeight="1">
      <c r="A390" s="57">
        <v>46120</v>
      </c>
      <c r="B390" s="62">
        <v>379</v>
      </c>
      <c r="C390" s="58" t="str">
        <f>IFERROR(VLOOKUP(B:B,'SALDO ATUAL'!$A$3:$E$9999,3,0),"")</f>
        <v xml:space="preserve">COENZIMA Q10  OPTIMUS </v>
      </c>
      <c r="D390" s="59" t="str">
        <f>IFERROR(VLOOKUP(B:B,'SALDO ATUAL'!$A$3:$E864,4,0),"")</f>
        <v>MANIPULADOS</v>
      </c>
      <c r="E390" s="60" t="str">
        <f>IFERROR(VLOOKUP(B:B,'SALDO ATUAL'!$A$3:$E$999,5,0),"")</f>
        <v>036- Unidade</v>
      </c>
      <c r="F390" s="15">
        <v>1</v>
      </c>
      <c r="G390" s="61"/>
      <c r="H390" s="56"/>
      <c r="I390" s="5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6.25" customHeight="1">
      <c r="A391" s="57">
        <v>46120</v>
      </c>
      <c r="B391" s="62">
        <v>58</v>
      </c>
      <c r="C391" s="58" t="str">
        <f>IFERROR(VLOOKUP(B:B,'SALDO ATUAL'!$A$3:$E$9999,3,0),"")</f>
        <v>BIOESTIMULADOR RADIESSE</v>
      </c>
      <c r="D391" s="59" t="str">
        <f>IFERROR(VLOOKUP(B:B,'SALDO ATUAL'!$A$3:$E865,4,0),"")</f>
        <v>BIOESTIMULADORES</v>
      </c>
      <c r="E391" s="60" t="str">
        <f>IFERROR(VLOOKUP(B:B,'SALDO ATUAL'!$A$3:$E$999,5,0),"")</f>
        <v>023 - Mililitro</v>
      </c>
      <c r="F391" s="15">
        <v>1</v>
      </c>
      <c r="G391" s="61"/>
      <c r="H391" s="56"/>
      <c r="I391" s="5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6.25" customHeight="1">
      <c r="A392" s="57">
        <v>46121</v>
      </c>
      <c r="B392" s="62">
        <v>306</v>
      </c>
      <c r="C392" s="58" t="str">
        <f>IFERROR(VLOOKUP(B:B,'SALDO ATUAL'!$A$3:$E$9999,3,0),"")</f>
        <v>SERINGA ULTRA FINE 0,3ML 0,8x0,30 BD</v>
      </c>
      <c r="D392" s="59" t="str">
        <f>IFERROR(VLOOKUP(B:B,'SALDO ATUAL'!$A$3:$E866,4,0),"")</f>
        <v>SERINGA</v>
      </c>
      <c r="E392" s="60" t="str">
        <f>IFERROR(VLOOKUP(B:B,'SALDO ATUAL'!$A$3:$E$999,5,0),"")</f>
        <v>043- Pacotes</v>
      </c>
      <c r="F392" s="15">
        <v>2</v>
      </c>
      <c r="G392" s="61"/>
      <c r="H392" s="56"/>
      <c r="I392" s="5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6.25" customHeight="1">
      <c r="A393" s="57">
        <v>46121</v>
      </c>
      <c r="B393" s="62">
        <v>294</v>
      </c>
      <c r="C393" s="58" t="str">
        <f>IFERROR(VLOOKUP(B:B,'SALDO ATUAL'!$A$3:$E$9999,3,0),"")</f>
        <v>SERINGA 3ML LOCK - ROSCA DESCARPACK</v>
      </c>
      <c r="D393" s="59" t="str">
        <f>IFERROR(VLOOKUP(B:B,'SALDO ATUAL'!$A$3:$E867,4,0),"")</f>
        <v>SERINGA</v>
      </c>
      <c r="E393" s="60" t="str">
        <f>IFERROR(VLOOKUP(B:B,'SALDO ATUAL'!$A$3:$E$999,5,0),"")</f>
        <v>031- Seringa</v>
      </c>
      <c r="F393" s="15">
        <v>10</v>
      </c>
      <c r="G393" s="61"/>
      <c r="H393" s="56"/>
      <c r="I393" s="5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6.25" customHeight="1">
      <c r="A394" s="57">
        <v>46121</v>
      </c>
      <c r="B394" s="62">
        <v>220</v>
      </c>
      <c r="C394" s="58" t="str">
        <f>IFERROR(VLOOKUP(B:B,'SALDO ATUAL'!$A$3:$E$9999,3,0),"")</f>
        <v>MASCARA ARGILA INC BEAUTY</v>
      </c>
      <c r="D394" s="59" t="str">
        <f>IFERROR(VLOOKUP(B:B,'SALDO ATUAL'!$A$3:$E868,4,0),"")</f>
        <v>MANIPULADOS</v>
      </c>
      <c r="E394" s="60" t="str">
        <f>IFERROR(VLOOKUP(B:B,'SALDO ATUAL'!$A$3:$E$999,5,0),"")</f>
        <v>018 - Grama</v>
      </c>
      <c r="F394" s="15">
        <v>1</v>
      </c>
      <c r="G394" s="61"/>
      <c r="H394" s="56"/>
      <c r="I394" s="5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6.25" customHeight="1">
      <c r="A395" s="57">
        <v>46121</v>
      </c>
      <c r="B395" s="62">
        <v>316</v>
      </c>
      <c r="C395" s="58" t="str">
        <f>IFERROR(VLOOKUP(B:B,'SALDO ATUAL'!$A$3:$E$9999,3,0),"")</f>
        <v>SORO ESTÉRIL 10 ML ISOFARMA</v>
      </c>
      <c r="D395" s="59" t="str">
        <f>IFERROR(VLOOKUP(B:B,'SALDO ATUAL'!$A$3:$E869,4,0),"")</f>
        <v>SOLUÇÕES</v>
      </c>
      <c r="E395" s="60" t="str">
        <f>IFERROR(VLOOKUP(B:B,'SALDO ATUAL'!$A$3:$E$999,5,0),"")</f>
        <v>012- Floconete</v>
      </c>
      <c r="F395" s="15">
        <v>5</v>
      </c>
      <c r="G395" s="61"/>
      <c r="H395" s="56"/>
      <c r="I395" s="5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6.25" customHeight="1">
      <c r="A396" s="57">
        <v>46121</v>
      </c>
      <c r="B396" s="62">
        <v>94</v>
      </c>
      <c r="C396" s="58" t="str">
        <f>IFERROR(VLOOKUP(B:B,'SALDO ATUAL'!$A$3:$E$9999,3,0),"")</f>
        <v>CREME 1 CALMANTE IMEDIATO INC BEAUTY</v>
      </c>
      <c r="D396" s="59" t="str">
        <f>IFERROR(VLOOKUP(B:B,'SALDO ATUAL'!$A$3:$E870,4,0),"")</f>
        <v>MANIPULADOS</v>
      </c>
      <c r="E396" s="60" t="str">
        <f>IFERROR(VLOOKUP(B:B,'SALDO ATUAL'!$A$3:$E$999,5,0),"")</f>
        <v>018 - Grama</v>
      </c>
      <c r="F396" s="15">
        <v>2</v>
      </c>
      <c r="G396" s="61"/>
      <c r="H396" s="56"/>
      <c r="I396" s="5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6.25" customHeight="1">
      <c r="A397" s="57">
        <v>46121</v>
      </c>
      <c r="B397" s="62">
        <v>96</v>
      </c>
      <c r="C397" s="58" t="str">
        <f>IFERROR(VLOOKUP(B:B,'SALDO ATUAL'!$A$3:$E$9999,3,0),"")</f>
        <v>CREME CALMANTE NIACINAMIDA INC BEAUTY</v>
      </c>
      <c r="D397" s="59" t="str">
        <f>IFERROR(VLOOKUP(B:B,'SALDO ATUAL'!$A$3:$E871,4,0),"")</f>
        <v>MANIPULADOS</v>
      </c>
      <c r="E397" s="60" t="str">
        <f>IFERROR(VLOOKUP(B:B,'SALDO ATUAL'!$A$3:$E$999,5,0),"")</f>
        <v>018 - Grama</v>
      </c>
      <c r="F397" s="15">
        <v>2</v>
      </c>
      <c r="G397" s="61"/>
      <c r="H397" s="56"/>
      <c r="I397" s="5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6.25" customHeight="1">
      <c r="A398" s="57">
        <v>46121</v>
      </c>
      <c r="B398" s="62">
        <v>11</v>
      </c>
      <c r="C398" s="58" t="str">
        <f>IFERROR(VLOOKUP(B:B,'SALDO ATUAL'!$A$3:$E$9999,3,0),"")</f>
        <v>ÁGUA TERMAL MINERAUX</v>
      </c>
      <c r="D398" s="59" t="str">
        <f>IFERROR(VLOOKUP(B:B,'SALDO ATUAL'!$A$3:$E872,4,0),"")</f>
        <v>DERMOCOSMÉTICO E COSMÉTICO</v>
      </c>
      <c r="E398" s="60" t="str">
        <f>IFERROR(VLOOKUP(B:B,'SALDO ATUAL'!$A$3:$E$999,5,0),"")</f>
        <v>013 - Frasco</v>
      </c>
      <c r="F398" s="15">
        <v>1</v>
      </c>
      <c r="G398" s="61"/>
      <c r="H398" s="56"/>
      <c r="I398" s="5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6.25" customHeight="1">
      <c r="A399" s="57">
        <v>46122</v>
      </c>
      <c r="B399" s="62">
        <v>84</v>
      </c>
      <c r="C399" s="58" t="str">
        <f>IFERROR(VLOOKUP(B:B,'SALDO ATUAL'!$A$3:$E$9999,3,0),"")</f>
        <v>COLETOR PERFUROCORTANTE 3L DESCARPACK</v>
      </c>
      <c r="D399" s="59" t="str">
        <f>IFERROR(VLOOKUP(B:B,'SALDO ATUAL'!$A$3:$E873,4,0),"")</f>
        <v>MATERIAIS DESCARTÁVEIS E APOIO</v>
      </c>
      <c r="E399" s="60" t="str">
        <f>IFERROR(VLOOKUP(B:B,'SALDO ATUAL'!$A$3:$E$999,5,0),"")</f>
        <v>036 - Unidade</v>
      </c>
      <c r="F399" s="15">
        <v>2</v>
      </c>
      <c r="G399" s="61"/>
      <c r="H399" s="56"/>
      <c r="I399" s="5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6.25" customHeight="1">
      <c r="A400" s="57">
        <v>46122</v>
      </c>
      <c r="B400" s="62">
        <v>96</v>
      </c>
      <c r="C400" s="58" t="str">
        <f>IFERROR(VLOOKUP(B:B,'SALDO ATUAL'!$A$3:$E$9999,3,0),"")</f>
        <v>CREME CALMANTE NIACINAMIDA INC BEAUTY</v>
      </c>
      <c r="D400" s="59" t="str">
        <f>IFERROR(VLOOKUP(B:B,'SALDO ATUAL'!$A$3:$E874,4,0),"")</f>
        <v>MANIPULADOS</v>
      </c>
      <c r="E400" s="60" t="str">
        <f>IFERROR(VLOOKUP(B:B,'SALDO ATUAL'!$A$3:$E$999,5,0),"")</f>
        <v>018 - Grama</v>
      </c>
      <c r="F400" s="15">
        <v>1</v>
      </c>
      <c r="G400" s="61"/>
      <c r="H400" s="56"/>
      <c r="I400" s="5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6.25" customHeight="1">
      <c r="A401" s="57">
        <v>46122</v>
      </c>
      <c r="B401" s="62">
        <v>380</v>
      </c>
      <c r="C401" s="58" t="str">
        <f>IFERROR(VLOOKUP(B:B,'SALDO ATUAL'!$A$3:$E$9999,3,0),"")</f>
        <v>CREME 2 CLAREADOR INTENSO INC BEAUTY</v>
      </c>
      <c r="D401" s="59" t="str">
        <f>IFERROR(VLOOKUP(B:B,'SALDO ATUAL'!$A$3:$E875,4,0),"")</f>
        <v>MANIPULADOS</v>
      </c>
      <c r="E401" s="60" t="str">
        <f>IFERROR(VLOOKUP(B:B,'SALDO ATUAL'!$A$3:$E$999,5,0),"")</f>
        <v xml:space="preserve">018- Grama </v>
      </c>
      <c r="F401" s="15">
        <v>1</v>
      </c>
      <c r="G401" s="61"/>
      <c r="H401" s="56"/>
      <c r="I401" s="5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6.25" customHeight="1">
      <c r="A402" s="57">
        <v>46122</v>
      </c>
      <c r="B402" s="62">
        <v>96</v>
      </c>
      <c r="C402" s="58" t="str">
        <f>IFERROR(VLOOKUP(B:B,'SALDO ATUAL'!$A$3:$E$9999,3,0),"")</f>
        <v>CREME CALMANTE NIACINAMIDA INC BEAUTY</v>
      </c>
      <c r="D402" s="59" t="str">
        <f>IFERROR(VLOOKUP(B:B,'SALDO ATUAL'!$A$3:$E876,4,0),"")</f>
        <v>MANIPULADOS</v>
      </c>
      <c r="E402" s="60" t="str">
        <f>IFERROR(VLOOKUP(B:B,'SALDO ATUAL'!$A$3:$E$999,5,0),"")</f>
        <v>018 - Grama</v>
      </c>
      <c r="F402" s="15">
        <v>1</v>
      </c>
      <c r="G402" s="61"/>
      <c r="H402" s="56"/>
      <c r="I402" s="5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6.25" customHeight="1">
      <c r="A403" s="57">
        <v>46122</v>
      </c>
      <c r="B403" s="62">
        <v>50</v>
      </c>
      <c r="C403" s="58" t="str">
        <f>IFERROR(VLOOKUP(B:B,'SALDO ATUAL'!$A$3:$E$9999,3,0),"")</f>
        <v>BÁLSAMO DE LIMPEZA FACIAL OLERA</v>
      </c>
      <c r="D403" s="59" t="str">
        <f>IFERROR(VLOOKUP(B:B,'SALDO ATUAL'!$A$3:$E877,4,0),"")</f>
        <v>DERMOCOSMÉTICO E COSMÉTICO</v>
      </c>
      <c r="E403" s="60" t="str">
        <f>IFERROR(VLOOKUP(B:B,'SALDO ATUAL'!$A$3:$E$999,5,0),"")</f>
        <v>013 - Frasco</v>
      </c>
      <c r="F403" s="15">
        <v>1</v>
      </c>
      <c r="G403" s="61"/>
      <c r="H403" s="56"/>
      <c r="I403" s="5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6.25" customHeight="1">
      <c r="A404" s="57">
        <v>46122</v>
      </c>
      <c r="B404" s="62">
        <v>249</v>
      </c>
      <c r="C404" s="58" t="str">
        <f>IFERROR(VLOOKUP(B:B,'SALDO ATUAL'!$A$3:$E$9999,3,0),"")</f>
        <v>PANCAKE FPS 50 PEACH INC BEAUTY</v>
      </c>
      <c r="D404" s="59" t="str">
        <f>IFERROR(VLOOKUP(B:B,'SALDO ATUAL'!$A$3:$E878,4,0),"")</f>
        <v>MANIPULADOS</v>
      </c>
      <c r="E404" s="60" t="str">
        <f>IFERROR(VLOOKUP(B:B,'SALDO ATUAL'!$A$3:$E$999,5,0),"")</f>
        <v>036-Unidade</v>
      </c>
      <c r="F404" s="15">
        <v>2</v>
      </c>
      <c r="G404" s="61"/>
      <c r="H404" s="56"/>
      <c r="I404" s="5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6.25" customHeight="1">
      <c r="A405" s="57">
        <v>46122</v>
      </c>
      <c r="B405" s="62">
        <v>95</v>
      </c>
      <c r="C405" s="58" t="str">
        <f>IFERROR(VLOOKUP(B:B,'SALDO ATUAL'!$A$3:$E$9999,3,0),"")</f>
        <v>CREME 3 CLAREADOR MANUTENÇÃO INC BEAUTY</v>
      </c>
      <c r="D405" s="59" t="str">
        <f>IFERROR(VLOOKUP(B:B,'SALDO ATUAL'!$A$3:$E879,4,0),"")</f>
        <v>MANIPULADOS</v>
      </c>
      <c r="E405" s="60" t="str">
        <f>IFERROR(VLOOKUP(B:B,'SALDO ATUAL'!$A$3:$E$999,5,0),"")</f>
        <v>018 - Grama</v>
      </c>
      <c r="F405" s="15">
        <v>1</v>
      </c>
      <c r="G405" s="61"/>
      <c r="H405" s="56"/>
      <c r="I405" s="5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6.25" customHeight="1">
      <c r="A406" s="57">
        <v>46122</v>
      </c>
      <c r="B406" s="62">
        <v>380</v>
      </c>
      <c r="C406" s="58" t="str">
        <f>IFERROR(VLOOKUP(B:B,'SALDO ATUAL'!$A$3:$E$9999,3,0),"")</f>
        <v>CREME 2 CLAREADOR INTENSO INC BEAUTY</v>
      </c>
      <c r="D406" s="59" t="str">
        <f>IFERROR(VLOOKUP(B:B,'SALDO ATUAL'!$A$3:$E880,4,0),"")</f>
        <v>MANIPULADOS</v>
      </c>
      <c r="E406" s="60" t="str">
        <f>IFERROR(VLOOKUP(B:B,'SALDO ATUAL'!$A$3:$E$999,5,0),"")</f>
        <v xml:space="preserve">018- Grama </v>
      </c>
      <c r="F406" s="15">
        <v>1</v>
      </c>
      <c r="G406" s="61"/>
      <c r="H406" s="56"/>
      <c r="I406" s="5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6.25" customHeight="1">
      <c r="A407" s="57">
        <v>46122</v>
      </c>
      <c r="B407" s="62">
        <v>94</v>
      </c>
      <c r="C407" s="58" t="str">
        <f>IFERROR(VLOOKUP(B:B,'SALDO ATUAL'!$A$3:$E$9999,3,0),"")</f>
        <v>CREME 1 CALMANTE IMEDIATO INC BEAUTY</v>
      </c>
      <c r="D407" s="59" t="str">
        <f>IFERROR(VLOOKUP(B:B,'SALDO ATUAL'!$A$3:$E881,4,0),"")</f>
        <v>MANIPULADOS</v>
      </c>
      <c r="E407" s="60" t="str">
        <f>IFERROR(VLOOKUP(B:B,'SALDO ATUAL'!$A$3:$E$999,5,0),"")</f>
        <v>018 - Grama</v>
      </c>
      <c r="F407" s="15">
        <v>1</v>
      </c>
      <c r="G407" s="61"/>
      <c r="H407" s="56"/>
      <c r="I407" s="5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6.25" customHeight="1">
      <c r="A408" s="57">
        <v>46122</v>
      </c>
      <c r="B408" s="62">
        <v>11</v>
      </c>
      <c r="C408" s="58" t="str">
        <f>IFERROR(VLOOKUP(B:B,'SALDO ATUAL'!$A$3:$E$9999,3,0),"")</f>
        <v>ÁGUA TERMAL MINERAUX</v>
      </c>
      <c r="D408" s="59" t="str">
        <f>IFERROR(VLOOKUP(B:B,'SALDO ATUAL'!$A$3:$E882,4,0),"")</f>
        <v>DERMOCOSMÉTICO E COSMÉTICO</v>
      </c>
      <c r="E408" s="60" t="str">
        <f>IFERROR(VLOOKUP(B:B,'SALDO ATUAL'!$A$3:$E$999,5,0),"")</f>
        <v>013 - Frasco</v>
      </c>
      <c r="F408" s="15">
        <v>1</v>
      </c>
      <c r="G408" s="61"/>
      <c r="H408" s="56"/>
      <c r="I408" s="5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6.25" customHeight="1">
      <c r="A409" s="57">
        <v>46125</v>
      </c>
      <c r="B409" s="62">
        <v>363</v>
      </c>
      <c r="C409" s="58" t="str">
        <f>IFERROR(VLOOKUP(B:B,'SALDO ATUAL'!$A$3:$E$9999,3,0),"")</f>
        <v>ALFA LIPÓICO 600mg OPTIMUS</v>
      </c>
      <c r="D409" s="59" t="str">
        <f>IFERROR(VLOOKUP(B:B,'SALDO ATUAL'!$A$3:$E883,4,0),"")</f>
        <v>MANIPULADOS</v>
      </c>
      <c r="E409" s="60" t="str">
        <f>IFERROR(VLOOKUP(B:B,'SALDO ATUAL'!$A$3:$E$999,5,0),"")</f>
        <v>023- Mililitro</v>
      </c>
      <c r="F409" s="15">
        <v>20</v>
      </c>
      <c r="G409" s="61"/>
      <c r="H409" s="56"/>
      <c r="I409" s="5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6.25" customHeight="1">
      <c r="A410" s="57"/>
      <c r="B410" s="62">
        <v>335</v>
      </c>
      <c r="C410" s="58" t="str">
        <f>IFERROR(VLOOKUP(B:B,'SALDO ATUAL'!$A$3:$E$9999,3,0),"")</f>
        <v>VITAMINA B12 OPTIMUS</v>
      </c>
      <c r="D410" s="59" t="str">
        <f>IFERROR(VLOOKUP(B:B,'SALDO ATUAL'!$A$3:$E884,4,0),"")</f>
        <v>ATIVOS</v>
      </c>
      <c r="E410" s="60" t="str">
        <f>IFERROR(VLOOKUP(B:B,'SALDO ATUAL'!$A$3:$E$999,5,0),"")</f>
        <v xml:space="preserve">001- Ampola </v>
      </c>
      <c r="F410" s="15">
        <v>1</v>
      </c>
      <c r="G410" s="61"/>
      <c r="H410" s="56"/>
      <c r="I410" s="5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6.25" customHeight="1">
      <c r="A411" s="57"/>
      <c r="B411" s="62">
        <v>203</v>
      </c>
      <c r="C411" s="58" t="str">
        <f>IFERROR(VLOOKUP(B:B,'SALDO ATUAL'!$A$3:$E$9999,3,0),"")</f>
        <v>L GLUTATIONA OPTMUS</v>
      </c>
      <c r="D411" s="59" t="str">
        <f>IFERROR(VLOOKUP(B:B,'SALDO ATUAL'!$A$3:$E885,4,0),"")</f>
        <v>ATIVOS</v>
      </c>
      <c r="E411" s="60" t="str">
        <f>IFERROR(VLOOKUP(B:B,'SALDO ATUAL'!$A$3:$E$999,5,0),"")</f>
        <v>001- Ampola</v>
      </c>
      <c r="F411" s="15">
        <v>1</v>
      </c>
      <c r="G411" s="61"/>
      <c r="H411" s="56"/>
      <c r="I411" s="5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6.25" customHeight="1">
      <c r="A412" s="57"/>
      <c r="B412" s="62">
        <v>371</v>
      </c>
      <c r="C412" s="58" t="str">
        <f>IFERROR(VLOOKUP(B:B,'SALDO ATUAL'!$A$3:$E$9999,3,0),"")</f>
        <v>NAC-N-ACETIL OPTIMUS</v>
      </c>
      <c r="D412" s="59" t="str">
        <f>IFERROR(VLOOKUP(B:B,'SALDO ATUAL'!$A$3:$E886,4,0),"")</f>
        <v>INJETAVEL</v>
      </c>
      <c r="E412" s="60" t="str">
        <f>IFERROR(VLOOKUP(B:B,'SALDO ATUAL'!$A$3:$E$999,5,0),"")</f>
        <v>001- Ampola</v>
      </c>
      <c r="F412" s="15">
        <v>1</v>
      </c>
      <c r="G412" s="61"/>
      <c r="H412" s="56"/>
      <c r="I412" s="5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6.25" customHeight="1">
      <c r="A413" s="57"/>
      <c r="B413" s="62">
        <v>200</v>
      </c>
      <c r="C413" s="58" t="str">
        <f>IFERROR(VLOOKUP(B:B,'SALDO ATUAL'!$A$3:$E$9999,3,0),"")</f>
        <v>INOSITOL OPTIMUS</v>
      </c>
      <c r="D413" s="59" t="str">
        <f>IFERROR(VLOOKUP(B:B,'SALDO ATUAL'!$A$3:$E887,4,0),"")</f>
        <v>INJETAVEL</v>
      </c>
      <c r="E413" s="60" t="str">
        <f>IFERROR(VLOOKUP(B:B,'SALDO ATUAL'!$A$3:$E$999,5,0),"")</f>
        <v>001- Ampola</v>
      </c>
      <c r="F413" s="15">
        <v>1</v>
      </c>
      <c r="G413" s="61"/>
      <c r="H413" s="56"/>
      <c r="I413" s="5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6.25" customHeight="1">
      <c r="A414" s="57"/>
      <c r="B414" s="62">
        <v>357</v>
      </c>
      <c r="C414" s="58" t="str">
        <f>IFERROR(VLOOKUP(B:B,'SALDO ATUAL'!$A$3:$E$9999,3,0),"")</f>
        <v>SORO  EV 250ML</v>
      </c>
      <c r="D414" s="59" t="str">
        <f>IFERROR(VLOOKUP(B:B,'SALDO ATUAL'!$A$3:$E888,4,0),"")</f>
        <v>MATERIAIS DESCARTÁVEIS E APOIO</v>
      </c>
      <c r="E414" s="60" t="str">
        <f>IFERROR(VLOOKUP(B:B,'SALDO ATUAL'!$A$3:$E$999,5,0),"")</f>
        <v xml:space="preserve">036- Unidade </v>
      </c>
      <c r="F414" s="15">
        <v>2</v>
      </c>
      <c r="G414" s="61"/>
      <c r="H414" s="56"/>
      <c r="I414" s="5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6.25" customHeight="1">
      <c r="A415" s="57"/>
      <c r="B415" s="62">
        <v>355</v>
      </c>
      <c r="C415" s="58" t="str">
        <f>IFERROR(VLOOKUP(B:B,'SALDO ATUAL'!$A$3:$E$9999,3,0),"")</f>
        <v>EQUIPO TKL</v>
      </c>
      <c r="D415" s="59" t="str">
        <f>IFERROR(VLOOKUP(B:B,'SALDO ATUAL'!$A$3:$E889,4,0),"")</f>
        <v>MATERIAIS DESCARTÁVEIS E APOIO</v>
      </c>
      <c r="E415" s="60" t="str">
        <f>IFERROR(VLOOKUP(B:B,'SALDO ATUAL'!$A$3:$E$999,5,0),"")</f>
        <v xml:space="preserve">036- Unidade </v>
      </c>
      <c r="F415" s="15">
        <v>1</v>
      </c>
      <c r="G415" s="61"/>
      <c r="H415" s="56"/>
      <c r="I415" s="5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6.25" customHeight="1">
      <c r="A416" s="57"/>
      <c r="B416" s="62">
        <v>50</v>
      </c>
      <c r="C416" s="58" t="str">
        <f>IFERROR(VLOOKUP(B:B,'SALDO ATUAL'!$A$3:$E$9999,3,0),"")</f>
        <v>BÁLSAMO DE LIMPEZA FACIAL OLERA</v>
      </c>
      <c r="D416" s="59" t="str">
        <f>IFERROR(VLOOKUP(B:B,'SALDO ATUAL'!$A$3:$E890,4,0),"")</f>
        <v>DERMOCOSMÉTICO E COSMÉTICO</v>
      </c>
      <c r="E416" s="60" t="str">
        <f>IFERROR(VLOOKUP(B:B,'SALDO ATUAL'!$A$3:$E$999,5,0),"")</f>
        <v>013 - Frasco</v>
      </c>
      <c r="F416" s="15">
        <v>3</v>
      </c>
      <c r="G416" s="61"/>
      <c r="H416" s="56"/>
      <c r="I416" s="5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6.25" customHeight="1">
      <c r="A417" s="57"/>
      <c r="B417" s="62">
        <v>26</v>
      </c>
      <c r="C417" s="58" t="str">
        <f>IFERROR(VLOOKUP(B:B,'SALDO ATUAL'!$A$3:$E$9999,3,0),"")</f>
        <v>AH BELOTERO VOLUME</v>
      </c>
      <c r="D417" s="59" t="str">
        <f>IFERROR(VLOOKUP(B:B,'SALDO ATUAL'!$A$3:$E891,4,0),"")</f>
        <v>PREENCHEDOR</v>
      </c>
      <c r="E417" s="60" t="str">
        <f>IFERROR(VLOOKUP(B:B,'SALDO ATUAL'!$A$3:$E$999,5,0),"")</f>
        <v>023 - Mililitro</v>
      </c>
      <c r="F417" s="15">
        <v>1</v>
      </c>
      <c r="G417" s="61"/>
      <c r="H417" s="56"/>
      <c r="I417" s="5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6.25" customHeight="1">
      <c r="A418" s="57"/>
      <c r="B418" s="62">
        <v>380</v>
      </c>
      <c r="C418" s="58" t="str">
        <f>IFERROR(VLOOKUP(B:B,'SALDO ATUAL'!$A$3:$E$9999,3,0),"")</f>
        <v>CREME 2 CLAREADOR INTENSO INC BEAUTY</v>
      </c>
      <c r="D418" s="59" t="str">
        <f>IFERROR(VLOOKUP(B:B,'SALDO ATUAL'!$A$3:$E892,4,0),"")</f>
        <v>MANIPULADOS</v>
      </c>
      <c r="E418" s="60" t="str">
        <f>IFERROR(VLOOKUP(B:B,'SALDO ATUAL'!$A$3:$E$999,5,0),"")</f>
        <v xml:space="preserve">018- Grama </v>
      </c>
      <c r="F418" s="15">
        <v>1</v>
      </c>
      <c r="G418" s="61"/>
      <c r="H418" s="56"/>
      <c r="I418" s="5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6.25" customHeight="1">
      <c r="A419" s="57"/>
      <c r="B419" s="62">
        <v>58</v>
      </c>
      <c r="C419" s="58" t="str">
        <f>IFERROR(VLOOKUP(B:B,'SALDO ATUAL'!$A$3:$E$9999,3,0),"")</f>
        <v>BIOESTIMULADOR RADIESSE</v>
      </c>
      <c r="D419" s="59" t="str">
        <f>IFERROR(VLOOKUP(B:B,'SALDO ATUAL'!$A$3:$E893,4,0),"")</f>
        <v>BIOESTIMULADORES</v>
      </c>
      <c r="E419" s="60" t="str">
        <f>IFERROR(VLOOKUP(B:B,'SALDO ATUAL'!$A$3:$E$999,5,0),"")</f>
        <v>023 - Mililitro</v>
      </c>
      <c r="F419" s="15">
        <v>1</v>
      </c>
      <c r="G419" s="61"/>
      <c r="H419" s="56"/>
      <c r="I419" s="5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6.25" customHeight="1">
      <c r="A420" s="57"/>
      <c r="B420" s="62">
        <v>218</v>
      </c>
      <c r="C420" s="58" t="str">
        <f>IFERROR(VLOOKUP(B:B,'SALDO ATUAL'!$A$3:$E$9999,3,0),"")</f>
        <v>LUVA P SEM PÓ DESCARPACK</v>
      </c>
      <c r="D420" s="59" t="str">
        <f>IFERROR(VLOOKUP(B:B,'SALDO ATUAL'!$A$3:$E894,4,0),"")</f>
        <v>MATERIAIS DESCARTÁVEIS E APOIO</v>
      </c>
      <c r="E420" s="60" t="str">
        <f>IFERROR(VLOOKUP(B:B,'SALDO ATUAL'!$A$3:$E$999,5,0),"")</f>
        <v>005- Caixa</v>
      </c>
      <c r="F420" s="15">
        <v>1</v>
      </c>
      <c r="G420" s="61"/>
      <c r="H420" s="56"/>
      <c r="I420" s="5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6.25" customHeight="1">
      <c r="A421" s="57"/>
      <c r="B421" s="62">
        <v>249</v>
      </c>
      <c r="C421" s="58" t="str">
        <f>IFERROR(VLOOKUP(B:B,'SALDO ATUAL'!$A$3:$E$9999,3,0),"")</f>
        <v>PANCAKE FPS 50 PEACH INC BEAUTY</v>
      </c>
      <c r="D421" s="59" t="str">
        <f>IFERROR(VLOOKUP(B:B,'SALDO ATUAL'!$A$3:$E895,4,0),"")</f>
        <v>MANIPULADOS</v>
      </c>
      <c r="E421" s="60" t="str">
        <f>IFERROR(VLOOKUP(B:B,'SALDO ATUAL'!$A$3:$E$999,5,0),"")</f>
        <v>036-Unidade</v>
      </c>
      <c r="F421" s="15">
        <v>1</v>
      </c>
      <c r="G421" s="61"/>
      <c r="H421" s="56"/>
      <c r="I421" s="5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6.25" customHeight="1">
      <c r="A422" s="57"/>
      <c r="B422" s="62">
        <v>96</v>
      </c>
      <c r="C422" s="58" t="str">
        <f>IFERROR(VLOOKUP(B:B,'SALDO ATUAL'!$A$3:$E$9999,3,0),"")</f>
        <v>CREME CALMANTE NIACINAMIDA INC BEAUTY</v>
      </c>
      <c r="D422" s="59" t="str">
        <f>IFERROR(VLOOKUP(B:B,'SALDO ATUAL'!$A$3:$E896,4,0),"")</f>
        <v>MANIPULADOS</v>
      </c>
      <c r="E422" s="60"/>
      <c r="F422" s="15">
        <v>1</v>
      </c>
      <c r="G422" s="61"/>
      <c r="H422" s="56"/>
      <c r="I422" s="5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6.25" customHeight="1">
      <c r="A423" s="57"/>
      <c r="B423" s="62">
        <v>94</v>
      </c>
      <c r="C423" s="58" t="str">
        <f>IFERROR(VLOOKUP(B:B,'SALDO ATUAL'!$A$3:$E$9999,3,0),"")</f>
        <v>CREME 1 CALMANTE IMEDIATO INC BEAUTY</v>
      </c>
      <c r="D423" s="59" t="str">
        <f>IFERROR(VLOOKUP(B:B,'SALDO ATUAL'!$A$3:$E897,4,0),"")</f>
        <v>MANIPULADOS</v>
      </c>
      <c r="E423" s="60"/>
      <c r="F423" s="15">
        <v>1</v>
      </c>
      <c r="G423" s="61"/>
      <c r="H423" s="56"/>
      <c r="I423" s="5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6.25" customHeight="1">
      <c r="A424" s="57"/>
      <c r="B424" s="62">
        <v>220</v>
      </c>
      <c r="C424" s="58" t="str">
        <f>IFERROR(VLOOKUP(B:B,'SALDO ATUAL'!$A$3:$E$9999,3,0),"")</f>
        <v>MASCARA ARGILA INC BEAUTY</v>
      </c>
      <c r="D424" s="59" t="str">
        <f>IFERROR(VLOOKUP(B:B,'SALDO ATUAL'!$A$3:$E898,4,0),"")</f>
        <v>MANIPULADOS</v>
      </c>
      <c r="E424" s="60"/>
      <c r="F424" s="15">
        <v>1</v>
      </c>
      <c r="G424" s="61"/>
      <c r="H424" s="56"/>
      <c r="I424" s="5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6.25" customHeight="1">
      <c r="A425" s="57"/>
      <c r="B425" s="62">
        <v>380</v>
      </c>
      <c r="C425" s="58" t="str">
        <f>IFERROR(VLOOKUP(B:B,'SALDO ATUAL'!$A$3:$E$9999,3,0),"")</f>
        <v>CREME 2 CLAREADOR INTENSO INC BEAUTY</v>
      </c>
      <c r="D425" s="59" t="str">
        <f>IFERROR(VLOOKUP(B:B,'SALDO ATUAL'!$A$3:$E899,4,0),"")</f>
        <v>MANIPULADOS</v>
      </c>
      <c r="E425" s="60"/>
      <c r="F425" s="15">
        <v>1</v>
      </c>
      <c r="G425" s="61"/>
      <c r="H425" s="56"/>
      <c r="I425" s="5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6.25" customHeight="1">
      <c r="A426" s="57"/>
      <c r="B426" s="62"/>
      <c r="C426" s="58" t="str">
        <f>IFERROR(VLOOKUP(B:B,'SALDO ATUAL'!$A$3:$E$9999,3,0),"")</f>
        <v/>
      </c>
      <c r="D426" s="59" t="str">
        <f>IFERROR(VLOOKUP(B:B,'SALDO ATUAL'!$A$3:$E900,4,0),"")</f>
        <v/>
      </c>
      <c r="E426" s="60"/>
      <c r="F426" s="15"/>
      <c r="G426" s="61"/>
      <c r="H426" s="56"/>
      <c r="I426" s="5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6.25" customHeight="1">
      <c r="A427" s="57"/>
      <c r="B427" s="62"/>
      <c r="C427" s="58" t="str">
        <f>IFERROR(VLOOKUP(B:B,'SALDO ATUAL'!$A$3:$E$9999,3,0),"")</f>
        <v/>
      </c>
      <c r="D427" s="59" t="str">
        <f>IFERROR(VLOOKUP(B:B,'SALDO ATUAL'!$A$3:$E901,4,0),"")</f>
        <v/>
      </c>
      <c r="E427" s="60"/>
      <c r="F427" s="15"/>
      <c r="G427" s="61"/>
      <c r="H427" s="56"/>
      <c r="I427" s="5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6.25" customHeight="1">
      <c r="A428" s="57"/>
      <c r="B428" s="62"/>
      <c r="C428" s="58" t="str">
        <f>IFERROR(VLOOKUP(B:B,'SALDO ATUAL'!$A$3:$E$9999,3,0),"")</f>
        <v/>
      </c>
      <c r="D428" s="59" t="str">
        <f>IFERROR(VLOOKUP(B:B,'SALDO ATUAL'!$A$3:$E902,4,0),"")</f>
        <v/>
      </c>
      <c r="E428" s="60"/>
      <c r="F428" s="15"/>
      <c r="G428" s="61"/>
      <c r="H428" s="56"/>
      <c r="I428" s="5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6.25" customHeight="1">
      <c r="A429" s="57"/>
      <c r="B429" s="62"/>
      <c r="C429" s="58" t="str">
        <f>IFERROR(VLOOKUP(B:B,'SALDO ATUAL'!$A$3:$E$9999,3,0),"")</f>
        <v/>
      </c>
      <c r="D429" s="59" t="str">
        <f>IFERROR(VLOOKUP(B:B,'SALDO ATUAL'!$A$3:$E903,4,0),"")</f>
        <v/>
      </c>
      <c r="E429" s="60"/>
      <c r="F429" s="15"/>
      <c r="G429" s="61"/>
      <c r="H429" s="56"/>
      <c r="I429" s="5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6.25" customHeight="1">
      <c r="A430" s="57"/>
      <c r="B430" s="62"/>
      <c r="C430" s="58" t="str">
        <f>IFERROR(VLOOKUP(B:B,'SALDO ATUAL'!$A$3:$E$9999,3,0),"")</f>
        <v/>
      </c>
      <c r="D430" s="59" t="str">
        <f>IFERROR(VLOOKUP(B:B,'SALDO ATUAL'!$A$3:$E904,4,0),"")</f>
        <v/>
      </c>
      <c r="E430" s="60"/>
      <c r="F430" s="15"/>
      <c r="G430" s="61"/>
      <c r="H430" s="56"/>
      <c r="I430" s="5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6.25" customHeight="1">
      <c r="A431" s="57"/>
      <c r="B431" s="62"/>
      <c r="C431" s="58" t="str">
        <f>IFERROR(VLOOKUP(B:B,'SALDO ATUAL'!$A$3:$E$9999,3,0),"")</f>
        <v/>
      </c>
      <c r="D431" s="59" t="str">
        <f>IFERROR(VLOOKUP(B:B,'SALDO ATUAL'!$A$3:$E905,4,0),"")</f>
        <v/>
      </c>
      <c r="E431" s="60"/>
      <c r="F431" s="15"/>
      <c r="G431" s="61"/>
      <c r="H431" s="56"/>
      <c r="I431" s="5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6.25" customHeight="1">
      <c r="A432" s="57"/>
      <c r="B432" s="62"/>
      <c r="C432" s="58" t="str">
        <f>IFERROR(VLOOKUP(B:B,'SALDO ATUAL'!$A$3:$E$9999,3,0),"")</f>
        <v/>
      </c>
      <c r="D432" s="59" t="str">
        <f>IFERROR(VLOOKUP(B:B,'SALDO ATUAL'!$A$3:$E906,4,0),"")</f>
        <v/>
      </c>
      <c r="E432" s="60"/>
      <c r="F432" s="15"/>
      <c r="G432" s="61"/>
      <c r="H432" s="56"/>
      <c r="I432" s="5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6.25" customHeight="1">
      <c r="A433" s="57"/>
      <c r="B433" s="62"/>
      <c r="C433" s="58" t="str">
        <f>IFERROR(VLOOKUP(B:B,'SALDO ATUAL'!$A$3:$E$9999,3,0),"")</f>
        <v/>
      </c>
      <c r="D433" s="59" t="str">
        <f>IFERROR(VLOOKUP(B:B,'SALDO ATUAL'!$A$3:$E907,4,0),"")</f>
        <v/>
      </c>
      <c r="E433" s="60"/>
      <c r="F433" s="15"/>
      <c r="G433" s="61"/>
      <c r="H433" s="56"/>
      <c r="I433" s="5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6.25" customHeight="1">
      <c r="A434" s="57"/>
      <c r="B434" s="62"/>
      <c r="C434" s="58" t="str">
        <f>IFERROR(VLOOKUP(B:B,'SALDO ATUAL'!$A$3:$E$9999,3,0),"")</f>
        <v/>
      </c>
      <c r="D434" s="59" t="str">
        <f>IFERROR(VLOOKUP(B:B,'SALDO ATUAL'!$A$3:$E908,4,0),"")</f>
        <v/>
      </c>
      <c r="E434" s="60"/>
      <c r="F434" s="15"/>
      <c r="G434" s="61"/>
      <c r="H434" s="56"/>
      <c r="I434" s="5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6.25" customHeight="1">
      <c r="A435" s="57"/>
      <c r="B435" s="62"/>
      <c r="C435" s="58" t="str">
        <f>IFERROR(VLOOKUP(B:B,'SALDO ATUAL'!$A$3:$E$9999,3,0),"")</f>
        <v/>
      </c>
      <c r="D435" s="59" t="str">
        <f>IFERROR(VLOOKUP(B:B,'SALDO ATUAL'!$A$3:$E909,4,0),"")</f>
        <v/>
      </c>
      <c r="E435" s="60"/>
      <c r="F435" s="15"/>
      <c r="G435" s="61"/>
      <c r="H435" s="56"/>
      <c r="I435" s="5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6.25" customHeight="1">
      <c r="A436" s="57"/>
      <c r="B436" s="62"/>
      <c r="C436" s="58" t="str">
        <f>IFERROR(VLOOKUP(B:B,'SALDO ATUAL'!$A$3:$E$9999,3,0),"")</f>
        <v/>
      </c>
      <c r="D436" s="59" t="str">
        <f>IFERROR(VLOOKUP(B:B,'SALDO ATUAL'!$A$3:$E910,4,0),"")</f>
        <v/>
      </c>
      <c r="E436" s="60"/>
      <c r="F436" s="15"/>
      <c r="G436" s="61"/>
      <c r="H436" s="56"/>
      <c r="I436" s="5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6.25" customHeight="1">
      <c r="A437" s="57"/>
      <c r="B437" s="62"/>
      <c r="C437" s="58" t="str">
        <f>IFERROR(VLOOKUP(B:B,'SALDO ATUAL'!$A$3:$E$9999,3,0),"")</f>
        <v/>
      </c>
      <c r="D437" s="59" t="str">
        <f>IFERROR(VLOOKUP(B:B,'SALDO ATUAL'!$A$3:$E911,4,0),"")</f>
        <v/>
      </c>
      <c r="E437" s="60"/>
      <c r="F437" s="15"/>
      <c r="G437" s="61"/>
      <c r="H437" s="56"/>
      <c r="I437" s="5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6.25" customHeight="1">
      <c r="A438" s="57"/>
      <c r="B438" s="62"/>
      <c r="C438" s="58" t="str">
        <f>IFERROR(VLOOKUP(B:B,'SALDO ATUAL'!$A$3:$E$9999,3,0),"")</f>
        <v/>
      </c>
      <c r="D438" s="59" t="str">
        <f>IFERROR(VLOOKUP(B:B,'SALDO ATUAL'!$A$3:$E912,4,0),"")</f>
        <v/>
      </c>
      <c r="E438" s="60"/>
      <c r="F438" s="15"/>
      <c r="G438" s="61"/>
      <c r="H438" s="56"/>
      <c r="I438" s="5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6.25" customHeight="1">
      <c r="A439" s="57"/>
      <c r="B439" s="62"/>
      <c r="C439" s="58" t="str">
        <f>IFERROR(VLOOKUP(B:B,'SALDO ATUAL'!$A$3:$E$9999,3,0),"")</f>
        <v/>
      </c>
      <c r="D439" s="59" t="str">
        <f>IFERROR(VLOOKUP(B:B,'SALDO ATUAL'!$A$3:$E913,4,0),"")</f>
        <v/>
      </c>
      <c r="E439" s="60"/>
      <c r="F439" s="15"/>
      <c r="G439" s="61"/>
      <c r="H439" s="56"/>
      <c r="I439" s="5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6.25" customHeight="1">
      <c r="A440" s="57"/>
      <c r="B440" s="62"/>
      <c r="C440" s="58" t="str">
        <f>IFERROR(VLOOKUP(B:B,'SALDO ATUAL'!$A$3:$E$9999,3,0),"")</f>
        <v/>
      </c>
      <c r="D440" s="59" t="str">
        <f>IFERROR(VLOOKUP(B:B,'SALDO ATUAL'!$A$3:$E914,4,0),"")</f>
        <v/>
      </c>
      <c r="E440" s="60"/>
      <c r="F440" s="15"/>
      <c r="G440" s="61"/>
      <c r="H440" s="56"/>
      <c r="I440" s="5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6.25" customHeight="1">
      <c r="A441" s="57"/>
      <c r="B441" s="62"/>
      <c r="C441" s="58" t="str">
        <f>IFERROR(VLOOKUP(B:B,'SALDO ATUAL'!$A$3:$E$9999,3,0),"")</f>
        <v/>
      </c>
      <c r="D441" s="59" t="str">
        <f>IFERROR(VLOOKUP(B:B,'SALDO ATUAL'!$A$3:$E915,4,0),"")</f>
        <v/>
      </c>
      <c r="E441" s="60"/>
      <c r="F441" s="15"/>
      <c r="G441" s="61"/>
      <c r="H441" s="56"/>
      <c r="I441" s="5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6.25" customHeight="1">
      <c r="A442" s="57"/>
      <c r="B442" s="62"/>
      <c r="C442" s="58" t="str">
        <f>IFERROR(VLOOKUP(B:B,'SALDO ATUAL'!$A$3:$E$9999,3,0),"")</f>
        <v/>
      </c>
      <c r="D442" s="59" t="str">
        <f>IFERROR(VLOOKUP(B:B,'SALDO ATUAL'!$A$3:$E916,4,0),"")</f>
        <v/>
      </c>
      <c r="E442" s="60"/>
      <c r="F442" s="15"/>
      <c r="G442" s="61"/>
      <c r="H442" s="56"/>
      <c r="I442" s="5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6.25" customHeight="1">
      <c r="A443" s="57"/>
      <c r="B443" s="62"/>
      <c r="C443" s="58" t="str">
        <f>IFERROR(VLOOKUP(B:B,'SALDO ATUAL'!$A$3:$E$9999,3,0),"")</f>
        <v/>
      </c>
      <c r="D443" s="59" t="str">
        <f>IFERROR(VLOOKUP(B:B,'SALDO ATUAL'!$A$3:$E917,4,0),"")</f>
        <v/>
      </c>
      <c r="E443" s="60"/>
      <c r="F443" s="15"/>
      <c r="G443" s="61"/>
      <c r="H443" s="56"/>
      <c r="I443" s="5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6.25" customHeight="1">
      <c r="A444" s="57"/>
      <c r="B444" s="62"/>
      <c r="C444" s="58" t="str">
        <f>IFERROR(VLOOKUP(B:B,'SALDO ATUAL'!$A$3:$E$9999,3,0),"")</f>
        <v/>
      </c>
      <c r="D444" s="59" t="str">
        <f>IFERROR(VLOOKUP(B:B,'SALDO ATUAL'!$A$3:$E918,4,0),"")</f>
        <v/>
      </c>
      <c r="E444" s="60"/>
      <c r="F444" s="15"/>
      <c r="G444" s="61"/>
      <c r="H444" s="56"/>
      <c r="I444" s="5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6.25" customHeight="1">
      <c r="A445" s="57"/>
      <c r="B445" s="62"/>
      <c r="C445" s="58" t="str">
        <f>IFERROR(VLOOKUP(B:B,'SALDO ATUAL'!$A$3:$E$9999,3,0),"")</f>
        <v/>
      </c>
      <c r="D445" s="59" t="str">
        <f>IFERROR(VLOOKUP(B:B,'SALDO ATUAL'!$A$3:$E919,4,0),"")</f>
        <v/>
      </c>
      <c r="E445" s="60"/>
      <c r="F445" s="15"/>
      <c r="G445" s="61"/>
      <c r="H445" s="56"/>
      <c r="I445" s="5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6.25" customHeight="1">
      <c r="A446" s="57"/>
      <c r="B446" s="62"/>
      <c r="C446" s="58" t="str">
        <f>IFERROR(VLOOKUP(B:B,'SALDO ATUAL'!$A$3:$E$9999,3,0),"")</f>
        <v/>
      </c>
      <c r="D446" s="59" t="str">
        <f>IFERROR(VLOOKUP(B:B,'SALDO ATUAL'!$A$3:$E920,4,0),"")</f>
        <v/>
      </c>
      <c r="E446" s="60"/>
      <c r="F446" s="15"/>
      <c r="G446" s="61"/>
      <c r="H446" s="56"/>
      <c r="I446" s="5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6.25" customHeight="1">
      <c r="A447" s="57"/>
      <c r="B447" s="62"/>
      <c r="C447" s="58" t="str">
        <f>IFERROR(VLOOKUP(B:B,'SALDO ATUAL'!$A$3:$E$9999,3,0),"")</f>
        <v/>
      </c>
      <c r="D447" s="59" t="str">
        <f>IFERROR(VLOOKUP(B:B,'SALDO ATUAL'!$A$3:$E921,4,0),"")</f>
        <v/>
      </c>
      <c r="E447" s="60"/>
      <c r="F447" s="15"/>
      <c r="G447" s="61"/>
      <c r="H447" s="56"/>
      <c r="I447" s="5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6.25" customHeight="1">
      <c r="A448" s="57"/>
      <c r="B448" s="62"/>
      <c r="C448" s="58" t="str">
        <f>IFERROR(VLOOKUP(B:B,'SALDO ATUAL'!$A$3:$E$9999,3,0),"")</f>
        <v/>
      </c>
      <c r="D448" s="59" t="str">
        <f>IFERROR(VLOOKUP(B:B,'SALDO ATUAL'!$A$3:$E922,4,0),"")</f>
        <v/>
      </c>
      <c r="E448" s="60"/>
      <c r="F448" s="15"/>
      <c r="G448" s="61"/>
      <c r="H448" s="56"/>
      <c r="I448" s="5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6.25" customHeight="1">
      <c r="A449" s="57"/>
      <c r="B449" s="62"/>
      <c r="C449" s="58" t="str">
        <f>IFERROR(VLOOKUP(B:B,'SALDO ATUAL'!$A$3:$E$9999,3,0),"")</f>
        <v/>
      </c>
      <c r="D449" s="59" t="str">
        <f>IFERROR(VLOOKUP(B:B,'SALDO ATUAL'!$A$3:$E923,4,0),"")</f>
        <v/>
      </c>
      <c r="E449" s="60"/>
      <c r="F449" s="15"/>
      <c r="G449" s="61"/>
      <c r="H449" s="56"/>
      <c r="I449" s="5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6.25" customHeight="1">
      <c r="A450" s="57"/>
      <c r="B450" s="62"/>
      <c r="C450" s="58" t="str">
        <f>IFERROR(VLOOKUP(B:B,'SALDO ATUAL'!$A$3:$E$9999,3,0),"")</f>
        <v/>
      </c>
      <c r="D450" s="59" t="str">
        <f>IFERROR(VLOOKUP(B:B,'SALDO ATUAL'!$A$3:$E924,4,0),"")</f>
        <v/>
      </c>
      <c r="E450" s="60"/>
      <c r="F450" s="15"/>
      <c r="G450" s="61"/>
      <c r="H450" s="56"/>
      <c r="I450" s="5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6.25" customHeight="1">
      <c r="A451" s="57"/>
      <c r="B451" s="62"/>
      <c r="C451" s="58" t="str">
        <f>IFERROR(VLOOKUP(B:B,'SALDO ATUAL'!$A$3:$E$9999,3,0),"")</f>
        <v/>
      </c>
      <c r="D451" s="59" t="str">
        <f>IFERROR(VLOOKUP(B:B,'SALDO ATUAL'!$A$3:$E925,4,0),"")</f>
        <v/>
      </c>
      <c r="E451" s="60"/>
      <c r="F451" s="15"/>
      <c r="G451" s="61"/>
      <c r="H451" s="56"/>
      <c r="I451" s="5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6.25" customHeight="1">
      <c r="A452" s="57"/>
      <c r="B452" s="62"/>
      <c r="C452" s="58" t="str">
        <f>IFERROR(VLOOKUP(B:B,'SALDO ATUAL'!$A$3:$E$9999,3,0),"")</f>
        <v/>
      </c>
      <c r="D452" s="59" t="str">
        <f>IFERROR(VLOOKUP(B:B,'SALDO ATUAL'!$A$3:$E926,4,0),"")</f>
        <v/>
      </c>
      <c r="E452" s="60"/>
      <c r="F452" s="15"/>
      <c r="G452" s="61"/>
      <c r="H452" s="56"/>
      <c r="I452" s="5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6.25" customHeight="1">
      <c r="A453" s="57"/>
      <c r="B453" s="62"/>
      <c r="C453" s="58" t="str">
        <f>IFERROR(VLOOKUP(B:B,'SALDO ATUAL'!$A$3:$E$9999,3,0),"")</f>
        <v/>
      </c>
      <c r="D453" s="59" t="str">
        <f>IFERROR(VLOOKUP(B:B,'SALDO ATUAL'!$A$3:$E927,4,0),"")</f>
        <v/>
      </c>
      <c r="E453" s="60"/>
      <c r="F453" s="15"/>
      <c r="G453" s="61"/>
      <c r="H453" s="56"/>
      <c r="I453" s="5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6.25" customHeight="1">
      <c r="A454" s="57"/>
      <c r="B454" s="62"/>
      <c r="C454" s="58" t="str">
        <f>IFERROR(VLOOKUP(B:B,'SALDO ATUAL'!$A$3:$E$9999,3,0),"")</f>
        <v/>
      </c>
      <c r="D454" s="59" t="str">
        <f>IFERROR(VLOOKUP(B:B,'SALDO ATUAL'!$A$3:$E928,4,0),"")</f>
        <v/>
      </c>
      <c r="E454" s="60"/>
      <c r="F454" s="15"/>
      <c r="G454" s="61"/>
      <c r="H454" s="56"/>
      <c r="I454" s="5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6.25" customHeight="1">
      <c r="A455" s="57"/>
      <c r="B455" s="62"/>
      <c r="C455" s="58" t="str">
        <f>IFERROR(VLOOKUP(B:B,'SALDO ATUAL'!$A$3:$E$9999,3,0),"")</f>
        <v/>
      </c>
      <c r="D455" s="59" t="str">
        <f>IFERROR(VLOOKUP(B:B,'SALDO ATUAL'!$A$3:$E929,4,0),"")</f>
        <v/>
      </c>
      <c r="E455" s="60"/>
      <c r="F455" s="15"/>
      <c r="G455" s="61"/>
      <c r="H455" s="56"/>
      <c r="I455" s="5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6.25" customHeight="1">
      <c r="A456" s="57"/>
      <c r="B456" s="62"/>
      <c r="C456" s="58" t="str">
        <f>IFERROR(VLOOKUP(B:B,'SALDO ATUAL'!$A$3:$E$9999,3,0),"")</f>
        <v/>
      </c>
      <c r="D456" s="59" t="str">
        <f>IFERROR(VLOOKUP(B:B,'SALDO ATUAL'!$A$3:$E930,4,0),"")</f>
        <v/>
      </c>
      <c r="E456" s="60"/>
      <c r="F456" s="15"/>
      <c r="G456" s="61"/>
      <c r="H456" s="56"/>
      <c r="I456" s="5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6.25" customHeight="1">
      <c r="A457" s="57"/>
      <c r="B457" s="62"/>
      <c r="C457" s="58" t="str">
        <f>IFERROR(VLOOKUP(B:B,'SALDO ATUAL'!$A$3:$E$9999,3,0),"")</f>
        <v/>
      </c>
      <c r="D457" s="59" t="str">
        <f>IFERROR(VLOOKUP(B:B,'SALDO ATUAL'!$A$3:$E931,4,0),"")</f>
        <v/>
      </c>
      <c r="E457" s="60"/>
      <c r="F457" s="15"/>
      <c r="G457" s="61"/>
      <c r="H457" s="56"/>
      <c r="I457" s="5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6.25" customHeight="1">
      <c r="A458" s="57"/>
      <c r="B458" s="62"/>
      <c r="C458" s="58" t="str">
        <f>IFERROR(VLOOKUP(B:B,'SALDO ATUAL'!$A$3:$E$9999,3,0),"")</f>
        <v/>
      </c>
      <c r="D458" s="59" t="str">
        <f>IFERROR(VLOOKUP(B:B,'SALDO ATUAL'!$A$3:$E932,4,0),"")</f>
        <v/>
      </c>
      <c r="E458" s="60"/>
      <c r="F458" s="15"/>
      <c r="G458" s="61"/>
      <c r="H458" s="56"/>
      <c r="I458" s="5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6.25" customHeight="1">
      <c r="A459" s="57"/>
      <c r="B459" s="62"/>
      <c r="C459" s="58" t="str">
        <f>IFERROR(VLOOKUP(B:B,'SALDO ATUAL'!$A$3:$E$9999,3,0),"")</f>
        <v/>
      </c>
      <c r="D459" s="59" t="str">
        <f>IFERROR(VLOOKUP(B:B,'SALDO ATUAL'!$A$3:$E933,4,0),"")</f>
        <v/>
      </c>
      <c r="E459" s="60"/>
      <c r="F459" s="15"/>
      <c r="G459" s="61"/>
      <c r="H459" s="56"/>
      <c r="I459" s="5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6.25" customHeight="1">
      <c r="A460" s="57"/>
      <c r="B460" s="62"/>
      <c r="C460" s="58" t="str">
        <f>IFERROR(VLOOKUP(B:B,'SALDO ATUAL'!$A$3:$E$9999,3,0),"")</f>
        <v/>
      </c>
      <c r="D460" s="59" t="str">
        <f>IFERROR(VLOOKUP(B:B,'SALDO ATUAL'!$A$3:$E934,4,0),"")</f>
        <v/>
      </c>
      <c r="E460" s="60"/>
      <c r="F460" s="15"/>
      <c r="G460" s="61"/>
      <c r="H460" s="56"/>
      <c r="I460" s="5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6.25" customHeight="1">
      <c r="A461" s="57"/>
      <c r="B461" s="62"/>
      <c r="C461" s="58" t="str">
        <f>IFERROR(VLOOKUP(B:B,'SALDO ATUAL'!$A$3:$E$9999,3,0),"")</f>
        <v/>
      </c>
      <c r="D461" s="59" t="str">
        <f>IFERROR(VLOOKUP(B:B,'SALDO ATUAL'!$A$3:$E935,4,0),"")</f>
        <v/>
      </c>
      <c r="E461" s="60"/>
      <c r="F461" s="15"/>
      <c r="G461" s="61"/>
      <c r="H461" s="56"/>
      <c r="I461" s="5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6.25" customHeight="1">
      <c r="A462" s="57"/>
      <c r="B462" s="62"/>
      <c r="C462" s="58" t="str">
        <f>IFERROR(VLOOKUP(B:B,'SALDO ATUAL'!$A$3:$E$9999,3,0),"")</f>
        <v/>
      </c>
      <c r="D462" s="59" t="str">
        <f>IFERROR(VLOOKUP(B:B,'SALDO ATUAL'!$A$3:$E936,4,0),"")</f>
        <v/>
      </c>
      <c r="E462" s="60"/>
      <c r="F462" s="15"/>
      <c r="G462" s="61"/>
      <c r="H462" s="56"/>
      <c r="I462" s="5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6.25" customHeight="1">
      <c r="A463" s="57"/>
      <c r="B463" s="62"/>
      <c r="C463" s="58" t="str">
        <f>IFERROR(VLOOKUP(B:B,'SALDO ATUAL'!$A$3:$E$9999,3,0),"")</f>
        <v/>
      </c>
      <c r="D463" s="59" t="str">
        <f>IFERROR(VLOOKUP(B:B,'SALDO ATUAL'!$A$3:$E937,4,0),"")</f>
        <v/>
      </c>
      <c r="E463" s="60"/>
      <c r="F463" s="15"/>
      <c r="G463" s="61"/>
      <c r="H463" s="56"/>
      <c r="I463" s="5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6.25" customHeight="1">
      <c r="A464" s="57"/>
      <c r="B464" s="62"/>
      <c r="C464" s="58" t="str">
        <f>IFERROR(VLOOKUP(B:B,'SALDO ATUAL'!$A$3:$E$9999,3,0),"")</f>
        <v/>
      </c>
      <c r="D464" s="59" t="str">
        <f>IFERROR(VLOOKUP(B:B,'SALDO ATUAL'!$A$3:$E938,4,0),"")</f>
        <v/>
      </c>
      <c r="E464" s="60"/>
      <c r="F464" s="15"/>
      <c r="G464" s="61"/>
      <c r="H464" s="56"/>
      <c r="I464" s="5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6.25" customHeight="1">
      <c r="A465" s="57"/>
      <c r="B465" s="62"/>
      <c r="C465" s="58" t="str">
        <f>IFERROR(VLOOKUP(B:B,'SALDO ATUAL'!$A$3:$E$9999,3,0),"")</f>
        <v/>
      </c>
      <c r="D465" s="59" t="str">
        <f>IFERROR(VLOOKUP(B:B,'SALDO ATUAL'!$A$3:$E939,4,0),"")</f>
        <v/>
      </c>
      <c r="E465" s="60"/>
      <c r="F465" s="15"/>
      <c r="G465" s="61"/>
      <c r="H465" s="56"/>
      <c r="I465" s="5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6.25" customHeight="1">
      <c r="A466" s="57"/>
      <c r="B466" s="62"/>
      <c r="C466" s="58" t="str">
        <f>IFERROR(VLOOKUP(B:B,'SALDO ATUAL'!$A$3:$E$9999,3,0),"")</f>
        <v/>
      </c>
      <c r="D466" s="59" t="str">
        <f>IFERROR(VLOOKUP(B:B,'SALDO ATUAL'!$A$3:$E940,4,0),"")</f>
        <v/>
      </c>
      <c r="E466" s="60"/>
      <c r="F466" s="15"/>
      <c r="G466" s="61"/>
      <c r="H466" s="56"/>
      <c r="I466" s="5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6.25" customHeight="1">
      <c r="A467" s="57"/>
      <c r="B467" s="62"/>
      <c r="C467" s="58" t="str">
        <f>IFERROR(VLOOKUP(B:B,'SALDO ATUAL'!$A$3:$E$9999,3,0),"")</f>
        <v/>
      </c>
      <c r="D467" s="59" t="str">
        <f>IFERROR(VLOOKUP(B:B,'SALDO ATUAL'!$A$3:$E941,4,0),"")</f>
        <v/>
      </c>
      <c r="E467" s="60"/>
      <c r="F467" s="15"/>
      <c r="G467" s="61"/>
      <c r="H467" s="56"/>
      <c r="I467" s="5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6.25" customHeight="1">
      <c r="A468" s="57"/>
      <c r="B468" s="62"/>
      <c r="C468" s="58" t="str">
        <f>IFERROR(VLOOKUP(B:B,'SALDO ATUAL'!$A$3:$E$9999,3,0),"")</f>
        <v/>
      </c>
      <c r="D468" s="59" t="str">
        <f>IFERROR(VLOOKUP(B:B,'SALDO ATUAL'!$A$3:$E942,4,0),"")</f>
        <v/>
      </c>
      <c r="E468" s="60"/>
      <c r="F468" s="15"/>
      <c r="G468" s="61"/>
      <c r="H468" s="56"/>
      <c r="I468" s="5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6.25" customHeight="1">
      <c r="A469" s="57"/>
      <c r="B469" s="62"/>
      <c r="C469" s="58" t="str">
        <f>IFERROR(VLOOKUP(B:B,'SALDO ATUAL'!$A$3:$E$9999,3,0),"")</f>
        <v/>
      </c>
      <c r="D469" s="59" t="str">
        <f>IFERROR(VLOOKUP(B:B,'SALDO ATUAL'!$A$3:$E943,4,0),"")</f>
        <v/>
      </c>
      <c r="E469" s="60"/>
      <c r="F469" s="15"/>
      <c r="G469" s="61"/>
      <c r="H469" s="56"/>
      <c r="I469" s="5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6.25" customHeight="1">
      <c r="A470" s="57"/>
      <c r="B470" s="62"/>
      <c r="C470" s="58" t="str">
        <f>IFERROR(VLOOKUP(B:B,'SALDO ATUAL'!$A$3:$E$9999,3,0),"")</f>
        <v/>
      </c>
      <c r="D470" s="59" t="str">
        <f>IFERROR(VLOOKUP(B:B,'SALDO ATUAL'!$A$3:$E944,4,0),"")</f>
        <v/>
      </c>
      <c r="E470" s="60"/>
      <c r="F470" s="15"/>
      <c r="G470" s="61"/>
      <c r="H470" s="56"/>
      <c r="I470" s="5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6.25" customHeight="1">
      <c r="A471" s="57"/>
      <c r="B471" s="62"/>
      <c r="C471" s="58" t="str">
        <f>IFERROR(VLOOKUP(B:B,'SALDO ATUAL'!$A$3:$E$9999,3,0),"")</f>
        <v/>
      </c>
      <c r="D471" s="59" t="str">
        <f>IFERROR(VLOOKUP(B:B,'SALDO ATUAL'!$A$3:$E945,4,0),"")</f>
        <v/>
      </c>
      <c r="E471" s="60"/>
      <c r="F471" s="15"/>
      <c r="G471" s="61"/>
      <c r="H471" s="56"/>
      <c r="I471" s="5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6.25" customHeight="1">
      <c r="A472" s="57"/>
      <c r="B472" s="62"/>
      <c r="C472" s="58" t="str">
        <f>IFERROR(VLOOKUP(B:B,'SALDO ATUAL'!$A$3:$E$9999,3,0),"")</f>
        <v/>
      </c>
      <c r="D472" s="59" t="str">
        <f>IFERROR(VLOOKUP(B:B,'SALDO ATUAL'!$A$3:$E946,4,0),"")</f>
        <v/>
      </c>
      <c r="E472" s="60"/>
      <c r="F472" s="15"/>
      <c r="G472" s="61"/>
      <c r="H472" s="56"/>
      <c r="I472" s="5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6.25" customHeight="1">
      <c r="A473" s="57"/>
      <c r="B473" s="62"/>
      <c r="C473" s="58" t="str">
        <f>IFERROR(VLOOKUP(B:B,'SALDO ATUAL'!$A$3:$E$9999,3,0),"")</f>
        <v/>
      </c>
      <c r="D473" s="59" t="str">
        <f>IFERROR(VLOOKUP(B:B,'SALDO ATUAL'!$A$3:$E947,4,0),"")</f>
        <v/>
      </c>
      <c r="E473" s="60"/>
      <c r="F473" s="15"/>
      <c r="G473" s="61"/>
      <c r="H473" s="56"/>
      <c r="I473" s="5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6.25" customHeight="1">
      <c r="A474" s="57"/>
      <c r="B474" s="62"/>
      <c r="C474" s="58" t="str">
        <f>IFERROR(VLOOKUP(B:B,'SALDO ATUAL'!$A$3:$E$9999,3,0),"")</f>
        <v/>
      </c>
      <c r="D474" s="59" t="str">
        <f>IFERROR(VLOOKUP(B:B,'SALDO ATUAL'!$A$3:$E948,4,0),"")</f>
        <v/>
      </c>
      <c r="E474" s="60"/>
      <c r="F474" s="15"/>
      <c r="G474" s="61"/>
      <c r="H474" s="56"/>
      <c r="I474" s="5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6.25" customHeight="1">
      <c r="A475" s="57"/>
      <c r="B475" s="62"/>
      <c r="C475" s="58" t="str">
        <f>IFERROR(VLOOKUP(B:B,'SALDO ATUAL'!$A$3:$E$9999,3,0),"")</f>
        <v/>
      </c>
      <c r="D475" s="59" t="str">
        <f>IFERROR(VLOOKUP(B:B,'SALDO ATUAL'!$A$3:$E949,4,0),"")</f>
        <v/>
      </c>
      <c r="E475" s="60"/>
      <c r="F475" s="15"/>
      <c r="G475" s="61"/>
      <c r="H475" s="56"/>
      <c r="I475" s="5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6.25" customHeight="1">
      <c r="A476" s="57"/>
      <c r="B476" s="62"/>
      <c r="C476" s="58" t="str">
        <f>IFERROR(VLOOKUP(B:B,'SALDO ATUAL'!$A$3:$E$9999,3,0),"")</f>
        <v/>
      </c>
      <c r="D476" s="59" t="str">
        <f>IFERROR(VLOOKUP(B:B,'SALDO ATUAL'!$A$3:$E950,4,0),"")</f>
        <v/>
      </c>
      <c r="E476" s="60"/>
      <c r="F476" s="15"/>
      <c r="G476" s="61"/>
      <c r="H476" s="56"/>
      <c r="I476" s="5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6.25" customHeight="1">
      <c r="A477" s="57"/>
      <c r="B477" s="62"/>
      <c r="C477" s="58" t="str">
        <f>IFERROR(VLOOKUP(B:B,'SALDO ATUAL'!$A$3:$E$9999,3,0),"")</f>
        <v/>
      </c>
      <c r="D477" s="59" t="str">
        <f>IFERROR(VLOOKUP(B:B,'SALDO ATUAL'!$A$3:$E951,4,0),"")</f>
        <v/>
      </c>
      <c r="E477" s="60"/>
      <c r="F477" s="15"/>
      <c r="G477" s="61"/>
      <c r="H477" s="56"/>
      <c r="I477" s="5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6.25" customHeight="1">
      <c r="A478" s="57"/>
      <c r="B478" s="62"/>
      <c r="C478" s="58" t="str">
        <f>IFERROR(VLOOKUP(B:B,'SALDO ATUAL'!$A$3:$E$9999,3,0),"")</f>
        <v/>
      </c>
      <c r="D478" s="59" t="str">
        <f>IFERROR(VLOOKUP(B:B,'SALDO ATUAL'!$A$3:$E952,4,0),"")</f>
        <v/>
      </c>
      <c r="E478" s="60"/>
      <c r="F478" s="15"/>
      <c r="G478" s="61"/>
      <c r="H478" s="56"/>
      <c r="I478" s="5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6.25" customHeight="1">
      <c r="A479" s="57"/>
      <c r="B479" s="62"/>
      <c r="C479" s="58" t="str">
        <f>IFERROR(VLOOKUP(B:B,'SALDO ATUAL'!$A$3:$E$9999,3,0),"")</f>
        <v/>
      </c>
      <c r="D479" s="59" t="str">
        <f>IFERROR(VLOOKUP(B:B,'SALDO ATUAL'!$A$3:$E953,4,0),"")</f>
        <v/>
      </c>
      <c r="E479" s="60"/>
      <c r="F479" s="15"/>
      <c r="G479" s="61"/>
      <c r="H479" s="56"/>
      <c r="I479" s="5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6.25" customHeight="1">
      <c r="A480" s="57"/>
      <c r="B480" s="62"/>
      <c r="C480" s="58" t="str">
        <f>IFERROR(VLOOKUP(B:B,'SALDO ATUAL'!$A$3:$E$9999,3,0),"")</f>
        <v/>
      </c>
      <c r="D480" s="59" t="str">
        <f>IFERROR(VLOOKUP(B:B,'SALDO ATUAL'!$A$3:$E954,4,0),"")</f>
        <v/>
      </c>
      <c r="E480" s="60"/>
      <c r="F480" s="15"/>
      <c r="G480" s="61"/>
      <c r="H480" s="56"/>
      <c r="I480" s="5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6.25" customHeight="1">
      <c r="A481" s="57"/>
      <c r="B481" s="62"/>
      <c r="C481" s="58" t="str">
        <f>IFERROR(VLOOKUP(B:B,'SALDO ATUAL'!$A$3:$E$9999,3,0),"")</f>
        <v/>
      </c>
      <c r="D481" s="59" t="str">
        <f>IFERROR(VLOOKUP(B:B,'SALDO ATUAL'!$A$3:$E955,4,0),"")</f>
        <v/>
      </c>
      <c r="E481" s="60"/>
      <c r="F481" s="15"/>
      <c r="G481" s="61"/>
      <c r="H481" s="56"/>
      <c r="I481" s="5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6.25" customHeight="1">
      <c r="A482" s="57"/>
      <c r="B482" s="62"/>
      <c r="C482" s="58" t="str">
        <f>IFERROR(VLOOKUP(B:B,'SALDO ATUAL'!$A$3:$E$9999,3,0),"")</f>
        <v/>
      </c>
      <c r="D482" s="59" t="str">
        <f>IFERROR(VLOOKUP(B:B,'SALDO ATUAL'!$A$3:$E956,4,0),"")</f>
        <v/>
      </c>
      <c r="E482" s="60"/>
      <c r="F482" s="15"/>
      <c r="G482" s="61"/>
      <c r="H482" s="56"/>
      <c r="I482" s="5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6.25" customHeight="1">
      <c r="A483" s="57"/>
      <c r="B483" s="62"/>
      <c r="C483" s="58" t="str">
        <f>IFERROR(VLOOKUP(B:B,'SALDO ATUAL'!$A$3:$E$9999,3,0),"")</f>
        <v/>
      </c>
      <c r="D483" s="59" t="str">
        <f>IFERROR(VLOOKUP(B:B,'SALDO ATUAL'!$A$3:$E957,4,0),"")</f>
        <v/>
      </c>
      <c r="E483" s="60"/>
      <c r="F483" s="15"/>
      <c r="G483" s="61"/>
      <c r="H483" s="56"/>
      <c r="I483" s="5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6.25" customHeight="1">
      <c r="A484" s="57"/>
      <c r="B484" s="62"/>
      <c r="C484" s="58" t="str">
        <f>IFERROR(VLOOKUP(B:B,'SALDO ATUAL'!$A$3:$E$9999,3,0),"")</f>
        <v/>
      </c>
      <c r="D484" s="59" t="str">
        <f>IFERROR(VLOOKUP(B:B,'SALDO ATUAL'!$A$3:$E958,4,0),"")</f>
        <v/>
      </c>
      <c r="E484" s="60"/>
      <c r="F484" s="15"/>
      <c r="G484" s="61"/>
      <c r="H484" s="56"/>
      <c r="I484" s="5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6.25" customHeight="1">
      <c r="A485" s="57"/>
      <c r="B485" s="62"/>
      <c r="C485" s="58" t="str">
        <f>IFERROR(VLOOKUP(B:B,'SALDO ATUAL'!$A$3:$E$9999,3,0),"")</f>
        <v/>
      </c>
      <c r="D485" s="59" t="str">
        <f>IFERROR(VLOOKUP(B:B,'SALDO ATUAL'!$A$3:$E959,4,0),"")</f>
        <v/>
      </c>
      <c r="E485" s="60"/>
      <c r="F485" s="15"/>
      <c r="G485" s="61"/>
      <c r="H485" s="56"/>
      <c r="I485" s="5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6.25" customHeight="1">
      <c r="A486" s="57"/>
      <c r="B486" s="62"/>
      <c r="C486" s="58" t="str">
        <f>IFERROR(VLOOKUP(B:B,'SALDO ATUAL'!$A$3:$E$9999,3,0),"")</f>
        <v/>
      </c>
      <c r="D486" s="59" t="str">
        <f>IFERROR(VLOOKUP(B:B,'SALDO ATUAL'!$A$3:$E960,4,0),"")</f>
        <v/>
      </c>
      <c r="E486" s="60"/>
      <c r="F486" s="15"/>
      <c r="G486" s="61"/>
      <c r="H486" s="56"/>
      <c r="I486" s="5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6.25" customHeight="1">
      <c r="A487" s="57"/>
      <c r="B487" s="62"/>
      <c r="C487" s="58" t="str">
        <f>IFERROR(VLOOKUP(B:B,'SALDO ATUAL'!$A$3:$E$9999,3,0),"")</f>
        <v/>
      </c>
      <c r="D487" s="59" t="str">
        <f>IFERROR(VLOOKUP(B:B,'SALDO ATUAL'!$A$3:$E961,4,0),"")</f>
        <v/>
      </c>
      <c r="E487" s="60"/>
      <c r="F487" s="15"/>
      <c r="G487" s="61"/>
      <c r="H487" s="56"/>
      <c r="I487" s="5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6.25" customHeight="1">
      <c r="A488" s="57"/>
      <c r="B488" s="62"/>
      <c r="C488" s="58" t="str">
        <f>IFERROR(VLOOKUP(B:B,'SALDO ATUAL'!$A$3:$E$9999,3,0),"")</f>
        <v/>
      </c>
      <c r="D488" s="59" t="str">
        <f>IFERROR(VLOOKUP(B:B,'SALDO ATUAL'!$A$3:$E962,4,0),"")</f>
        <v/>
      </c>
      <c r="E488" s="60"/>
      <c r="F488" s="15"/>
      <c r="G488" s="61"/>
      <c r="H488" s="56"/>
      <c r="I488" s="5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6.25" customHeight="1">
      <c r="A489" s="57"/>
      <c r="B489" s="62"/>
      <c r="C489" s="58" t="str">
        <f>IFERROR(VLOOKUP(B:B,'SALDO ATUAL'!$A$3:$E$9999,3,0),"")</f>
        <v/>
      </c>
      <c r="D489" s="59" t="str">
        <f>IFERROR(VLOOKUP(B:B,'SALDO ATUAL'!$A$3:$E963,4,0),"")</f>
        <v/>
      </c>
      <c r="E489" s="60"/>
      <c r="F489" s="15"/>
      <c r="G489" s="61"/>
      <c r="H489" s="56"/>
      <c r="I489" s="5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6.25" customHeight="1">
      <c r="A490" s="57"/>
      <c r="B490" s="62"/>
      <c r="C490" s="58" t="str">
        <f>IFERROR(VLOOKUP(B:B,'SALDO ATUAL'!$A$3:$E$9999,3,0),"")</f>
        <v/>
      </c>
      <c r="D490" s="59" t="str">
        <f>IFERROR(VLOOKUP(B:B,'SALDO ATUAL'!$A$3:$E964,4,0),"")</f>
        <v/>
      </c>
      <c r="E490" s="60"/>
      <c r="F490" s="15"/>
      <c r="G490" s="61"/>
      <c r="H490" s="56"/>
      <c r="I490" s="5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6.25" customHeight="1">
      <c r="A491" s="57"/>
      <c r="B491" s="62"/>
      <c r="C491" s="58" t="str">
        <f>IFERROR(VLOOKUP(B:B,'SALDO ATUAL'!$A$3:$E$9999,3,0),"")</f>
        <v/>
      </c>
      <c r="D491" s="59" t="str">
        <f>IFERROR(VLOOKUP(B:B,'SALDO ATUAL'!$A$3:$E965,4,0),"")</f>
        <v/>
      </c>
      <c r="E491" s="60"/>
      <c r="F491" s="15"/>
      <c r="G491" s="61"/>
      <c r="H491" s="56"/>
      <c r="I491" s="5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6.25" customHeight="1">
      <c r="A492" s="57"/>
      <c r="B492" s="62"/>
      <c r="C492" s="58" t="str">
        <f>IFERROR(VLOOKUP(B:B,'SALDO ATUAL'!$A$3:$E$9999,3,0),"")</f>
        <v/>
      </c>
      <c r="D492" s="59" t="str">
        <f>IFERROR(VLOOKUP(B:B,'SALDO ATUAL'!$A$3:$E966,4,0),"")</f>
        <v/>
      </c>
      <c r="E492" s="60"/>
      <c r="F492" s="15"/>
      <c r="G492" s="61"/>
      <c r="H492" s="56"/>
      <c r="I492" s="5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6.25" customHeight="1">
      <c r="A493" s="57"/>
      <c r="B493" s="62"/>
      <c r="C493" s="58" t="str">
        <f>IFERROR(VLOOKUP(B:B,'SALDO ATUAL'!$A$3:$E$9999,3,0),"")</f>
        <v/>
      </c>
      <c r="D493" s="59" t="str">
        <f>IFERROR(VLOOKUP(B:B,'SALDO ATUAL'!$A$3:$E967,4,0),"")</f>
        <v/>
      </c>
      <c r="E493" s="60"/>
      <c r="F493" s="15"/>
      <c r="G493" s="61"/>
      <c r="H493" s="56"/>
      <c r="I493" s="5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6.25" customHeight="1">
      <c r="A494" s="57"/>
      <c r="B494" s="62"/>
      <c r="C494" s="58" t="str">
        <f>IFERROR(VLOOKUP(B:B,'SALDO ATUAL'!$A$3:$E$9999,3,0),"")</f>
        <v/>
      </c>
      <c r="D494" s="59" t="str">
        <f>IFERROR(VLOOKUP(B:B,'SALDO ATUAL'!$A$3:$E968,4,0),"")</f>
        <v/>
      </c>
      <c r="E494" s="60"/>
      <c r="F494" s="15"/>
      <c r="G494" s="61"/>
      <c r="H494" s="56"/>
      <c r="I494" s="5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6.25" customHeight="1">
      <c r="A495" s="57"/>
      <c r="B495" s="62"/>
      <c r="C495" s="58" t="str">
        <f>IFERROR(VLOOKUP(B:B,'SALDO ATUAL'!$A$3:$E$9999,3,0),"")</f>
        <v/>
      </c>
      <c r="D495" s="59" t="str">
        <f>IFERROR(VLOOKUP(B:B,'SALDO ATUAL'!$A$3:$E969,4,0),"")</f>
        <v/>
      </c>
      <c r="E495" s="60"/>
      <c r="F495" s="15"/>
      <c r="G495" s="61"/>
      <c r="H495" s="56"/>
      <c r="I495" s="5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6.25" customHeight="1">
      <c r="A496" s="57"/>
      <c r="B496" s="62"/>
      <c r="C496" s="58" t="str">
        <f>IFERROR(VLOOKUP(B:B,'SALDO ATUAL'!$A$3:$E$9999,3,0),"")</f>
        <v/>
      </c>
      <c r="D496" s="59" t="str">
        <f>IFERROR(VLOOKUP(B:B,'SALDO ATUAL'!$A$3:$E970,4,0),"")</f>
        <v/>
      </c>
      <c r="E496" s="60"/>
      <c r="F496" s="15"/>
      <c r="G496" s="61"/>
      <c r="H496" s="56"/>
      <c r="I496" s="5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6.25" customHeight="1">
      <c r="A497" s="57"/>
      <c r="B497" s="62"/>
      <c r="C497" s="58" t="str">
        <f>IFERROR(VLOOKUP(B:B,'SALDO ATUAL'!$A$3:$E$9999,3,0),"")</f>
        <v/>
      </c>
      <c r="D497" s="59" t="str">
        <f>IFERROR(VLOOKUP(B:B,'SALDO ATUAL'!$A$3:$E971,4,0),"")</f>
        <v/>
      </c>
      <c r="E497" s="60"/>
      <c r="F497" s="15"/>
      <c r="G497" s="61"/>
      <c r="H497" s="56"/>
      <c r="I497" s="5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6.25" customHeight="1">
      <c r="A498" s="57"/>
      <c r="B498" s="62"/>
      <c r="C498" s="58" t="str">
        <f>IFERROR(VLOOKUP(B:B,'SALDO ATUAL'!$A$3:$E$9999,3,0),"")</f>
        <v/>
      </c>
      <c r="D498" s="59" t="str">
        <f>IFERROR(VLOOKUP(B:B,'SALDO ATUAL'!$A$3:$E972,4,0),"")</f>
        <v/>
      </c>
      <c r="E498" s="60"/>
      <c r="F498" s="15"/>
      <c r="G498" s="61"/>
      <c r="H498" s="56"/>
      <c r="I498" s="5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6.25" customHeight="1">
      <c r="A499" s="57"/>
      <c r="B499" s="62"/>
      <c r="C499" s="58" t="str">
        <f>IFERROR(VLOOKUP(B:B,'SALDO ATUAL'!$A$3:$E$9999,3,0),"")</f>
        <v/>
      </c>
      <c r="D499" s="59" t="str">
        <f>IFERROR(VLOOKUP(B:B,'SALDO ATUAL'!$A$3:$E973,4,0),"")</f>
        <v/>
      </c>
      <c r="E499" s="60"/>
      <c r="F499" s="15"/>
      <c r="G499" s="61"/>
      <c r="H499" s="56"/>
      <c r="I499" s="5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6.25" customHeight="1">
      <c r="A500" s="57"/>
      <c r="B500" s="62"/>
      <c r="C500" s="58" t="str">
        <f>IFERROR(VLOOKUP(B:B,'SALDO ATUAL'!$A$3:$E$9999,3,0),"")</f>
        <v/>
      </c>
      <c r="D500" s="59" t="str">
        <f>IFERROR(VLOOKUP(B:B,'SALDO ATUAL'!$A$3:$E974,4,0),"")</f>
        <v/>
      </c>
      <c r="E500" s="60"/>
      <c r="F500" s="15"/>
      <c r="G500" s="61"/>
      <c r="H500" s="56"/>
      <c r="I500" s="5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6.25" customHeight="1">
      <c r="A501" s="57"/>
      <c r="B501" s="62"/>
      <c r="C501" s="58" t="str">
        <f>IFERROR(VLOOKUP(B:B,'SALDO ATUAL'!$A$3:$E$9999,3,0),"")</f>
        <v/>
      </c>
      <c r="D501" s="59" t="str">
        <f>IFERROR(VLOOKUP(B:B,'SALDO ATUAL'!$A$3:$E975,4,0),"")</f>
        <v/>
      </c>
      <c r="E501" s="60"/>
      <c r="F501" s="15"/>
      <c r="G501" s="61"/>
      <c r="H501" s="56"/>
      <c r="I501" s="5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6.25" customHeight="1">
      <c r="A502" s="57"/>
      <c r="B502" s="62"/>
      <c r="C502" s="58" t="str">
        <f>IFERROR(VLOOKUP(B:B,'SALDO ATUAL'!$A$3:$E$9999,3,0),"")</f>
        <v/>
      </c>
      <c r="D502" s="59" t="str">
        <f>IFERROR(VLOOKUP(B:B,'SALDO ATUAL'!$A$3:$E976,4,0),"")</f>
        <v/>
      </c>
      <c r="E502" s="60"/>
      <c r="F502" s="15"/>
      <c r="G502" s="61"/>
      <c r="H502" s="56"/>
      <c r="I502" s="5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6.25" customHeight="1">
      <c r="A503" s="57"/>
      <c r="B503" s="62"/>
      <c r="C503" s="58" t="str">
        <f>IFERROR(VLOOKUP(B:B,'SALDO ATUAL'!$A$3:$E$9999,3,0),"")</f>
        <v/>
      </c>
      <c r="D503" s="59" t="str">
        <f>IFERROR(VLOOKUP(B:B,'SALDO ATUAL'!$A$3:$E977,4,0),"")</f>
        <v/>
      </c>
      <c r="E503" s="60"/>
      <c r="F503" s="15"/>
      <c r="G503" s="61"/>
      <c r="H503" s="56"/>
      <c r="I503" s="5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6.25" customHeight="1">
      <c r="A504" s="57"/>
      <c r="B504" s="62"/>
      <c r="C504" s="58" t="str">
        <f>IFERROR(VLOOKUP(B:B,'SALDO ATUAL'!$A$3:$E$9999,3,0),"")</f>
        <v/>
      </c>
      <c r="D504" s="59" t="str">
        <f>IFERROR(VLOOKUP(B:B,'SALDO ATUAL'!$A$3:$E978,4,0),"")</f>
        <v/>
      </c>
      <c r="E504" s="60"/>
      <c r="F504" s="15"/>
      <c r="G504" s="61"/>
      <c r="H504" s="56"/>
      <c r="I504" s="5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6.25" customHeight="1">
      <c r="A505" s="57"/>
      <c r="B505" s="62"/>
      <c r="C505" s="58" t="str">
        <f>IFERROR(VLOOKUP(B:B,'SALDO ATUAL'!$A$3:$E$9999,3,0),"")</f>
        <v/>
      </c>
      <c r="D505" s="59" t="str">
        <f>IFERROR(VLOOKUP(B:B,'SALDO ATUAL'!$A$3:$E979,4,0),"")</f>
        <v/>
      </c>
      <c r="E505" s="60"/>
      <c r="F505" s="15"/>
      <c r="G505" s="61"/>
      <c r="H505" s="56"/>
      <c r="I505" s="5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6.25" customHeight="1">
      <c r="A506" s="57"/>
      <c r="B506" s="62"/>
      <c r="C506" s="58" t="str">
        <f>IFERROR(VLOOKUP(B:B,'SALDO ATUAL'!$A$3:$E$9999,3,0),"")</f>
        <v/>
      </c>
      <c r="D506" s="59" t="str">
        <f>IFERROR(VLOOKUP(B:B,'SALDO ATUAL'!$A$3:$E980,4,0),"")</f>
        <v/>
      </c>
      <c r="E506" s="60"/>
      <c r="F506" s="15"/>
      <c r="G506" s="61"/>
      <c r="H506" s="56"/>
      <c r="I506" s="5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6.25" customHeight="1">
      <c r="A507" s="57"/>
      <c r="B507" s="62"/>
      <c r="C507" s="58" t="str">
        <f>IFERROR(VLOOKUP(B:B,'SALDO ATUAL'!$A$3:$E$9999,3,0),"")</f>
        <v/>
      </c>
      <c r="D507" s="59" t="str">
        <f>IFERROR(VLOOKUP(B:B,'SALDO ATUAL'!$A$3:$E981,4,0),"")</f>
        <v/>
      </c>
      <c r="E507" s="60"/>
      <c r="F507" s="15"/>
      <c r="G507" s="61"/>
      <c r="H507" s="56"/>
      <c r="I507" s="5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6.25" customHeight="1">
      <c r="A508" s="57"/>
      <c r="B508" s="62"/>
      <c r="C508" s="58" t="str">
        <f>IFERROR(VLOOKUP(B:B,'SALDO ATUAL'!$A$3:$E$9999,3,0),"")</f>
        <v/>
      </c>
      <c r="D508" s="59" t="str">
        <f>IFERROR(VLOOKUP(B:B,'SALDO ATUAL'!$A$3:$E982,4,0),"")</f>
        <v/>
      </c>
      <c r="E508" s="60"/>
      <c r="F508" s="15"/>
      <c r="G508" s="61"/>
      <c r="H508" s="56"/>
      <c r="I508" s="5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6.25" customHeight="1">
      <c r="A509" s="57"/>
      <c r="B509" s="62"/>
      <c r="C509" s="58" t="str">
        <f>IFERROR(VLOOKUP(B:B,'SALDO ATUAL'!$A$3:$E$9999,3,0),"")</f>
        <v/>
      </c>
      <c r="D509" s="59" t="str">
        <f>IFERROR(VLOOKUP(B:B,'SALDO ATUAL'!$A$3:$E983,4,0),"")</f>
        <v/>
      </c>
      <c r="E509" s="60"/>
      <c r="F509" s="15"/>
      <c r="G509" s="61"/>
      <c r="H509" s="56"/>
      <c r="I509" s="5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6.25" customHeight="1">
      <c r="A510" s="57"/>
      <c r="B510" s="62"/>
      <c r="C510" s="58" t="str">
        <f>IFERROR(VLOOKUP(B:B,'SALDO ATUAL'!$A$3:$E$9999,3,0),"")</f>
        <v/>
      </c>
      <c r="D510" s="59" t="str">
        <f>IFERROR(VLOOKUP(B:B,'SALDO ATUAL'!$A$3:$E984,4,0),"")</f>
        <v/>
      </c>
      <c r="E510" s="60"/>
      <c r="F510" s="15"/>
      <c r="G510" s="61"/>
      <c r="H510" s="56"/>
      <c r="I510" s="5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6.25" customHeight="1">
      <c r="A511" s="57"/>
      <c r="B511" s="62"/>
      <c r="C511" s="58" t="str">
        <f>IFERROR(VLOOKUP(B:B,'SALDO ATUAL'!$A$3:$E$9999,3,0),"")</f>
        <v/>
      </c>
      <c r="D511" s="59" t="str">
        <f>IFERROR(VLOOKUP(B:B,'SALDO ATUAL'!$A$3:$E985,4,0),"")</f>
        <v/>
      </c>
      <c r="E511" s="60"/>
      <c r="F511" s="15"/>
      <c r="G511" s="61"/>
      <c r="H511" s="56"/>
      <c r="I511" s="5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6.25" customHeight="1">
      <c r="A512" s="57"/>
      <c r="B512" s="62"/>
      <c r="C512" s="58" t="str">
        <f>IFERROR(VLOOKUP(B:B,'SALDO ATUAL'!$A$3:$E$9999,3,0),"")</f>
        <v/>
      </c>
      <c r="D512" s="59" t="str">
        <f>IFERROR(VLOOKUP(B:B,'SALDO ATUAL'!$A$3:$E986,4,0),"")</f>
        <v/>
      </c>
      <c r="E512" s="60"/>
      <c r="F512" s="15"/>
      <c r="G512" s="61"/>
      <c r="H512" s="56"/>
      <c r="I512" s="5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6.25" customHeight="1">
      <c r="A513" s="57"/>
      <c r="B513" s="62"/>
      <c r="C513" s="58" t="str">
        <f>IFERROR(VLOOKUP(B:B,'SALDO ATUAL'!$A$3:$E$9999,3,0),"")</f>
        <v/>
      </c>
      <c r="D513" s="59" t="str">
        <f>IFERROR(VLOOKUP(B:B,'SALDO ATUAL'!$A$3:$E987,4,0),"")</f>
        <v/>
      </c>
      <c r="E513" s="60"/>
      <c r="F513" s="15"/>
      <c r="G513" s="61"/>
      <c r="H513" s="56"/>
      <c r="I513" s="5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6.25" customHeight="1">
      <c r="A514" s="57"/>
      <c r="B514" s="62"/>
      <c r="C514" s="58" t="str">
        <f>IFERROR(VLOOKUP(B:B,'SALDO ATUAL'!$A$3:$E$9999,3,0),"")</f>
        <v/>
      </c>
      <c r="D514" s="59" t="str">
        <f>IFERROR(VLOOKUP(B:B,'SALDO ATUAL'!$A$3:$E988,4,0),"")</f>
        <v/>
      </c>
      <c r="E514" s="60"/>
      <c r="F514" s="15"/>
      <c r="G514" s="61"/>
      <c r="H514" s="56"/>
      <c r="I514" s="5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6.25" customHeight="1">
      <c r="A515" s="57"/>
      <c r="B515" s="62"/>
      <c r="C515" s="58" t="str">
        <f>IFERROR(VLOOKUP(B:B,'SALDO ATUAL'!$A$3:$E$9999,3,0),"")</f>
        <v/>
      </c>
      <c r="D515" s="59" t="str">
        <f>IFERROR(VLOOKUP(B:B,'SALDO ATUAL'!$A$3:$E989,4,0),"")</f>
        <v/>
      </c>
      <c r="E515" s="60"/>
      <c r="F515" s="15"/>
      <c r="G515" s="61"/>
      <c r="H515" s="56"/>
      <c r="I515" s="5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6.25" customHeight="1">
      <c r="A516" s="57"/>
      <c r="B516" s="62"/>
      <c r="C516" s="58" t="str">
        <f>IFERROR(VLOOKUP(B:B,'SALDO ATUAL'!$A$3:$E$9999,3,0),"")</f>
        <v/>
      </c>
      <c r="D516" s="59" t="str">
        <f>IFERROR(VLOOKUP(B:B,'SALDO ATUAL'!$A$3:$E990,4,0),"")</f>
        <v/>
      </c>
      <c r="E516" s="60"/>
      <c r="F516" s="15"/>
      <c r="G516" s="61"/>
      <c r="H516" s="56"/>
      <c r="I516" s="5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6.25" customHeight="1">
      <c r="A517" s="57"/>
      <c r="B517" s="62"/>
      <c r="C517" s="58" t="str">
        <f>IFERROR(VLOOKUP(B:B,'SALDO ATUAL'!$A$3:$E$9999,3,0),"")</f>
        <v/>
      </c>
      <c r="D517" s="59" t="str">
        <f>IFERROR(VLOOKUP(B:B,'SALDO ATUAL'!$A$3:$E991,4,0),"")</f>
        <v/>
      </c>
      <c r="E517" s="60"/>
      <c r="F517" s="15"/>
      <c r="G517" s="61"/>
      <c r="H517" s="56"/>
      <c r="I517" s="5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6.25" customHeight="1">
      <c r="A518" s="57"/>
      <c r="B518" s="62"/>
      <c r="C518" s="58" t="str">
        <f>IFERROR(VLOOKUP(B:B,'SALDO ATUAL'!$A$3:$E$9999,3,0),"")</f>
        <v/>
      </c>
      <c r="D518" s="59" t="str">
        <f>IFERROR(VLOOKUP(B:B,'SALDO ATUAL'!$A$3:$E992,4,0),"")</f>
        <v/>
      </c>
      <c r="E518" s="60"/>
      <c r="F518" s="15"/>
      <c r="G518" s="61"/>
      <c r="H518" s="56"/>
      <c r="I518" s="5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6.25" customHeight="1">
      <c r="A519" s="57"/>
      <c r="B519" s="62"/>
      <c r="C519" s="58" t="str">
        <f>IFERROR(VLOOKUP(B:B,'SALDO ATUAL'!$A$3:$E$9999,3,0),"")</f>
        <v/>
      </c>
      <c r="D519" s="59" t="str">
        <f>IFERROR(VLOOKUP(B:B,'SALDO ATUAL'!$A$3:$E993,4,0),"")</f>
        <v/>
      </c>
      <c r="E519" s="60"/>
      <c r="F519" s="15"/>
      <c r="G519" s="61"/>
      <c r="H519" s="56"/>
      <c r="I519" s="5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6.25" customHeight="1">
      <c r="A520" s="57"/>
      <c r="B520" s="62"/>
      <c r="C520" s="58" t="str">
        <f>IFERROR(VLOOKUP(B:B,'SALDO ATUAL'!$A$3:$E$9999,3,0),"")</f>
        <v/>
      </c>
      <c r="D520" s="59" t="str">
        <f>IFERROR(VLOOKUP(B:B,'SALDO ATUAL'!$A$3:$E994,4,0),"")</f>
        <v/>
      </c>
      <c r="E520" s="60"/>
      <c r="F520" s="15"/>
      <c r="G520" s="61"/>
      <c r="H520" s="56"/>
      <c r="I520" s="5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6.25" customHeight="1">
      <c r="A521" s="57"/>
      <c r="B521" s="62"/>
      <c r="C521" s="58" t="str">
        <f>IFERROR(VLOOKUP(B:B,'SALDO ATUAL'!$A$3:$E$9999,3,0),"")</f>
        <v/>
      </c>
      <c r="D521" s="59" t="str">
        <f>IFERROR(VLOOKUP(B:B,'SALDO ATUAL'!$A$3:$E995,4,0),"")</f>
        <v/>
      </c>
      <c r="E521" s="60"/>
      <c r="F521" s="15"/>
      <c r="G521" s="61"/>
      <c r="H521" s="56"/>
      <c r="I521" s="5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6.25" customHeight="1">
      <c r="A522" s="57"/>
      <c r="B522" s="62"/>
      <c r="C522" s="58" t="str">
        <f>IFERROR(VLOOKUP(B:B,'SALDO ATUAL'!$A$3:$E$9999,3,0),"")</f>
        <v/>
      </c>
      <c r="D522" s="59" t="str">
        <f>IFERROR(VLOOKUP(B:B,'SALDO ATUAL'!$A$3:$E996,4,0),"")</f>
        <v/>
      </c>
      <c r="E522" s="60"/>
      <c r="F522" s="15"/>
      <c r="G522" s="61"/>
      <c r="H522" s="56"/>
      <c r="I522" s="5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6.25" customHeight="1">
      <c r="A523" s="57"/>
      <c r="B523" s="62"/>
      <c r="C523" s="58" t="str">
        <f>IFERROR(VLOOKUP(B:B,'SALDO ATUAL'!$A$3:$E$9999,3,0),"")</f>
        <v/>
      </c>
      <c r="D523" s="59" t="str">
        <f>IFERROR(VLOOKUP(B:B,'SALDO ATUAL'!$A$3:$E997,4,0),"")</f>
        <v/>
      </c>
      <c r="E523" s="60"/>
      <c r="F523" s="15"/>
      <c r="G523" s="61"/>
      <c r="H523" s="56"/>
      <c r="I523" s="5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6.25" customHeight="1">
      <c r="A524" s="57"/>
      <c r="B524" s="62"/>
      <c r="C524" s="58" t="str">
        <f>IFERROR(VLOOKUP(B:B,'SALDO ATUAL'!$A$3:$E$9999,3,0),"")</f>
        <v/>
      </c>
      <c r="D524" s="59" t="str">
        <f>IFERROR(VLOOKUP(B:B,'SALDO ATUAL'!$A$3:$E998,4,0),"")</f>
        <v/>
      </c>
      <c r="E524" s="60"/>
      <c r="F524" s="15"/>
      <c r="G524" s="61"/>
      <c r="H524" s="56"/>
      <c r="I524" s="5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6.25" customHeight="1">
      <c r="A525" s="57"/>
      <c r="B525" s="62"/>
      <c r="C525" s="58" t="str">
        <f>IFERROR(VLOOKUP(B:B,'SALDO ATUAL'!$A$3:$E$9999,3,0),"")</f>
        <v/>
      </c>
      <c r="D525" s="59" t="str">
        <f>IFERROR(VLOOKUP(B:B,'SALDO ATUAL'!$A$3:$E999,4,0),"")</f>
        <v/>
      </c>
      <c r="E525" s="60"/>
      <c r="F525" s="15"/>
      <c r="G525" s="61"/>
      <c r="H525" s="56"/>
      <c r="I525" s="5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6.25" customHeight="1">
      <c r="A526" s="57"/>
      <c r="B526" s="62"/>
      <c r="C526" s="58" t="str">
        <f>IFERROR(VLOOKUP(B:B,'SALDO ATUAL'!$A$3:$E$9999,3,0),"")</f>
        <v/>
      </c>
      <c r="D526" s="59" t="str">
        <f>IFERROR(VLOOKUP(B:B,'SALDO ATUAL'!$A$3:$E1000,4,0),"")</f>
        <v/>
      </c>
      <c r="E526" s="60"/>
      <c r="F526" s="15"/>
      <c r="G526" s="61"/>
      <c r="H526" s="56"/>
      <c r="I526" s="5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6.25" customHeight="1">
      <c r="A527" s="57"/>
      <c r="B527" s="62"/>
      <c r="C527" s="58" t="str">
        <f>IFERROR(VLOOKUP(B:B,'SALDO ATUAL'!$A$3:$E$9999,3,0),"")</f>
        <v/>
      </c>
      <c r="D527" s="59" t="str">
        <f>IFERROR(VLOOKUP(B:B,'SALDO ATUAL'!$A$3:$E1001,4,0),"")</f>
        <v/>
      </c>
      <c r="E527" s="60"/>
      <c r="F527" s="15"/>
      <c r="G527" s="61"/>
      <c r="H527" s="56"/>
      <c r="I527" s="5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6.25" customHeight="1">
      <c r="A528" s="57"/>
      <c r="B528" s="62"/>
      <c r="C528" s="58" t="str">
        <f>IFERROR(VLOOKUP(B:B,'SALDO ATUAL'!$A$3:$E$9999,3,0),"")</f>
        <v/>
      </c>
      <c r="D528" s="59" t="str">
        <f>IFERROR(VLOOKUP(B:B,'SALDO ATUAL'!$A$3:$E1002,4,0),"")</f>
        <v/>
      </c>
      <c r="E528" s="60"/>
      <c r="F528" s="15"/>
      <c r="G528" s="61"/>
      <c r="H528" s="56"/>
      <c r="I528" s="5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6.25" customHeight="1">
      <c r="A529" s="57"/>
      <c r="B529" s="62"/>
      <c r="C529" s="58" t="str">
        <f>IFERROR(VLOOKUP(B:B,'SALDO ATUAL'!$A$3:$E$9999,3,0),"")</f>
        <v/>
      </c>
      <c r="D529" s="59" t="str">
        <f>IFERROR(VLOOKUP(B:B,'SALDO ATUAL'!$A$3:$E1003,4,0),"")</f>
        <v/>
      </c>
      <c r="E529" s="60"/>
      <c r="F529" s="15"/>
      <c r="G529" s="61"/>
      <c r="H529" s="56"/>
      <c r="I529" s="5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6.25" customHeight="1">
      <c r="A530" s="57"/>
      <c r="B530" s="62"/>
      <c r="C530" s="58" t="str">
        <f>IFERROR(VLOOKUP(B:B,'SALDO ATUAL'!$A$3:$E$9999,3,0),"")</f>
        <v/>
      </c>
      <c r="D530" s="59" t="str">
        <f>IFERROR(VLOOKUP(B:B,'SALDO ATUAL'!$A$3:$E1004,4,0),"")</f>
        <v/>
      </c>
      <c r="E530" s="60"/>
      <c r="F530" s="15"/>
      <c r="G530" s="61"/>
      <c r="H530" s="56"/>
      <c r="I530" s="5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6.25" customHeight="1">
      <c r="A531" s="57"/>
      <c r="B531" s="62"/>
      <c r="C531" s="58" t="str">
        <f>IFERROR(VLOOKUP(B:B,'SALDO ATUAL'!$A$3:$E$9999,3,0),"")</f>
        <v/>
      </c>
      <c r="D531" s="59" t="str">
        <f>IFERROR(VLOOKUP(B:B,'SALDO ATUAL'!$A$3:$E1005,4,0),"")</f>
        <v/>
      </c>
      <c r="E531" s="60"/>
      <c r="F531" s="15"/>
      <c r="G531" s="61"/>
      <c r="H531" s="56"/>
      <c r="I531" s="5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6.25" customHeight="1">
      <c r="A532" s="57"/>
      <c r="B532" s="62"/>
      <c r="C532" s="58" t="str">
        <f>IFERROR(VLOOKUP(B:B,'SALDO ATUAL'!$A$3:$E$9999,3,0),"")</f>
        <v/>
      </c>
      <c r="D532" s="59" t="str">
        <f>IFERROR(VLOOKUP(B:B,'SALDO ATUAL'!$A$3:$E1006,4,0),"")</f>
        <v/>
      </c>
      <c r="E532" s="60"/>
      <c r="F532" s="15"/>
      <c r="G532" s="61"/>
      <c r="H532" s="56"/>
      <c r="I532" s="5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6.25" customHeight="1">
      <c r="A533" s="57"/>
      <c r="B533" s="62"/>
      <c r="C533" s="58" t="str">
        <f>IFERROR(VLOOKUP(B:B,'SALDO ATUAL'!$A$3:$E$9999,3,0),"")</f>
        <v/>
      </c>
      <c r="D533" s="59" t="str">
        <f>IFERROR(VLOOKUP(B:B,'SALDO ATUAL'!$A$3:$E1007,4,0),"")</f>
        <v/>
      </c>
      <c r="E533" s="60"/>
      <c r="F533" s="15"/>
      <c r="G533" s="61"/>
      <c r="H533" s="56"/>
      <c r="I533" s="5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6.25" customHeight="1">
      <c r="A534" s="57"/>
      <c r="B534" s="62"/>
      <c r="C534" s="58" t="str">
        <f>IFERROR(VLOOKUP(B:B,'SALDO ATUAL'!$A$3:$E$9999,3,0),"")</f>
        <v/>
      </c>
      <c r="D534" s="59" t="str">
        <f>IFERROR(VLOOKUP(B:B,'SALDO ATUAL'!$A$3:$E1008,4,0),"")</f>
        <v/>
      </c>
      <c r="E534" s="60"/>
      <c r="F534" s="15"/>
      <c r="G534" s="61"/>
      <c r="H534" s="56"/>
      <c r="I534" s="5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6.25" customHeight="1">
      <c r="A535" s="57"/>
      <c r="B535" s="62"/>
      <c r="C535" s="58" t="str">
        <f>IFERROR(VLOOKUP(B:B,'SALDO ATUAL'!$A$3:$E$9999,3,0),"")</f>
        <v/>
      </c>
      <c r="D535" s="59" t="str">
        <f>IFERROR(VLOOKUP(B:B,'SALDO ATUAL'!$A$3:$E1009,4,0),"")</f>
        <v/>
      </c>
      <c r="E535" s="60"/>
      <c r="F535" s="15"/>
      <c r="G535" s="61"/>
      <c r="H535" s="56"/>
      <c r="I535" s="5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6.25" customHeight="1">
      <c r="A536" s="57"/>
      <c r="B536" s="62"/>
      <c r="C536" s="58" t="str">
        <f>IFERROR(VLOOKUP(B:B,'SALDO ATUAL'!$A$3:$E$9999,3,0),"")</f>
        <v/>
      </c>
      <c r="D536" s="59" t="str">
        <f>IFERROR(VLOOKUP(B:B,'SALDO ATUAL'!$A$3:$E1010,4,0),"")</f>
        <v/>
      </c>
      <c r="E536" s="60"/>
      <c r="F536" s="15"/>
      <c r="G536" s="61"/>
      <c r="H536" s="56"/>
      <c r="I536" s="5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6.25" customHeight="1">
      <c r="A537" s="57"/>
      <c r="B537" s="62"/>
      <c r="C537" s="58" t="str">
        <f>IFERROR(VLOOKUP(B:B,'SALDO ATUAL'!$A$3:$E$9999,3,0),"")</f>
        <v/>
      </c>
      <c r="D537" s="59" t="str">
        <f>IFERROR(VLOOKUP(B:B,'SALDO ATUAL'!$A$3:$E1011,4,0),"")</f>
        <v/>
      </c>
      <c r="E537" s="60"/>
      <c r="F537" s="15"/>
      <c r="G537" s="61"/>
      <c r="H537" s="56"/>
      <c r="I537" s="5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6.25" customHeight="1">
      <c r="A538" s="57"/>
      <c r="B538" s="62"/>
      <c r="C538" s="58" t="str">
        <f>IFERROR(VLOOKUP(B:B,'SALDO ATUAL'!$A$3:$E$9999,3,0),"")</f>
        <v/>
      </c>
      <c r="D538" s="59" t="str">
        <f>IFERROR(VLOOKUP(B:B,'SALDO ATUAL'!$A$3:$E1012,4,0),"")</f>
        <v/>
      </c>
      <c r="E538" s="60"/>
      <c r="F538" s="15"/>
      <c r="G538" s="61"/>
      <c r="H538" s="56"/>
      <c r="I538" s="5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6.25" customHeight="1">
      <c r="A539" s="57"/>
      <c r="B539" s="62"/>
      <c r="C539" s="58" t="str">
        <f>IFERROR(VLOOKUP(B:B,'SALDO ATUAL'!$A$3:$E$9999,3,0),"")</f>
        <v/>
      </c>
      <c r="D539" s="59" t="str">
        <f>IFERROR(VLOOKUP(B:B,'SALDO ATUAL'!$A$3:$E1013,4,0),"")</f>
        <v/>
      </c>
      <c r="E539" s="60"/>
      <c r="F539" s="15"/>
      <c r="G539" s="61"/>
      <c r="H539" s="56"/>
      <c r="I539" s="5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6.25" customHeight="1">
      <c r="A540" s="57"/>
      <c r="B540" s="62"/>
      <c r="C540" s="58" t="str">
        <f>IFERROR(VLOOKUP(B:B,'SALDO ATUAL'!$A$3:$E$9999,3,0),"")</f>
        <v/>
      </c>
      <c r="D540" s="59" t="str">
        <f>IFERROR(VLOOKUP(B:B,'SALDO ATUAL'!$A$3:$E1014,4,0),"")</f>
        <v/>
      </c>
      <c r="E540" s="60"/>
      <c r="F540" s="15"/>
      <c r="G540" s="61"/>
      <c r="H540" s="56"/>
      <c r="I540" s="5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6.25" customHeight="1">
      <c r="A541" s="57"/>
      <c r="B541" s="62"/>
      <c r="C541" s="58" t="str">
        <f>IFERROR(VLOOKUP(B:B,'SALDO ATUAL'!$A$3:$E$9999,3,0),"")</f>
        <v/>
      </c>
      <c r="D541" s="59" t="str">
        <f>IFERROR(VLOOKUP(B:B,'SALDO ATUAL'!$A$3:$E1015,4,0),"")</f>
        <v/>
      </c>
      <c r="E541" s="60"/>
      <c r="F541" s="15"/>
      <c r="G541" s="61"/>
      <c r="H541" s="56"/>
      <c r="I541" s="5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6.25" customHeight="1">
      <c r="A542" s="57"/>
      <c r="B542" s="62"/>
      <c r="C542" s="58" t="str">
        <f>IFERROR(VLOOKUP(B:B,'SALDO ATUAL'!$A$3:$E$9999,3,0),"")</f>
        <v/>
      </c>
      <c r="D542" s="59" t="str">
        <f>IFERROR(VLOOKUP(B:B,'SALDO ATUAL'!$A$3:$E1016,4,0),"")</f>
        <v/>
      </c>
      <c r="E542" s="60"/>
      <c r="F542" s="15"/>
      <c r="G542" s="61"/>
      <c r="H542" s="56"/>
      <c r="I542" s="5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6.25" customHeight="1">
      <c r="A543" s="57"/>
      <c r="B543" s="62"/>
      <c r="C543" s="58" t="str">
        <f>IFERROR(VLOOKUP(B:B,'SALDO ATUAL'!$A$3:$E$9999,3,0),"")</f>
        <v/>
      </c>
      <c r="D543" s="59" t="str">
        <f>IFERROR(VLOOKUP(B:B,'SALDO ATUAL'!$A$3:$E1017,4,0),"")</f>
        <v/>
      </c>
      <c r="E543" s="60"/>
      <c r="F543" s="15"/>
      <c r="G543" s="61"/>
      <c r="H543" s="56"/>
      <c r="I543" s="5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6.25" customHeight="1">
      <c r="A544" s="57"/>
      <c r="B544" s="62"/>
      <c r="C544" s="58" t="str">
        <f>IFERROR(VLOOKUP(B:B,'SALDO ATUAL'!$A$3:$E$9999,3,0),"")</f>
        <v/>
      </c>
      <c r="D544" s="59" t="str">
        <f>IFERROR(VLOOKUP(B:B,'SALDO ATUAL'!$A$3:$E1018,4,0),"")</f>
        <v/>
      </c>
      <c r="E544" s="60"/>
      <c r="F544" s="15"/>
      <c r="G544" s="61"/>
      <c r="H544" s="56"/>
      <c r="I544" s="5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6.25" customHeight="1">
      <c r="A545" s="57"/>
      <c r="B545" s="62"/>
      <c r="C545" s="58" t="str">
        <f>IFERROR(VLOOKUP(B:B,'SALDO ATUAL'!$A$3:$E$9999,3,0),"")</f>
        <v/>
      </c>
      <c r="D545" s="59" t="str">
        <f>IFERROR(VLOOKUP(B:B,'SALDO ATUAL'!$A$3:$E1019,4,0),"")</f>
        <v/>
      </c>
      <c r="E545" s="60"/>
      <c r="F545" s="15"/>
      <c r="G545" s="61"/>
      <c r="H545" s="56"/>
      <c r="I545" s="5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6.25" customHeight="1">
      <c r="A546" s="57"/>
      <c r="B546" s="62"/>
      <c r="C546" s="58" t="str">
        <f>IFERROR(VLOOKUP(B:B,'SALDO ATUAL'!$A$3:$E$9999,3,0),"")</f>
        <v/>
      </c>
      <c r="D546" s="59" t="str">
        <f>IFERROR(VLOOKUP(B:B,'SALDO ATUAL'!$A$3:$E1020,4,0),"")</f>
        <v/>
      </c>
      <c r="E546" s="60"/>
      <c r="F546" s="15"/>
      <c r="G546" s="61"/>
      <c r="H546" s="56"/>
      <c r="I546" s="5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6.25" customHeight="1">
      <c r="A547" s="57"/>
      <c r="B547" s="62"/>
      <c r="C547" s="58" t="str">
        <f>IFERROR(VLOOKUP(B:B,'SALDO ATUAL'!$A$3:$E$9999,3,0),"")</f>
        <v/>
      </c>
      <c r="D547" s="59" t="str">
        <f>IFERROR(VLOOKUP(B:B,'SALDO ATUAL'!$A$3:$E1021,4,0),"")</f>
        <v/>
      </c>
      <c r="E547" s="60"/>
      <c r="F547" s="15"/>
      <c r="G547" s="61"/>
      <c r="H547" s="56"/>
      <c r="I547" s="5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6.25" customHeight="1">
      <c r="A548" s="57"/>
      <c r="B548" s="62"/>
      <c r="C548" s="58" t="str">
        <f>IFERROR(VLOOKUP(B:B,'SALDO ATUAL'!$A$3:$E$9999,3,0),"")</f>
        <v/>
      </c>
      <c r="D548" s="59" t="str">
        <f>IFERROR(VLOOKUP(B:B,'SALDO ATUAL'!$A$3:$E1022,4,0),"")</f>
        <v/>
      </c>
      <c r="E548" s="60"/>
      <c r="F548" s="15"/>
      <c r="G548" s="61"/>
      <c r="H548" s="56"/>
      <c r="I548" s="5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6.25" customHeight="1">
      <c r="A549" s="57"/>
      <c r="B549" s="62"/>
      <c r="C549" s="58" t="str">
        <f>IFERROR(VLOOKUP(B:B,'SALDO ATUAL'!$A$3:$E$9999,3,0),"")</f>
        <v/>
      </c>
      <c r="D549" s="59" t="str">
        <f>IFERROR(VLOOKUP(B:B,'SALDO ATUAL'!$A$3:$E1023,4,0),"")</f>
        <v/>
      </c>
      <c r="E549" s="60"/>
      <c r="F549" s="15"/>
      <c r="G549" s="61"/>
      <c r="H549" s="56"/>
      <c r="I549" s="5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6.25" customHeight="1">
      <c r="A550" s="57"/>
      <c r="B550" s="62"/>
      <c r="C550" s="58" t="str">
        <f>IFERROR(VLOOKUP(B:B,'SALDO ATUAL'!$A$3:$E$9999,3,0),"")</f>
        <v/>
      </c>
      <c r="D550" s="59" t="str">
        <f>IFERROR(VLOOKUP(B:B,'SALDO ATUAL'!$A$3:$E1024,4,0),"")</f>
        <v/>
      </c>
      <c r="E550" s="60"/>
      <c r="F550" s="15"/>
      <c r="G550" s="61"/>
      <c r="H550" s="56"/>
      <c r="I550" s="5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6.25" customHeight="1">
      <c r="A551" s="57"/>
      <c r="B551" s="62"/>
      <c r="C551" s="58" t="str">
        <f>IFERROR(VLOOKUP(B:B,'SALDO ATUAL'!$A$3:$E$9999,3,0),"")</f>
        <v/>
      </c>
      <c r="D551" s="59" t="str">
        <f>IFERROR(VLOOKUP(B:B,'SALDO ATUAL'!$A$3:$E1025,4,0),"")</f>
        <v/>
      </c>
      <c r="E551" s="60"/>
      <c r="F551" s="15"/>
      <c r="G551" s="61"/>
      <c r="H551" s="56"/>
      <c r="I551" s="5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6.25" customHeight="1">
      <c r="A552" s="57"/>
      <c r="B552" s="62"/>
      <c r="C552" s="58" t="str">
        <f>IFERROR(VLOOKUP(B:B,'SALDO ATUAL'!$A$3:$E$9999,3,0),"")</f>
        <v/>
      </c>
      <c r="D552" s="59" t="str">
        <f>IFERROR(VLOOKUP(B:B,'SALDO ATUAL'!$A$3:$E1026,4,0),"")</f>
        <v/>
      </c>
      <c r="E552" s="60"/>
      <c r="F552" s="15"/>
      <c r="G552" s="61"/>
      <c r="H552" s="56"/>
      <c r="I552" s="5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6.25" customHeight="1">
      <c r="A553" s="57"/>
      <c r="B553" s="62"/>
      <c r="C553" s="58" t="str">
        <f>IFERROR(VLOOKUP(B:B,'SALDO ATUAL'!$A$3:$E$9999,3,0),"")</f>
        <v/>
      </c>
      <c r="D553" s="59" t="str">
        <f>IFERROR(VLOOKUP(B:B,'SALDO ATUAL'!$A$3:$E1027,4,0),"")</f>
        <v/>
      </c>
      <c r="E553" s="60"/>
      <c r="F553" s="15"/>
      <c r="G553" s="61"/>
      <c r="H553" s="56"/>
      <c r="I553" s="5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6.25" customHeight="1">
      <c r="A554" s="57"/>
      <c r="B554" s="62"/>
      <c r="C554" s="58" t="str">
        <f>IFERROR(VLOOKUP(B:B,'SALDO ATUAL'!$A$3:$E$9999,3,0),"")</f>
        <v/>
      </c>
      <c r="D554" s="59" t="str">
        <f>IFERROR(VLOOKUP(B:B,'SALDO ATUAL'!$A$3:$E1028,4,0),"")</f>
        <v/>
      </c>
      <c r="E554" s="60"/>
      <c r="F554" s="15"/>
      <c r="G554" s="61"/>
      <c r="H554" s="56"/>
      <c r="I554" s="5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6.25" customHeight="1">
      <c r="A555" s="57"/>
      <c r="B555" s="62"/>
      <c r="C555" s="58" t="str">
        <f>IFERROR(VLOOKUP(B:B,'SALDO ATUAL'!$A$3:$E$9999,3,0),"")</f>
        <v/>
      </c>
      <c r="D555" s="59" t="str">
        <f>IFERROR(VLOOKUP(B:B,'SALDO ATUAL'!$A$3:$E1029,4,0),"")</f>
        <v/>
      </c>
      <c r="E555" s="60"/>
      <c r="F555" s="15"/>
      <c r="G555" s="61"/>
      <c r="H555" s="56"/>
      <c r="I555" s="5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6.25" customHeight="1">
      <c r="A556" s="57"/>
      <c r="B556" s="62"/>
      <c r="C556" s="58" t="str">
        <f>IFERROR(VLOOKUP(B:B,'SALDO ATUAL'!$A$3:$E$9999,3,0),"")</f>
        <v/>
      </c>
      <c r="D556" s="59" t="str">
        <f>IFERROR(VLOOKUP(B:B,'SALDO ATUAL'!$A$3:$E1030,4,0),"")</f>
        <v/>
      </c>
      <c r="E556" s="60"/>
      <c r="F556" s="15"/>
      <c r="G556" s="61"/>
      <c r="H556" s="56"/>
      <c r="I556" s="5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6.25" customHeight="1">
      <c r="A557" s="57"/>
      <c r="B557" s="62"/>
      <c r="C557" s="58" t="str">
        <f>IFERROR(VLOOKUP(B:B,'SALDO ATUAL'!$A$3:$E$9999,3,0),"")</f>
        <v/>
      </c>
      <c r="D557" s="59" t="str">
        <f>IFERROR(VLOOKUP(B:B,'SALDO ATUAL'!$A$3:$E1031,4,0),"")</f>
        <v/>
      </c>
      <c r="E557" s="60"/>
      <c r="F557" s="15"/>
      <c r="G557" s="61"/>
      <c r="H557" s="56"/>
      <c r="I557" s="5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6.25" customHeight="1">
      <c r="A558" s="57"/>
      <c r="B558" s="62"/>
      <c r="C558" s="58" t="str">
        <f>IFERROR(VLOOKUP(B:B,'SALDO ATUAL'!$A$3:$E$9999,3,0),"")</f>
        <v/>
      </c>
      <c r="D558" s="59" t="str">
        <f>IFERROR(VLOOKUP(B:B,'SALDO ATUAL'!$A$3:$E1032,4,0),"")</f>
        <v/>
      </c>
      <c r="E558" s="60"/>
      <c r="F558" s="15"/>
      <c r="G558" s="61"/>
      <c r="H558" s="56"/>
      <c r="I558" s="5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6.25" customHeight="1">
      <c r="A559" s="57"/>
      <c r="B559" s="62"/>
      <c r="C559" s="58" t="str">
        <f>IFERROR(VLOOKUP(B:B,'SALDO ATUAL'!$A$3:$E$9999,3,0),"")</f>
        <v/>
      </c>
      <c r="D559" s="59" t="str">
        <f>IFERROR(VLOOKUP(B:B,'SALDO ATUAL'!$A$3:$E1033,4,0),"")</f>
        <v/>
      </c>
      <c r="E559" s="60"/>
      <c r="F559" s="15"/>
      <c r="G559" s="61"/>
      <c r="H559" s="56"/>
      <c r="I559" s="5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6.25" customHeight="1">
      <c r="A560" s="57"/>
      <c r="B560" s="62"/>
      <c r="C560" s="58" t="str">
        <f>IFERROR(VLOOKUP(B:B,'SALDO ATUAL'!$A$3:$E$9999,3,0),"")</f>
        <v/>
      </c>
      <c r="D560" s="59" t="str">
        <f>IFERROR(VLOOKUP(B:B,'SALDO ATUAL'!$A$3:$E1034,4,0),"")</f>
        <v/>
      </c>
      <c r="E560" s="60"/>
      <c r="F560" s="15"/>
      <c r="G560" s="61"/>
      <c r="H560" s="56"/>
      <c r="I560" s="5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6.25" customHeight="1">
      <c r="A561" s="57"/>
      <c r="B561" s="62"/>
      <c r="C561" s="58" t="str">
        <f>IFERROR(VLOOKUP(B:B,'SALDO ATUAL'!$A$3:$E$9999,3,0),"")</f>
        <v/>
      </c>
      <c r="D561" s="59" t="str">
        <f>IFERROR(VLOOKUP(B:B,'SALDO ATUAL'!$A$3:$E1035,4,0),"")</f>
        <v/>
      </c>
      <c r="E561" s="60"/>
      <c r="F561" s="15"/>
      <c r="G561" s="61"/>
      <c r="H561" s="56"/>
      <c r="I561" s="5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6.25" customHeight="1">
      <c r="A562" s="57"/>
      <c r="B562" s="62"/>
      <c r="C562" s="58" t="str">
        <f>IFERROR(VLOOKUP(B:B,'SALDO ATUAL'!$A$3:$E$9999,3,0),"")</f>
        <v/>
      </c>
      <c r="D562" s="59" t="str">
        <f>IFERROR(VLOOKUP(B:B,'SALDO ATUAL'!$A$3:$E1036,4,0),"")</f>
        <v/>
      </c>
      <c r="E562" s="60"/>
      <c r="F562" s="15"/>
      <c r="G562" s="61"/>
      <c r="H562" s="56"/>
      <c r="I562" s="5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6.25" customHeight="1">
      <c r="A563" s="57"/>
      <c r="B563" s="62"/>
      <c r="C563" s="58" t="str">
        <f>IFERROR(VLOOKUP(B:B,'SALDO ATUAL'!$A$3:$E$9999,3,0),"")</f>
        <v/>
      </c>
      <c r="D563" s="59" t="str">
        <f>IFERROR(VLOOKUP(B:B,'SALDO ATUAL'!$A$3:$E1037,4,0),"")</f>
        <v/>
      </c>
      <c r="E563" s="60"/>
      <c r="F563" s="15"/>
      <c r="G563" s="61"/>
      <c r="H563" s="56"/>
      <c r="I563" s="5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6.25" customHeight="1">
      <c r="A564" s="57"/>
      <c r="B564" s="62"/>
      <c r="C564" s="58" t="str">
        <f>IFERROR(VLOOKUP(B:B,'SALDO ATUAL'!$A$3:$E$9999,3,0),"")</f>
        <v/>
      </c>
      <c r="D564" s="59" t="str">
        <f>IFERROR(VLOOKUP(B:B,'SALDO ATUAL'!$A$3:$E1038,4,0),"")</f>
        <v/>
      </c>
      <c r="E564" s="60"/>
      <c r="F564" s="15"/>
      <c r="G564" s="61"/>
      <c r="H564" s="56"/>
      <c r="I564" s="5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6.25" customHeight="1">
      <c r="A565" s="57"/>
      <c r="B565" s="62"/>
      <c r="C565" s="58" t="str">
        <f>IFERROR(VLOOKUP(B:B,'SALDO ATUAL'!$A$3:$E$9999,3,0),"")</f>
        <v/>
      </c>
      <c r="D565" s="59" t="str">
        <f>IFERROR(VLOOKUP(B:B,'SALDO ATUAL'!$A$3:$E1039,4,0),"")</f>
        <v/>
      </c>
      <c r="E565" s="60"/>
      <c r="F565" s="15"/>
      <c r="G565" s="61"/>
      <c r="H565" s="56"/>
      <c r="I565" s="5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6.25" customHeight="1">
      <c r="A566" s="57"/>
      <c r="B566" s="62"/>
      <c r="C566" s="58" t="str">
        <f>IFERROR(VLOOKUP(B:B,'SALDO ATUAL'!$A$3:$E$9999,3,0),"")</f>
        <v/>
      </c>
      <c r="D566" s="59" t="str">
        <f>IFERROR(VLOOKUP(B:B,'SALDO ATUAL'!$A$3:$E1040,4,0),"")</f>
        <v/>
      </c>
      <c r="E566" s="60"/>
      <c r="F566" s="15"/>
      <c r="G566" s="61"/>
      <c r="H566" s="56"/>
      <c r="I566" s="5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6.25" customHeight="1">
      <c r="A567" s="57"/>
      <c r="B567" s="62"/>
      <c r="C567" s="58" t="str">
        <f>IFERROR(VLOOKUP(B:B,'SALDO ATUAL'!$A$3:$E$9999,3,0),"")</f>
        <v/>
      </c>
      <c r="D567" s="59" t="str">
        <f>IFERROR(VLOOKUP(B:B,'SALDO ATUAL'!$A$3:$E1041,4,0),"")</f>
        <v/>
      </c>
      <c r="E567" s="60"/>
      <c r="F567" s="15"/>
      <c r="G567" s="61"/>
      <c r="H567" s="56"/>
      <c r="I567" s="5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6.25" customHeight="1">
      <c r="A568" s="57"/>
      <c r="B568" s="62"/>
      <c r="C568" s="58" t="str">
        <f>IFERROR(VLOOKUP(B:B,'SALDO ATUAL'!$A$3:$E$9999,3,0),"")</f>
        <v/>
      </c>
      <c r="D568" s="59" t="str">
        <f>IFERROR(VLOOKUP(B:B,'SALDO ATUAL'!$A$3:$E1042,4,0),"")</f>
        <v/>
      </c>
      <c r="E568" s="60"/>
      <c r="F568" s="15"/>
      <c r="G568" s="61"/>
      <c r="H568" s="56"/>
      <c r="I568" s="5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6.25" customHeight="1">
      <c r="A569" s="57"/>
      <c r="B569" s="62"/>
      <c r="C569" s="58" t="str">
        <f>IFERROR(VLOOKUP(B:B,'SALDO ATUAL'!$A$3:$E$9999,3,0),"")</f>
        <v/>
      </c>
      <c r="D569" s="59" t="str">
        <f>IFERROR(VLOOKUP(B:B,'SALDO ATUAL'!$A$3:$E1043,4,0),"")</f>
        <v/>
      </c>
      <c r="E569" s="60"/>
      <c r="F569" s="15"/>
      <c r="G569" s="61"/>
      <c r="H569" s="56"/>
      <c r="I569" s="5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6.25" customHeight="1">
      <c r="A570" s="57"/>
      <c r="B570" s="62"/>
      <c r="C570" s="58" t="str">
        <f>IFERROR(VLOOKUP(B:B,'SALDO ATUAL'!$A$3:$E$9999,3,0),"")</f>
        <v/>
      </c>
      <c r="D570" s="59" t="str">
        <f>IFERROR(VLOOKUP(B:B,'SALDO ATUAL'!$A$3:$E1044,4,0),"")</f>
        <v/>
      </c>
      <c r="E570" s="60"/>
      <c r="F570" s="15"/>
      <c r="G570" s="61"/>
      <c r="H570" s="56"/>
      <c r="I570" s="5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6.25" customHeight="1">
      <c r="A571" s="57"/>
      <c r="B571" s="62"/>
      <c r="C571" s="58" t="str">
        <f>IFERROR(VLOOKUP(B:B,'SALDO ATUAL'!$A$3:$E$9999,3,0),"")</f>
        <v/>
      </c>
      <c r="D571" s="59" t="str">
        <f>IFERROR(VLOOKUP(B:B,'SALDO ATUAL'!$A$3:$E1045,4,0),"")</f>
        <v/>
      </c>
      <c r="E571" s="60"/>
      <c r="F571" s="15"/>
      <c r="G571" s="61"/>
      <c r="H571" s="56"/>
      <c r="I571" s="5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6.25" customHeight="1">
      <c r="A572" s="57"/>
      <c r="B572" s="62"/>
      <c r="C572" s="58" t="str">
        <f>IFERROR(VLOOKUP(B:B,'SALDO ATUAL'!$A$3:$E$9999,3,0),"")</f>
        <v/>
      </c>
      <c r="D572" s="59" t="str">
        <f>IFERROR(VLOOKUP(B:B,'SALDO ATUAL'!$A$3:$E1046,4,0),"")</f>
        <v/>
      </c>
      <c r="E572" s="60"/>
      <c r="F572" s="15"/>
      <c r="G572" s="61"/>
      <c r="H572" s="56"/>
      <c r="I572" s="5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6.25" customHeight="1">
      <c r="A573" s="57"/>
      <c r="B573" s="62"/>
      <c r="C573" s="58" t="str">
        <f>IFERROR(VLOOKUP(B:B,'SALDO ATUAL'!$A$3:$E$9999,3,0),"")</f>
        <v/>
      </c>
      <c r="D573" s="59" t="str">
        <f>IFERROR(VLOOKUP(B:B,'SALDO ATUAL'!$A$3:$E1047,4,0),"")</f>
        <v/>
      </c>
      <c r="E573" s="60"/>
      <c r="F573" s="15"/>
      <c r="G573" s="61"/>
      <c r="H573" s="56"/>
      <c r="I573" s="5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6.25" customHeight="1">
      <c r="A574" s="57"/>
      <c r="B574" s="62"/>
      <c r="C574" s="58" t="str">
        <f>IFERROR(VLOOKUP(B:B,'SALDO ATUAL'!$A$3:$E$9999,3,0),"")</f>
        <v/>
      </c>
      <c r="D574" s="59" t="str">
        <f>IFERROR(VLOOKUP(B:B,'SALDO ATUAL'!$A$3:$E1048,4,0),"")</f>
        <v/>
      </c>
      <c r="E574" s="60"/>
      <c r="F574" s="15"/>
      <c r="G574" s="61"/>
      <c r="H574" s="56"/>
      <c r="I574" s="5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6.25" customHeight="1">
      <c r="A575" s="57"/>
      <c r="B575" s="62"/>
      <c r="C575" s="58" t="str">
        <f>IFERROR(VLOOKUP(B:B,'SALDO ATUAL'!$A$3:$E$9999,3,0),"")</f>
        <v/>
      </c>
      <c r="D575" s="59" t="str">
        <f>IFERROR(VLOOKUP(B:B,'SALDO ATUAL'!$A$3:$E1049,4,0),"")</f>
        <v/>
      </c>
      <c r="E575" s="60"/>
      <c r="F575" s="15"/>
      <c r="G575" s="61"/>
      <c r="H575" s="56"/>
      <c r="I575" s="5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6.25" customHeight="1">
      <c r="A576" s="57"/>
      <c r="B576" s="62"/>
      <c r="C576" s="58" t="str">
        <f>IFERROR(VLOOKUP(B:B,'SALDO ATUAL'!$A$3:$E$9999,3,0),"")</f>
        <v/>
      </c>
      <c r="D576" s="59" t="str">
        <f>IFERROR(VLOOKUP(B:B,'SALDO ATUAL'!$A$3:$E1050,4,0),"")</f>
        <v/>
      </c>
      <c r="E576" s="60"/>
      <c r="F576" s="15"/>
      <c r="G576" s="61"/>
      <c r="H576" s="56"/>
      <c r="I576" s="5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6.25" customHeight="1">
      <c r="A577" s="57"/>
      <c r="B577" s="62"/>
      <c r="C577" s="58" t="str">
        <f>IFERROR(VLOOKUP(B:B,'SALDO ATUAL'!$A$3:$E$9999,3,0),"")</f>
        <v/>
      </c>
      <c r="D577" s="59" t="str">
        <f>IFERROR(VLOOKUP(B:B,'SALDO ATUAL'!$A$3:$E1051,4,0),"")</f>
        <v/>
      </c>
      <c r="E577" s="60"/>
      <c r="F577" s="15"/>
      <c r="G577" s="61"/>
      <c r="H577" s="56"/>
      <c r="I577" s="5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6.25" customHeight="1">
      <c r="A578" s="57"/>
      <c r="B578" s="62"/>
      <c r="C578" s="58" t="str">
        <f>IFERROR(VLOOKUP(B:B,'SALDO ATUAL'!$A$3:$E$9999,3,0),"")</f>
        <v/>
      </c>
      <c r="D578" s="59" t="str">
        <f>IFERROR(VLOOKUP(B:B,'SALDO ATUAL'!$A$3:$E1052,4,0),"")</f>
        <v/>
      </c>
      <c r="E578" s="60"/>
      <c r="F578" s="15"/>
      <c r="G578" s="61"/>
      <c r="H578" s="56"/>
      <c r="I578" s="5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6.25" customHeight="1">
      <c r="A579" s="57"/>
      <c r="B579" s="62"/>
      <c r="C579" s="58" t="str">
        <f>IFERROR(VLOOKUP(B:B,'SALDO ATUAL'!$A$3:$E$9999,3,0),"")</f>
        <v/>
      </c>
      <c r="D579" s="59" t="str">
        <f>IFERROR(VLOOKUP(B:B,'SALDO ATUAL'!$A$3:$E1053,4,0),"")</f>
        <v/>
      </c>
      <c r="E579" s="60"/>
      <c r="F579" s="15"/>
      <c r="G579" s="61"/>
      <c r="H579" s="56"/>
      <c r="I579" s="5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6.25" customHeight="1">
      <c r="A580" s="57"/>
      <c r="B580" s="62"/>
      <c r="C580" s="58" t="str">
        <f>IFERROR(VLOOKUP(B:B,'SALDO ATUAL'!$A$3:$E$9999,3,0),"")</f>
        <v/>
      </c>
      <c r="D580" s="59" t="str">
        <f>IFERROR(VLOOKUP(B:B,'SALDO ATUAL'!$A$3:$E1054,4,0),"")</f>
        <v/>
      </c>
      <c r="E580" s="60"/>
      <c r="F580" s="15"/>
      <c r="G580" s="61"/>
      <c r="H580" s="56"/>
      <c r="I580" s="5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6.25" customHeight="1">
      <c r="A581" s="57"/>
      <c r="B581" s="62"/>
      <c r="C581" s="58" t="str">
        <f>IFERROR(VLOOKUP(B:B,'SALDO ATUAL'!$A$3:$E$9999,3,0),"")</f>
        <v/>
      </c>
      <c r="D581" s="59" t="str">
        <f>IFERROR(VLOOKUP(B:B,'SALDO ATUAL'!$A$3:$E1055,4,0),"")</f>
        <v/>
      </c>
      <c r="E581" s="60"/>
      <c r="F581" s="15"/>
      <c r="G581" s="61"/>
      <c r="H581" s="56"/>
      <c r="I581" s="5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6.25" customHeight="1">
      <c r="A582" s="57"/>
      <c r="B582" s="62"/>
      <c r="C582" s="58" t="str">
        <f>IFERROR(VLOOKUP(B:B,'SALDO ATUAL'!$A$3:$E$9999,3,0),"")</f>
        <v/>
      </c>
      <c r="D582" s="59" t="str">
        <f>IFERROR(VLOOKUP(B:B,'SALDO ATUAL'!$A$3:$E1056,4,0),"")</f>
        <v/>
      </c>
      <c r="E582" s="60"/>
      <c r="F582" s="15"/>
      <c r="G582" s="61"/>
      <c r="H582" s="56"/>
      <c r="I582" s="5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6.25" customHeight="1">
      <c r="A583" s="57"/>
      <c r="B583" s="62"/>
      <c r="C583" s="58" t="str">
        <f>IFERROR(VLOOKUP(B:B,'SALDO ATUAL'!$A$3:$E$9999,3,0),"")</f>
        <v/>
      </c>
      <c r="D583" s="59" t="str">
        <f>IFERROR(VLOOKUP(B:B,'SALDO ATUAL'!$A$3:$E1057,4,0),"")</f>
        <v/>
      </c>
      <c r="E583" s="60"/>
      <c r="F583" s="15"/>
      <c r="G583" s="61"/>
      <c r="H583" s="56"/>
      <c r="I583" s="5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6.25" customHeight="1">
      <c r="A584" s="57"/>
      <c r="B584" s="62"/>
      <c r="C584" s="58" t="str">
        <f>IFERROR(VLOOKUP(B:B,'SALDO ATUAL'!$A$3:$E$9999,3,0),"")</f>
        <v/>
      </c>
      <c r="D584" s="59" t="str">
        <f>IFERROR(VLOOKUP(B:B,'SALDO ATUAL'!$A$3:$E1058,4,0),"")</f>
        <v/>
      </c>
      <c r="E584" s="60"/>
      <c r="F584" s="15"/>
      <c r="G584" s="61"/>
      <c r="H584" s="56"/>
      <c r="I584" s="5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6.25" customHeight="1">
      <c r="A585" s="57"/>
      <c r="B585" s="62"/>
      <c r="C585" s="58" t="str">
        <f>IFERROR(VLOOKUP(B:B,'SALDO ATUAL'!$A$3:$E$9999,3,0),"")</f>
        <v/>
      </c>
      <c r="D585" s="59" t="str">
        <f>IFERROR(VLOOKUP(B:B,'SALDO ATUAL'!$A$3:$E1059,4,0),"")</f>
        <v/>
      </c>
      <c r="E585" s="60"/>
      <c r="F585" s="15"/>
      <c r="G585" s="61"/>
      <c r="H585" s="56"/>
      <c r="I585" s="5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6.25" customHeight="1">
      <c r="A586" s="57"/>
      <c r="B586" s="62"/>
      <c r="C586" s="58" t="str">
        <f>IFERROR(VLOOKUP(B:B,'SALDO ATUAL'!$A$3:$E$9999,3,0),"")</f>
        <v/>
      </c>
      <c r="D586" s="59" t="str">
        <f>IFERROR(VLOOKUP(B:B,'SALDO ATUAL'!$A$3:$E1060,4,0),"")</f>
        <v/>
      </c>
      <c r="E586" s="60"/>
      <c r="F586" s="15"/>
      <c r="G586" s="61"/>
      <c r="H586" s="56"/>
      <c r="I586" s="5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6.25" customHeight="1">
      <c r="A587" s="57"/>
      <c r="B587" s="62"/>
      <c r="C587" s="58" t="str">
        <f>IFERROR(VLOOKUP(B:B,'SALDO ATUAL'!$A$3:$E$9999,3,0),"")</f>
        <v/>
      </c>
      <c r="D587" s="59" t="str">
        <f>IFERROR(VLOOKUP(B:B,'SALDO ATUAL'!$A$3:$E1061,4,0),"")</f>
        <v/>
      </c>
      <c r="E587" s="60"/>
      <c r="F587" s="15"/>
      <c r="G587" s="61"/>
      <c r="H587" s="56"/>
      <c r="I587" s="5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6.25" customHeight="1">
      <c r="A588" s="57"/>
      <c r="B588" s="62"/>
      <c r="C588" s="58" t="str">
        <f>IFERROR(VLOOKUP(B:B,'SALDO ATUAL'!$A$3:$E$9999,3,0),"")</f>
        <v/>
      </c>
      <c r="D588" s="59" t="str">
        <f>IFERROR(VLOOKUP(B:B,'SALDO ATUAL'!$A$3:$E1062,4,0),"")</f>
        <v/>
      </c>
      <c r="E588" s="60"/>
      <c r="F588" s="15"/>
      <c r="G588" s="61"/>
      <c r="H588" s="56"/>
      <c r="I588" s="5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6.25" customHeight="1">
      <c r="A589" s="57"/>
      <c r="B589" s="62"/>
      <c r="C589" s="58" t="str">
        <f>IFERROR(VLOOKUP(B:B,'SALDO ATUAL'!$A$3:$E$9999,3,0),"")</f>
        <v/>
      </c>
      <c r="D589" s="59" t="str">
        <f>IFERROR(VLOOKUP(B:B,'SALDO ATUAL'!$A$3:$E1063,4,0),"")</f>
        <v/>
      </c>
      <c r="E589" s="60"/>
      <c r="F589" s="15"/>
      <c r="G589" s="61"/>
      <c r="H589" s="56"/>
      <c r="I589" s="5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6.25" customHeight="1">
      <c r="A590" s="57"/>
      <c r="B590" s="62"/>
      <c r="C590" s="58" t="str">
        <f>IFERROR(VLOOKUP(B:B,'SALDO ATUAL'!$A$3:$E$9999,3,0),"")</f>
        <v/>
      </c>
      <c r="D590" s="59" t="str">
        <f>IFERROR(VLOOKUP(B:B,'SALDO ATUAL'!$A$3:$E1064,4,0),"")</f>
        <v/>
      </c>
      <c r="E590" s="60"/>
      <c r="F590" s="15"/>
      <c r="G590" s="61"/>
      <c r="H590" s="56"/>
      <c r="I590" s="5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6.25" customHeight="1">
      <c r="A591" s="57"/>
      <c r="B591" s="62"/>
      <c r="C591" s="58" t="str">
        <f>IFERROR(VLOOKUP(B:B,'SALDO ATUAL'!$A$3:$E$9999,3,0),"")</f>
        <v/>
      </c>
      <c r="D591" s="59" t="str">
        <f>IFERROR(VLOOKUP(B:B,'SALDO ATUAL'!$A$3:$E1065,4,0),"")</f>
        <v/>
      </c>
      <c r="E591" s="60"/>
      <c r="F591" s="15"/>
      <c r="G591" s="61"/>
      <c r="H591" s="56"/>
      <c r="I591" s="5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6.25" customHeight="1">
      <c r="A592" s="57"/>
      <c r="B592" s="62"/>
      <c r="C592" s="58" t="str">
        <f>IFERROR(VLOOKUP(B:B,'SALDO ATUAL'!$A$3:$E$9999,3,0),"")</f>
        <v/>
      </c>
      <c r="D592" s="59" t="str">
        <f>IFERROR(VLOOKUP(B:B,'SALDO ATUAL'!$A$3:$E1066,4,0),"")</f>
        <v/>
      </c>
      <c r="E592" s="60"/>
      <c r="F592" s="15"/>
      <c r="G592" s="61"/>
      <c r="H592" s="56"/>
      <c r="I592" s="5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6.25" customHeight="1">
      <c r="A593" s="57"/>
      <c r="B593" s="62"/>
      <c r="C593" s="58" t="str">
        <f>IFERROR(VLOOKUP(B:B,'SALDO ATUAL'!$A$3:$E$9999,3,0),"")</f>
        <v/>
      </c>
      <c r="D593" s="59" t="str">
        <f>IFERROR(VLOOKUP(B:B,'SALDO ATUAL'!$A$3:$E1067,4,0),"")</f>
        <v/>
      </c>
      <c r="E593" s="60"/>
      <c r="F593" s="15"/>
      <c r="G593" s="61"/>
      <c r="H593" s="56"/>
      <c r="I593" s="5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6.25" customHeight="1">
      <c r="A594" s="57"/>
      <c r="B594" s="62"/>
      <c r="C594" s="58" t="str">
        <f>IFERROR(VLOOKUP(B:B,'SALDO ATUAL'!$A$3:$E$9999,3,0),"")</f>
        <v/>
      </c>
      <c r="D594" s="59" t="str">
        <f>IFERROR(VLOOKUP(B:B,'SALDO ATUAL'!$A$3:$E1068,4,0),"")</f>
        <v/>
      </c>
      <c r="E594" s="60"/>
      <c r="F594" s="15"/>
      <c r="G594" s="61"/>
      <c r="H594" s="56"/>
      <c r="I594" s="5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6.25" customHeight="1">
      <c r="A595" s="57"/>
      <c r="B595" s="62"/>
      <c r="C595" s="58" t="str">
        <f>IFERROR(VLOOKUP(B:B,'SALDO ATUAL'!$A$3:$E$9999,3,0),"")</f>
        <v/>
      </c>
      <c r="D595" s="59" t="str">
        <f>IFERROR(VLOOKUP(B:B,'SALDO ATUAL'!$A$3:$E1069,4,0),"")</f>
        <v/>
      </c>
      <c r="E595" s="60"/>
      <c r="F595" s="15"/>
      <c r="G595" s="61"/>
      <c r="H595" s="56"/>
      <c r="I595" s="5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6.25" customHeight="1">
      <c r="A596" s="57"/>
      <c r="B596" s="62"/>
      <c r="C596" s="58" t="str">
        <f>IFERROR(VLOOKUP(B:B,'SALDO ATUAL'!$A$3:$E$9999,3,0),"")</f>
        <v/>
      </c>
      <c r="D596" s="59" t="str">
        <f>IFERROR(VLOOKUP(B:B,'SALDO ATUAL'!$A$3:$E1070,4,0),"")</f>
        <v/>
      </c>
      <c r="E596" s="60"/>
      <c r="F596" s="15"/>
      <c r="G596" s="61"/>
      <c r="H596" s="56"/>
      <c r="I596" s="5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6.25" customHeight="1">
      <c r="A597" s="57"/>
      <c r="B597" s="62"/>
      <c r="C597" s="58" t="str">
        <f>IFERROR(VLOOKUP(B:B,'SALDO ATUAL'!$A$3:$E$9999,3,0),"")</f>
        <v/>
      </c>
      <c r="D597" s="59" t="str">
        <f>IFERROR(VLOOKUP(B:B,'SALDO ATUAL'!$A$3:$E1071,4,0),"")</f>
        <v/>
      </c>
      <c r="E597" s="60"/>
      <c r="F597" s="15"/>
      <c r="G597" s="61"/>
      <c r="H597" s="56"/>
      <c r="I597" s="5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6.25" customHeight="1">
      <c r="A598" s="57"/>
      <c r="B598" s="62"/>
      <c r="C598" s="58" t="str">
        <f>IFERROR(VLOOKUP(B:B,'SALDO ATUAL'!$A$3:$E$9999,3,0),"")</f>
        <v/>
      </c>
      <c r="D598" s="59" t="str">
        <f>IFERROR(VLOOKUP(B:B,'SALDO ATUAL'!$A$3:$E1072,4,0),"")</f>
        <v/>
      </c>
      <c r="E598" s="60"/>
      <c r="F598" s="15"/>
      <c r="G598" s="61"/>
      <c r="H598" s="56"/>
      <c r="I598" s="5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6.25" customHeight="1">
      <c r="A599" s="57"/>
      <c r="B599" s="62"/>
      <c r="C599" s="58" t="str">
        <f>IFERROR(VLOOKUP(B:B,'SALDO ATUAL'!$A$3:$E$9999,3,0),"")</f>
        <v/>
      </c>
      <c r="D599" s="59" t="str">
        <f>IFERROR(VLOOKUP(B:B,'SALDO ATUAL'!$A$3:$E1073,4,0),"")</f>
        <v/>
      </c>
      <c r="E599" s="60"/>
      <c r="F599" s="15"/>
      <c r="G599" s="61"/>
      <c r="H599" s="56"/>
      <c r="I599" s="5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6.25" customHeight="1">
      <c r="A600" s="57"/>
      <c r="B600" s="62"/>
      <c r="C600" s="58" t="str">
        <f>IFERROR(VLOOKUP(B:B,'SALDO ATUAL'!$A$3:$E$9999,3,0),"")</f>
        <v/>
      </c>
      <c r="D600" s="59" t="str">
        <f>IFERROR(VLOOKUP(B:B,'SALDO ATUAL'!$A$3:$E1074,4,0),"")</f>
        <v/>
      </c>
      <c r="E600" s="60"/>
      <c r="F600" s="15"/>
      <c r="G600" s="61"/>
      <c r="H600" s="56"/>
      <c r="I600" s="5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6.25" customHeight="1">
      <c r="A601" s="57"/>
      <c r="B601" s="62"/>
      <c r="C601" s="58" t="str">
        <f>IFERROR(VLOOKUP(B:B,'SALDO ATUAL'!$A$3:$E$9999,3,0),"")</f>
        <v/>
      </c>
      <c r="D601" s="59" t="str">
        <f>IFERROR(VLOOKUP(B:B,'SALDO ATUAL'!$A$3:$E1075,4,0),"")</f>
        <v/>
      </c>
      <c r="E601" s="60"/>
      <c r="F601" s="15"/>
      <c r="G601" s="61"/>
      <c r="H601" s="56"/>
      <c r="I601" s="5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6.25" customHeight="1">
      <c r="A602" s="57"/>
      <c r="B602" s="62"/>
      <c r="C602" s="58" t="str">
        <f>IFERROR(VLOOKUP(B:B,'SALDO ATUAL'!$A$3:$E$9999,3,0),"")</f>
        <v/>
      </c>
      <c r="D602" s="59" t="str">
        <f>IFERROR(VLOOKUP(B:B,'SALDO ATUAL'!$A$3:$E1076,4,0),"")</f>
        <v/>
      </c>
      <c r="E602" s="60"/>
      <c r="F602" s="15"/>
      <c r="G602" s="61"/>
      <c r="H602" s="56"/>
      <c r="I602" s="5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6.25" customHeight="1">
      <c r="A603" s="57"/>
      <c r="B603" s="62"/>
      <c r="C603" s="58" t="str">
        <f>IFERROR(VLOOKUP(B:B,'SALDO ATUAL'!$A$3:$E$9999,3,0),"")</f>
        <v/>
      </c>
      <c r="D603" s="59" t="str">
        <f>IFERROR(VLOOKUP(B:B,'SALDO ATUAL'!$A$3:$E1077,4,0),"")</f>
        <v/>
      </c>
      <c r="E603" s="60"/>
      <c r="F603" s="15"/>
      <c r="G603" s="61"/>
      <c r="H603" s="56"/>
      <c r="I603" s="5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6.25" customHeight="1">
      <c r="A604" s="57"/>
      <c r="B604" s="62"/>
      <c r="C604" s="58" t="str">
        <f>IFERROR(VLOOKUP(B:B,'SALDO ATUAL'!$A$3:$E$505,3,0),"")</f>
        <v/>
      </c>
      <c r="D604" s="59" t="str">
        <f>IFERROR(VLOOKUP(B:B,'SALDO ATUAL'!$A$3:$E1078,4,0),"")</f>
        <v/>
      </c>
      <c r="E604" s="60"/>
      <c r="F604" s="15"/>
      <c r="G604" s="61"/>
      <c r="H604" s="56"/>
      <c r="I604" s="5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6.25" customHeight="1">
      <c r="A605" s="57"/>
      <c r="B605" s="62"/>
      <c r="C605" s="58" t="str">
        <f>IFERROR(VLOOKUP(B:B,'SALDO ATUAL'!$A$3:$E$505,3,0),"")</f>
        <v/>
      </c>
      <c r="D605" s="59" t="str">
        <f>IFERROR(VLOOKUP(B:B,'SALDO ATUAL'!$A$3:$E1079,4,0),"")</f>
        <v/>
      </c>
      <c r="E605" s="60"/>
      <c r="F605" s="15"/>
      <c r="G605" s="61"/>
      <c r="H605" s="56"/>
      <c r="I605" s="5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6.25" customHeight="1">
      <c r="A606" s="57"/>
      <c r="B606" s="62"/>
      <c r="C606" s="58" t="str">
        <f>IFERROR(VLOOKUP(B:B,'SALDO ATUAL'!$A$3:$E$505,3,0),"")</f>
        <v/>
      </c>
      <c r="D606" s="59" t="str">
        <f>IFERROR(VLOOKUP(B:B,'SALDO ATUAL'!$A$3:$E1080,4,0),"")</f>
        <v/>
      </c>
      <c r="E606" s="60"/>
      <c r="F606" s="15"/>
      <c r="G606" s="61"/>
      <c r="H606" s="56"/>
      <c r="I606" s="5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6.25" customHeight="1">
      <c r="A607" s="57"/>
      <c r="B607" s="62"/>
      <c r="C607" s="58" t="str">
        <f>IFERROR(VLOOKUP(B:B,'SALDO ATUAL'!$A$3:$E$505,3,0),"")</f>
        <v/>
      </c>
      <c r="D607" s="59" t="str">
        <f>IFERROR(VLOOKUP(B:B,'SALDO ATUAL'!$A$3:$E1081,4,0),"")</f>
        <v/>
      </c>
      <c r="E607" s="60"/>
      <c r="F607" s="15"/>
      <c r="G607" s="61"/>
      <c r="H607" s="56"/>
      <c r="I607" s="5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6.25" customHeight="1">
      <c r="A608" s="57"/>
      <c r="B608" s="62"/>
      <c r="C608" s="58" t="str">
        <f>IFERROR(VLOOKUP(B:B,'SALDO ATUAL'!$A$3:$E$505,3,0),"")</f>
        <v/>
      </c>
      <c r="D608" s="59" t="str">
        <f>IFERROR(VLOOKUP(B:B,'SALDO ATUAL'!$A$3:$E1082,4,0),"")</f>
        <v/>
      </c>
      <c r="E608" s="60"/>
      <c r="F608" s="15"/>
      <c r="G608" s="61"/>
      <c r="H608" s="56"/>
      <c r="I608" s="5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6.25" customHeight="1">
      <c r="A609" s="57"/>
      <c r="B609" s="62"/>
      <c r="C609" s="58" t="str">
        <f>IFERROR(VLOOKUP(B:B,'SALDO ATUAL'!$A$3:$E$505,3,0),"")</f>
        <v/>
      </c>
      <c r="D609" s="59" t="str">
        <f>IFERROR(VLOOKUP(B:B,'SALDO ATUAL'!$A$3:$E1083,4,0),"")</f>
        <v/>
      </c>
      <c r="E609" s="60"/>
      <c r="F609" s="15"/>
      <c r="G609" s="61"/>
      <c r="H609" s="56"/>
      <c r="I609" s="5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6.25" customHeight="1">
      <c r="A610" s="57"/>
      <c r="B610" s="62"/>
      <c r="C610" s="58" t="str">
        <f>IFERROR(VLOOKUP(B:B,'SALDO ATUAL'!$A$3:$E$505,3,0),"")</f>
        <v/>
      </c>
      <c r="D610" s="59" t="str">
        <f>IFERROR(VLOOKUP(B:B,'SALDO ATUAL'!$A$3:$E1084,4,0),"")</f>
        <v/>
      </c>
      <c r="E610" s="60"/>
      <c r="F610" s="15"/>
      <c r="G610" s="61"/>
      <c r="H610" s="56"/>
      <c r="I610" s="5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6.25" customHeight="1">
      <c r="A611" s="57"/>
      <c r="B611" s="62"/>
      <c r="C611" s="58" t="str">
        <f>IFERROR(VLOOKUP(B:B,'SALDO ATUAL'!$A$3:$E$505,3,0),"")</f>
        <v/>
      </c>
      <c r="D611" s="59" t="str">
        <f>IFERROR(VLOOKUP(B:B,'SALDO ATUAL'!$A$3:$E1085,4,0),"")</f>
        <v/>
      </c>
      <c r="E611" s="60"/>
      <c r="F611" s="15"/>
      <c r="G611" s="61"/>
      <c r="H611" s="56"/>
      <c r="I611" s="5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6.25" customHeight="1">
      <c r="A612" s="57"/>
      <c r="B612" s="62"/>
      <c r="C612" s="58" t="str">
        <f>IFERROR(VLOOKUP(B:B,'SALDO ATUAL'!$A$3:$E$505,3,0),"")</f>
        <v/>
      </c>
      <c r="D612" s="59" t="str">
        <f>IFERROR(VLOOKUP(B:B,'SALDO ATUAL'!$A$3:$E1086,4,0),"")</f>
        <v/>
      </c>
      <c r="E612" s="60"/>
      <c r="F612" s="15"/>
      <c r="G612" s="61"/>
      <c r="H612" s="56"/>
      <c r="I612" s="5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6.25" customHeight="1">
      <c r="A613" s="57"/>
      <c r="B613" s="62"/>
      <c r="C613" s="58" t="str">
        <f>IFERROR(VLOOKUP(B:B,'SALDO ATUAL'!$A$3:$E$505,3,0),"")</f>
        <v/>
      </c>
      <c r="D613" s="59" t="str">
        <f>IFERROR(VLOOKUP(B:B,'SALDO ATUAL'!$A$3:$E1087,4,0),"")</f>
        <v/>
      </c>
      <c r="E613" s="60"/>
      <c r="F613" s="15"/>
      <c r="G613" s="61"/>
      <c r="H613" s="56"/>
      <c r="I613" s="5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6.25" customHeight="1">
      <c r="A614" s="57"/>
      <c r="B614" s="62"/>
      <c r="C614" s="58" t="str">
        <f>IFERROR(VLOOKUP(B:B,'SALDO ATUAL'!$A$3:$E$505,3,0),"")</f>
        <v/>
      </c>
      <c r="D614" s="59" t="str">
        <f>IFERROR(VLOOKUP(B:B,'SALDO ATUAL'!$A$3:$E1088,4,0),"")</f>
        <v/>
      </c>
      <c r="E614" s="60"/>
      <c r="F614" s="15"/>
      <c r="G614" s="61"/>
      <c r="H614" s="56"/>
      <c r="I614" s="5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6.25" customHeight="1">
      <c r="A615" s="57"/>
      <c r="B615" s="62"/>
      <c r="C615" s="58" t="str">
        <f>IFERROR(VLOOKUP(B:B,'SALDO ATUAL'!$A$3:$E$505,3,0),"")</f>
        <v/>
      </c>
      <c r="D615" s="59" t="str">
        <f>IFERROR(VLOOKUP(B:B,'SALDO ATUAL'!$A$3:$E1089,4,0),"")</f>
        <v/>
      </c>
      <c r="E615" s="60"/>
      <c r="F615" s="15"/>
      <c r="G615" s="61"/>
      <c r="H615" s="56"/>
      <c r="I615" s="5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6.25" customHeight="1">
      <c r="A616" s="57"/>
      <c r="B616" s="62"/>
      <c r="C616" s="58" t="str">
        <f>IFERROR(VLOOKUP(B:B,'SALDO ATUAL'!$A$3:$E$505,3,0),"")</f>
        <v/>
      </c>
      <c r="D616" s="59" t="str">
        <f>IFERROR(VLOOKUP(B:B,'SALDO ATUAL'!$A$3:$E1090,4,0),"")</f>
        <v/>
      </c>
      <c r="E616" s="60"/>
      <c r="F616" s="15"/>
      <c r="G616" s="61"/>
      <c r="H616" s="56"/>
      <c r="I616" s="5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6.25" customHeight="1">
      <c r="A617" s="57"/>
      <c r="B617" s="62"/>
      <c r="C617" s="58" t="str">
        <f>IFERROR(VLOOKUP(B:B,'SALDO ATUAL'!$A$3:$E$505,3,0),"")</f>
        <v/>
      </c>
      <c r="D617" s="59" t="str">
        <f>IFERROR(VLOOKUP(B:B,'SALDO ATUAL'!$A$3:$E1091,4,0),"")</f>
        <v/>
      </c>
      <c r="E617" s="60"/>
      <c r="F617" s="15"/>
      <c r="G617" s="61"/>
      <c r="H617" s="56"/>
      <c r="I617" s="5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6.25" customHeight="1">
      <c r="A618" s="57"/>
      <c r="B618" s="62"/>
      <c r="C618" s="58" t="str">
        <f>IFERROR(VLOOKUP(B:B,'SALDO ATUAL'!$A$3:$E$505,3,0),"")</f>
        <v/>
      </c>
      <c r="D618" s="59" t="str">
        <f>IFERROR(VLOOKUP(B:B,'SALDO ATUAL'!$A$3:$E1092,4,0),"")</f>
        <v/>
      </c>
      <c r="E618" s="60"/>
      <c r="F618" s="15"/>
      <c r="G618" s="61"/>
      <c r="H618" s="56"/>
      <c r="I618" s="5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6.25" customHeight="1">
      <c r="A619" s="57"/>
      <c r="B619" s="62"/>
      <c r="C619" s="58" t="str">
        <f>IFERROR(VLOOKUP(B:B,'SALDO ATUAL'!$A$3:$E$505,3,0),"")</f>
        <v/>
      </c>
      <c r="D619" s="59" t="str">
        <f>IFERROR(VLOOKUP(B:B,'SALDO ATUAL'!$A$3:$E1093,4,0),"")</f>
        <v/>
      </c>
      <c r="E619" s="60"/>
      <c r="F619" s="15"/>
      <c r="G619" s="61"/>
      <c r="H619" s="56"/>
      <c r="I619" s="5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6.25" customHeight="1">
      <c r="A620" s="57"/>
      <c r="B620" s="62"/>
      <c r="C620" s="58" t="str">
        <f>IFERROR(VLOOKUP(B:B,'SALDO ATUAL'!$A$3:$E$505,3,0),"")</f>
        <v/>
      </c>
      <c r="D620" s="59" t="str">
        <f>IFERROR(VLOOKUP(B:B,'SALDO ATUAL'!$A$3:$E1094,4,0),"")</f>
        <v/>
      </c>
      <c r="E620" s="60"/>
      <c r="F620" s="15"/>
      <c r="G620" s="61"/>
      <c r="H620" s="56"/>
      <c r="I620" s="5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6.25" customHeight="1">
      <c r="A621" s="57"/>
      <c r="B621" s="62"/>
      <c r="C621" s="58" t="str">
        <f>IFERROR(VLOOKUP(B:B,'SALDO ATUAL'!$A$3:$E$505,3,0),"")</f>
        <v/>
      </c>
      <c r="D621" s="59" t="str">
        <f>IFERROR(VLOOKUP(B:B,'SALDO ATUAL'!$A$3:$E1095,4,0),"")</f>
        <v/>
      </c>
      <c r="E621" s="60"/>
      <c r="F621" s="15"/>
      <c r="G621" s="61"/>
      <c r="H621" s="56"/>
      <c r="I621" s="5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6.25" customHeight="1">
      <c r="A622" s="57"/>
      <c r="B622" s="62"/>
      <c r="C622" s="58" t="str">
        <f>IFERROR(VLOOKUP(B:B,'SALDO ATUAL'!$A$3:$E$505,3,0),"")</f>
        <v/>
      </c>
      <c r="D622" s="59" t="str">
        <f>IFERROR(VLOOKUP(B:B,'SALDO ATUAL'!$A$3:$E1096,4,0),"")</f>
        <v/>
      </c>
      <c r="E622" s="60"/>
      <c r="F622" s="15"/>
      <c r="G622" s="61"/>
      <c r="H622" s="56"/>
      <c r="I622" s="5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6.25" customHeight="1">
      <c r="A623" s="57"/>
      <c r="B623" s="62"/>
      <c r="C623" s="58" t="str">
        <f>IFERROR(VLOOKUP(B:B,'SALDO ATUAL'!$A$3:$E$505,3,0),"")</f>
        <v/>
      </c>
      <c r="D623" s="59" t="str">
        <f>IFERROR(VLOOKUP(B:B,'SALDO ATUAL'!$A$3:$E1097,4,0),"")</f>
        <v/>
      </c>
      <c r="E623" s="60"/>
      <c r="F623" s="15"/>
      <c r="G623" s="61"/>
      <c r="H623" s="56"/>
      <c r="I623" s="5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6.25" customHeight="1">
      <c r="A624" s="57"/>
      <c r="B624" s="62"/>
      <c r="C624" s="58" t="str">
        <f>IFERROR(VLOOKUP(B:B,'SALDO ATUAL'!$A$3:$E$505,3,0),"")</f>
        <v/>
      </c>
      <c r="D624" s="59" t="str">
        <f>IFERROR(VLOOKUP(B:B,'SALDO ATUAL'!$A$3:$E1098,4,0),"")</f>
        <v/>
      </c>
      <c r="E624" s="60"/>
      <c r="F624" s="15"/>
      <c r="G624" s="61"/>
      <c r="H624" s="56"/>
      <c r="I624" s="5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6.25" customHeight="1">
      <c r="A625" s="57"/>
      <c r="B625" s="62"/>
      <c r="C625" s="58" t="str">
        <f>IFERROR(VLOOKUP(B:B,'SALDO ATUAL'!$A$3:$E$505,3,0),"")</f>
        <v/>
      </c>
      <c r="D625" s="59" t="str">
        <f>IFERROR(VLOOKUP(B:B,'SALDO ATUAL'!$A$3:$E1099,4,0),"")</f>
        <v/>
      </c>
      <c r="E625" s="60"/>
      <c r="F625" s="15"/>
      <c r="G625" s="61"/>
      <c r="H625" s="56"/>
      <c r="I625" s="5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6.25" customHeight="1">
      <c r="A626" s="57"/>
      <c r="B626" s="62"/>
      <c r="C626" s="58" t="str">
        <f>IFERROR(VLOOKUP(B:B,'SALDO ATUAL'!$A$3:$E$505,3,0),"")</f>
        <v/>
      </c>
      <c r="D626" s="59" t="str">
        <f>IFERROR(VLOOKUP(B:B,'SALDO ATUAL'!$A$3:$E1100,4,0),"")</f>
        <v/>
      </c>
      <c r="E626" s="60"/>
      <c r="F626" s="15"/>
      <c r="G626" s="61"/>
      <c r="H626" s="56"/>
      <c r="I626" s="5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6.25" customHeight="1">
      <c r="A627" s="57"/>
      <c r="B627" s="62"/>
      <c r="C627" s="58" t="str">
        <f>IFERROR(VLOOKUP(B:B,'SALDO ATUAL'!$A$3:$E$505,3,0),"")</f>
        <v/>
      </c>
      <c r="D627" s="59" t="str">
        <f>IFERROR(VLOOKUP(B:B,'SALDO ATUAL'!$A$3:$E1101,4,0),"")</f>
        <v/>
      </c>
      <c r="E627" s="60"/>
      <c r="F627" s="15"/>
      <c r="G627" s="61"/>
      <c r="H627" s="56"/>
      <c r="I627" s="5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6.25" customHeight="1">
      <c r="A628" s="57"/>
      <c r="B628" s="62"/>
      <c r="C628" s="58" t="str">
        <f>IFERROR(VLOOKUP(B:B,'SALDO ATUAL'!$A$3:$E$505,3,0),"")</f>
        <v/>
      </c>
      <c r="D628" s="59" t="str">
        <f>IFERROR(VLOOKUP(B:B,'SALDO ATUAL'!$A$3:$E1102,4,0),"")</f>
        <v/>
      </c>
      <c r="E628" s="60"/>
      <c r="F628" s="15"/>
      <c r="G628" s="61"/>
      <c r="H628" s="56"/>
      <c r="I628" s="5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6.25" customHeight="1">
      <c r="A629" s="57"/>
      <c r="B629" s="62"/>
      <c r="C629" s="58" t="str">
        <f>IFERROR(VLOOKUP(B:B,'SALDO ATUAL'!$A$3:$E$505,3,0),"")</f>
        <v/>
      </c>
      <c r="D629" s="59" t="str">
        <f>IFERROR(VLOOKUP(B:B,'SALDO ATUAL'!$A$3:$E1103,4,0),"")</f>
        <v/>
      </c>
      <c r="E629" s="60"/>
      <c r="F629" s="15"/>
      <c r="G629" s="61"/>
      <c r="H629" s="56"/>
      <c r="I629" s="5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6.25" customHeight="1">
      <c r="A630" s="57"/>
      <c r="B630" s="62"/>
      <c r="C630" s="58" t="str">
        <f>IFERROR(VLOOKUP(B:B,'SALDO ATUAL'!$A$3:$E$505,3,0),"")</f>
        <v/>
      </c>
      <c r="D630" s="59" t="str">
        <f>IFERROR(VLOOKUP(B:B,'SALDO ATUAL'!$A$3:$E1104,4,0),"")</f>
        <v/>
      </c>
      <c r="E630" s="60"/>
      <c r="F630" s="15"/>
      <c r="G630" s="61"/>
      <c r="H630" s="56"/>
      <c r="I630" s="5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6.25" customHeight="1">
      <c r="A631" s="57"/>
      <c r="B631" s="62"/>
      <c r="C631" s="58" t="str">
        <f>IFERROR(VLOOKUP(B:B,'SALDO ATUAL'!$A$3:$E$505,3,0),"")</f>
        <v/>
      </c>
      <c r="D631" s="59" t="str">
        <f>IFERROR(VLOOKUP(B:B,'SALDO ATUAL'!$A$3:$E1105,4,0),"")</f>
        <v/>
      </c>
      <c r="E631" s="60"/>
      <c r="F631" s="15"/>
      <c r="G631" s="61"/>
      <c r="H631" s="56"/>
      <c r="I631" s="5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6.25" customHeight="1">
      <c r="A632" s="57"/>
      <c r="B632" s="62"/>
      <c r="C632" s="58" t="str">
        <f>IFERROR(VLOOKUP(B:B,'SALDO ATUAL'!$A$3:$E$505,3,0),"")</f>
        <v/>
      </c>
      <c r="D632" s="59" t="str">
        <f>IFERROR(VLOOKUP(B:B,'SALDO ATUAL'!$A$3:$E1106,4,0),"")</f>
        <v/>
      </c>
      <c r="E632" s="60"/>
      <c r="F632" s="15"/>
      <c r="G632" s="61"/>
      <c r="H632" s="56"/>
      <c r="I632" s="5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6.25" customHeight="1">
      <c r="A633" s="57"/>
      <c r="B633" s="62"/>
      <c r="C633" s="58" t="str">
        <f>IFERROR(VLOOKUP(B:B,'SALDO ATUAL'!$A$3:$E$505,3,0),"")</f>
        <v/>
      </c>
      <c r="D633" s="59" t="str">
        <f>IFERROR(VLOOKUP(B:B,'SALDO ATUAL'!$A$3:$E1107,4,0),"")</f>
        <v/>
      </c>
      <c r="E633" s="60"/>
      <c r="F633" s="15"/>
      <c r="G633" s="61"/>
      <c r="H633" s="56"/>
      <c r="I633" s="5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6.25" customHeight="1">
      <c r="A634" s="57"/>
      <c r="B634" s="62"/>
      <c r="C634" s="58" t="str">
        <f>IFERROR(VLOOKUP(B:B,'SALDO ATUAL'!$A$3:$E$505,3,0),"")</f>
        <v/>
      </c>
      <c r="D634" s="59" t="str">
        <f>IFERROR(VLOOKUP(B:B,'SALDO ATUAL'!$A$3:$E1108,4,0),"")</f>
        <v/>
      </c>
      <c r="E634" s="60"/>
      <c r="F634" s="15"/>
      <c r="G634" s="61"/>
      <c r="H634" s="56"/>
      <c r="I634" s="5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6.25" customHeight="1">
      <c r="A635" s="57"/>
      <c r="B635" s="62"/>
      <c r="C635" s="58" t="str">
        <f>IFERROR(VLOOKUP(B:B,'SALDO ATUAL'!$A$3:$E$505,3,0),"")</f>
        <v/>
      </c>
      <c r="D635" s="59" t="str">
        <f>IFERROR(VLOOKUP(B:B,'SALDO ATUAL'!$A$3:$E1109,4,0),"")</f>
        <v/>
      </c>
      <c r="E635" s="60"/>
      <c r="F635" s="15"/>
      <c r="G635" s="61"/>
      <c r="H635" s="56"/>
      <c r="I635" s="5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6.25" customHeight="1">
      <c r="A636" s="57"/>
      <c r="B636" s="62"/>
      <c r="C636" s="58" t="str">
        <f>IFERROR(VLOOKUP(B:B,'SALDO ATUAL'!$A$3:$E$505,3,0),"")</f>
        <v/>
      </c>
      <c r="D636" s="59" t="str">
        <f>IFERROR(VLOOKUP(B:B,'SALDO ATUAL'!$A$3:$E1110,4,0),"")</f>
        <v/>
      </c>
      <c r="E636" s="60"/>
      <c r="F636" s="15"/>
      <c r="G636" s="61"/>
      <c r="H636" s="56"/>
      <c r="I636" s="5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6.25" customHeight="1">
      <c r="A637" s="57"/>
      <c r="B637" s="62"/>
      <c r="C637" s="58" t="str">
        <f>IFERROR(VLOOKUP(B:B,'SALDO ATUAL'!$A$3:$E$505,3,0),"")</f>
        <v/>
      </c>
      <c r="D637" s="59" t="str">
        <f>IFERROR(VLOOKUP(B:B,'SALDO ATUAL'!$A$3:$E1111,4,0),"")</f>
        <v/>
      </c>
      <c r="E637" s="60"/>
      <c r="F637" s="15"/>
      <c r="G637" s="61"/>
      <c r="H637" s="56"/>
      <c r="I637" s="5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6.25" customHeight="1">
      <c r="A638" s="57"/>
      <c r="B638" s="62"/>
      <c r="C638" s="58" t="str">
        <f>IFERROR(VLOOKUP(B:B,'SALDO ATUAL'!$A$3:$E$505,3,0),"")</f>
        <v/>
      </c>
      <c r="D638" s="59" t="str">
        <f>IFERROR(VLOOKUP(B:B,'SALDO ATUAL'!$A$3:$E1112,4,0),"")</f>
        <v/>
      </c>
      <c r="E638" s="60"/>
      <c r="F638" s="15"/>
      <c r="G638" s="61"/>
      <c r="H638" s="56"/>
      <c r="I638" s="5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6.25" customHeight="1">
      <c r="A639" s="57"/>
      <c r="B639" s="62"/>
      <c r="C639" s="58" t="str">
        <f>IFERROR(VLOOKUP(B:B,'SALDO ATUAL'!$A$3:$E$505,3,0),"")</f>
        <v/>
      </c>
      <c r="D639" s="59" t="str">
        <f>IFERROR(VLOOKUP(B:B,'SALDO ATUAL'!$A$3:$E1113,4,0),"")</f>
        <v/>
      </c>
      <c r="E639" s="60"/>
      <c r="F639" s="15"/>
      <c r="G639" s="61"/>
      <c r="H639" s="56"/>
      <c r="I639" s="5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6.25" customHeight="1">
      <c r="A640" s="57"/>
      <c r="B640" s="62"/>
      <c r="C640" s="58" t="str">
        <f>IFERROR(VLOOKUP(B:B,'SALDO ATUAL'!$A$3:$E$505,3,0),"")</f>
        <v/>
      </c>
      <c r="D640" s="59" t="str">
        <f>IFERROR(VLOOKUP(B:B,'SALDO ATUAL'!$A$3:$E1114,4,0),"")</f>
        <v/>
      </c>
      <c r="E640" s="60"/>
      <c r="F640" s="15"/>
      <c r="G640" s="61"/>
      <c r="H640" s="56"/>
      <c r="I640" s="5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6.25" customHeight="1">
      <c r="A641" s="57"/>
      <c r="B641" s="62"/>
      <c r="C641" s="58" t="str">
        <f>IFERROR(VLOOKUP(B:B,'SALDO ATUAL'!$A$3:$E$505,3,0),"")</f>
        <v/>
      </c>
      <c r="D641" s="59" t="str">
        <f>IFERROR(VLOOKUP(B:B,'SALDO ATUAL'!$A$3:$E1115,4,0),"")</f>
        <v/>
      </c>
      <c r="E641" s="60"/>
      <c r="F641" s="15"/>
      <c r="G641" s="61"/>
      <c r="H641" s="56"/>
      <c r="I641" s="5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6.25" customHeight="1">
      <c r="A642" s="57"/>
      <c r="B642" s="62"/>
      <c r="C642" s="58" t="str">
        <f>IFERROR(VLOOKUP(B:B,'SALDO ATUAL'!$A$3:$E$505,3,0),"")</f>
        <v/>
      </c>
      <c r="D642" s="59" t="str">
        <f>IFERROR(VLOOKUP(B:B,'SALDO ATUAL'!$A$3:$E1116,4,0),"")</f>
        <v/>
      </c>
      <c r="E642" s="60"/>
      <c r="F642" s="15"/>
      <c r="G642" s="61"/>
      <c r="H642" s="56"/>
      <c r="I642" s="5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6.25" customHeight="1">
      <c r="A643" s="57"/>
      <c r="B643" s="62"/>
      <c r="C643" s="58" t="str">
        <f>IFERROR(VLOOKUP(B:B,'SALDO ATUAL'!$A$3:$E$505,3,0),"")</f>
        <v/>
      </c>
      <c r="D643" s="59" t="str">
        <f>IFERROR(VLOOKUP(B:B,'SALDO ATUAL'!$A$3:$E1117,4,0),"")</f>
        <v/>
      </c>
      <c r="E643" s="60"/>
      <c r="F643" s="15"/>
      <c r="G643" s="61"/>
      <c r="H643" s="56"/>
      <c r="I643" s="5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6.25" customHeight="1">
      <c r="A644" s="57"/>
      <c r="B644" s="62"/>
      <c r="C644" s="58" t="str">
        <f>IFERROR(VLOOKUP(B:B,'SALDO ATUAL'!$A$3:$E$505,3,0),"")</f>
        <v/>
      </c>
      <c r="D644" s="59" t="str">
        <f>IFERROR(VLOOKUP(B:B,'SALDO ATUAL'!$A$3:$E1118,4,0),"")</f>
        <v/>
      </c>
      <c r="E644" s="60"/>
      <c r="F644" s="15"/>
      <c r="G644" s="61"/>
      <c r="H644" s="56"/>
      <c r="I644" s="5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6.25" customHeight="1">
      <c r="A645" s="57"/>
      <c r="B645" s="62"/>
      <c r="C645" s="58" t="str">
        <f>IFERROR(VLOOKUP(B:B,'SALDO ATUAL'!$A$3:$E$505,3,0),"")</f>
        <v/>
      </c>
      <c r="D645" s="59" t="str">
        <f>IFERROR(VLOOKUP(B:B,'SALDO ATUAL'!$A$3:$E1119,4,0),"")</f>
        <v/>
      </c>
      <c r="E645" s="60"/>
      <c r="F645" s="15"/>
      <c r="G645" s="61"/>
      <c r="H645" s="56"/>
      <c r="I645" s="5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6.25" customHeight="1">
      <c r="A646" s="57"/>
      <c r="B646" s="62"/>
      <c r="C646" s="58" t="str">
        <f>IFERROR(VLOOKUP(B:B,'SALDO ATUAL'!$A$3:$E$505,3,0),"")</f>
        <v/>
      </c>
      <c r="D646" s="59" t="str">
        <f>IFERROR(VLOOKUP(B:B,'SALDO ATUAL'!$A$3:$E1120,4,0),"")</f>
        <v/>
      </c>
      <c r="E646" s="60"/>
      <c r="F646" s="15"/>
      <c r="G646" s="61"/>
      <c r="H646" s="56"/>
      <c r="I646" s="5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6.25" customHeight="1">
      <c r="A647" s="57"/>
      <c r="B647" s="62"/>
      <c r="C647" s="58" t="str">
        <f>IFERROR(VLOOKUP(B:B,'SALDO ATUAL'!$A$3:$E$505,3,0),"")</f>
        <v/>
      </c>
      <c r="D647" s="59" t="str">
        <f>IFERROR(VLOOKUP(B:B,'SALDO ATUAL'!$A$3:$E1121,4,0),"")</f>
        <v/>
      </c>
      <c r="E647" s="60"/>
      <c r="F647" s="15"/>
      <c r="G647" s="61"/>
      <c r="H647" s="56"/>
      <c r="I647" s="5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6.25" customHeight="1">
      <c r="A648" s="57"/>
      <c r="B648" s="62"/>
      <c r="C648" s="58" t="str">
        <f>IFERROR(VLOOKUP(B:B,'SALDO ATUAL'!$A$3:$E$505,3,0),"")</f>
        <v/>
      </c>
      <c r="D648" s="59"/>
      <c r="E648" s="60"/>
      <c r="F648" s="15"/>
      <c r="G648" s="61"/>
      <c r="H648" s="56"/>
      <c r="I648" s="5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6.25" customHeight="1">
      <c r="A649" s="57"/>
      <c r="B649" s="62"/>
      <c r="C649" s="58" t="str">
        <f>IFERROR(VLOOKUP(B:B,'SALDO ATUAL'!$A$3:$E$505,3,0),"")</f>
        <v/>
      </c>
      <c r="D649" s="59"/>
      <c r="E649" s="60"/>
      <c r="F649" s="15"/>
      <c r="G649" s="61"/>
      <c r="H649" s="56"/>
      <c r="I649" s="5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6.25" customHeight="1">
      <c r="A650" s="57"/>
      <c r="B650" s="62"/>
      <c r="C650" s="58" t="str">
        <f>IFERROR(VLOOKUP(B:B,'SALDO ATUAL'!$A$3:$E$505,3,0),"")</f>
        <v/>
      </c>
      <c r="D650" s="59"/>
      <c r="E650" s="60"/>
      <c r="F650" s="15"/>
      <c r="G650" s="61"/>
      <c r="H650" s="56"/>
      <c r="I650" s="5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6.25" customHeight="1">
      <c r="A651" s="57"/>
      <c r="B651" s="62"/>
      <c r="C651" s="58" t="str">
        <f>IFERROR(VLOOKUP(B:B,'SALDO ATUAL'!$A$3:$E$505,3,0),"")</f>
        <v/>
      </c>
      <c r="D651" s="59"/>
      <c r="E651" s="60"/>
      <c r="F651" s="15"/>
      <c r="G651" s="61"/>
      <c r="H651" s="56"/>
      <c r="I651" s="5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6.25" customHeight="1">
      <c r="A652" s="57"/>
      <c r="B652" s="62"/>
      <c r="C652" s="58" t="str">
        <f>IFERROR(VLOOKUP(B:B,'SALDO ATUAL'!$A$3:$E$505,3,0),"")</f>
        <v/>
      </c>
      <c r="D652" s="59"/>
      <c r="E652" s="60"/>
      <c r="F652" s="15"/>
      <c r="G652" s="61"/>
      <c r="H652" s="56"/>
      <c r="I652" s="5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6.25" customHeight="1">
      <c r="A653" s="57"/>
      <c r="B653" s="62"/>
      <c r="C653" s="58" t="str">
        <f>IFERROR(VLOOKUP(B:B,'SALDO ATUAL'!$A$3:$E$505,3,0),"")</f>
        <v/>
      </c>
      <c r="D653" s="59"/>
      <c r="E653" s="60"/>
      <c r="F653" s="15"/>
      <c r="G653" s="61"/>
      <c r="H653" s="56"/>
      <c r="I653" s="5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6.25" customHeight="1">
      <c r="A654" s="57"/>
      <c r="B654" s="62"/>
      <c r="C654" s="58" t="str">
        <f>IFERROR(VLOOKUP(B:B,'SALDO ATUAL'!$A$3:$E$505,3,0),"")</f>
        <v/>
      </c>
      <c r="D654" s="59"/>
      <c r="E654" s="60"/>
      <c r="F654" s="15"/>
      <c r="G654" s="61"/>
      <c r="H654" s="56"/>
      <c r="I654" s="5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6.25" customHeight="1">
      <c r="A655" s="57"/>
      <c r="B655" s="62"/>
      <c r="C655" s="58" t="str">
        <f>IFERROR(VLOOKUP(B:B,'SALDO ATUAL'!$A$3:$E$505,3,0),"")</f>
        <v/>
      </c>
      <c r="D655" s="59"/>
      <c r="E655" s="60"/>
      <c r="F655" s="15"/>
      <c r="G655" s="61"/>
      <c r="H655" s="56"/>
      <c r="I655" s="5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6.25" customHeight="1">
      <c r="A656" s="57"/>
      <c r="B656" s="62"/>
      <c r="C656" s="58" t="str">
        <f>IFERROR(VLOOKUP(B:B,'SALDO ATUAL'!$A$3:$E$505,3,0),"")</f>
        <v/>
      </c>
      <c r="D656" s="59"/>
      <c r="E656" s="60"/>
      <c r="F656" s="15"/>
      <c r="G656" s="61"/>
      <c r="H656" s="56"/>
      <c r="I656" s="5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6.25" customHeight="1">
      <c r="A657" s="57"/>
      <c r="B657" s="62"/>
      <c r="C657" s="58" t="str">
        <f>IFERROR(VLOOKUP(B:B,'SALDO ATUAL'!$A$3:$E$505,3,0),"")</f>
        <v/>
      </c>
      <c r="D657" s="59"/>
      <c r="E657" s="60"/>
      <c r="F657" s="15"/>
      <c r="G657" s="61"/>
      <c r="H657" s="56"/>
      <c r="I657" s="5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6.25" customHeight="1">
      <c r="A658" s="57"/>
      <c r="B658" s="62"/>
      <c r="C658" s="58" t="str">
        <f>IFERROR(VLOOKUP(B:B,'SALDO ATUAL'!$A$3:$E$505,3,0),"")</f>
        <v/>
      </c>
      <c r="D658" s="59"/>
      <c r="E658" s="60"/>
      <c r="F658" s="15"/>
      <c r="G658" s="61"/>
      <c r="H658" s="56"/>
      <c r="I658" s="5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6.25" customHeight="1">
      <c r="A659" s="57"/>
      <c r="B659" s="62"/>
      <c r="C659" s="58" t="str">
        <f>IFERROR(VLOOKUP(B:B,'SALDO ATUAL'!$A$3:$E$505,3,0),"")</f>
        <v/>
      </c>
      <c r="D659" s="59"/>
      <c r="E659" s="60"/>
      <c r="F659" s="15"/>
      <c r="G659" s="61"/>
      <c r="H659" s="56"/>
      <c r="I659" s="5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6.25" customHeight="1">
      <c r="A660" s="57"/>
      <c r="B660" s="62"/>
      <c r="C660" s="58" t="str">
        <f>IFERROR(VLOOKUP(B:B,'SALDO ATUAL'!$A$3:$E$505,3,0),"")</f>
        <v/>
      </c>
      <c r="D660" s="59"/>
      <c r="E660" s="60"/>
      <c r="F660" s="15"/>
      <c r="G660" s="61"/>
      <c r="H660" s="56"/>
      <c r="I660" s="5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6.25" customHeight="1">
      <c r="A661" s="57"/>
      <c r="B661" s="62"/>
      <c r="C661" s="58" t="str">
        <f>IFERROR(VLOOKUP(B:B,'SALDO ATUAL'!$A$3:$E$505,3,0),"")</f>
        <v/>
      </c>
      <c r="D661" s="59"/>
      <c r="E661" s="60"/>
      <c r="F661" s="15"/>
      <c r="G661" s="61"/>
      <c r="H661" s="56"/>
      <c r="I661" s="5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6.25" customHeight="1">
      <c r="A662" s="57"/>
      <c r="B662" s="62"/>
      <c r="C662" s="58" t="str">
        <f>IFERROR(VLOOKUP(B:B,'SALDO ATUAL'!$A$3:$E$505,3,0),"")</f>
        <v/>
      </c>
      <c r="D662" s="59"/>
      <c r="E662" s="60"/>
      <c r="F662" s="15"/>
      <c r="G662" s="61"/>
      <c r="H662" s="56"/>
      <c r="I662" s="5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6.25" customHeight="1">
      <c r="A663" s="57"/>
      <c r="B663" s="62"/>
      <c r="C663" s="58" t="str">
        <f>IFERROR(VLOOKUP(B:B,'SALDO ATUAL'!$A$3:$E$505,3,0),"")</f>
        <v/>
      </c>
      <c r="D663" s="59"/>
      <c r="E663" s="60"/>
      <c r="F663" s="15"/>
      <c r="G663" s="61"/>
      <c r="H663" s="56"/>
      <c r="I663" s="5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6.25" customHeight="1">
      <c r="A664" s="57"/>
      <c r="B664" s="62"/>
      <c r="C664" s="58" t="str">
        <f>IFERROR(VLOOKUP(B:B,'SALDO ATUAL'!$A$3:$E$505,3,0),"")</f>
        <v/>
      </c>
      <c r="D664" s="59"/>
      <c r="E664" s="60"/>
      <c r="F664" s="15"/>
      <c r="G664" s="61"/>
      <c r="H664" s="56"/>
      <c r="I664" s="5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6.25" customHeight="1">
      <c r="A665" s="57"/>
      <c r="B665" s="62"/>
      <c r="C665" s="58" t="str">
        <f>IFERROR(VLOOKUP(B:B,'SALDO ATUAL'!$A$3:$E$505,3,0),"")</f>
        <v/>
      </c>
      <c r="D665" s="59"/>
      <c r="E665" s="60"/>
      <c r="F665" s="15"/>
      <c r="G665" s="61"/>
      <c r="H665" s="56"/>
      <c r="I665" s="5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6.25" customHeight="1">
      <c r="A666" s="57"/>
      <c r="B666" s="62"/>
      <c r="C666" s="58" t="str">
        <f>IFERROR(VLOOKUP(B:B,'SALDO ATUAL'!$A$3:$E$505,3,0),"")</f>
        <v/>
      </c>
      <c r="D666" s="59"/>
      <c r="E666" s="60"/>
      <c r="F666" s="15"/>
      <c r="G666" s="61"/>
      <c r="H666" s="56"/>
      <c r="I666" s="5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6.25" customHeight="1">
      <c r="A667" s="57"/>
      <c r="B667" s="62"/>
      <c r="C667" s="58" t="str">
        <f>IFERROR(VLOOKUP(B:B,'SALDO ATUAL'!$A$3:$E$505,3,0),"")</f>
        <v/>
      </c>
      <c r="D667" s="59"/>
      <c r="E667" s="60"/>
      <c r="F667" s="15"/>
      <c r="G667" s="61"/>
      <c r="H667" s="56"/>
      <c r="I667" s="5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6.25" customHeight="1">
      <c r="A668" s="57"/>
      <c r="B668" s="62"/>
      <c r="C668" s="58" t="str">
        <f>IFERROR(VLOOKUP(B:B,'SALDO ATUAL'!$A$3:$E$505,3,0),"")</f>
        <v/>
      </c>
      <c r="D668" s="59"/>
      <c r="E668" s="60"/>
      <c r="F668" s="15"/>
      <c r="G668" s="61"/>
      <c r="H668" s="56"/>
      <c r="I668" s="5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6.25" customHeight="1">
      <c r="A669" s="57"/>
      <c r="B669" s="62"/>
      <c r="C669" s="58" t="str">
        <f>IFERROR(VLOOKUP(B:B,'SALDO ATUAL'!$A$3:$E$505,3,0),"")</f>
        <v/>
      </c>
      <c r="D669" s="59"/>
      <c r="E669" s="60"/>
      <c r="F669" s="15"/>
      <c r="G669" s="61"/>
      <c r="H669" s="56"/>
      <c r="I669" s="5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6.25" customHeight="1">
      <c r="A670" s="57"/>
      <c r="B670" s="62"/>
      <c r="C670" s="58" t="str">
        <f>IFERROR(VLOOKUP(B:B,'SALDO ATUAL'!$A$3:$E$505,3,0),"")</f>
        <v/>
      </c>
      <c r="D670" s="59"/>
      <c r="E670" s="60"/>
      <c r="F670" s="15"/>
      <c r="G670" s="61"/>
      <c r="H670" s="56"/>
      <c r="I670" s="5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6.25" customHeight="1">
      <c r="A671" s="57"/>
      <c r="B671" s="62"/>
      <c r="C671" s="58" t="str">
        <f>IFERROR(VLOOKUP(B:B,'SALDO ATUAL'!$A$3:$E$505,3,0),"")</f>
        <v/>
      </c>
      <c r="D671" s="59"/>
      <c r="E671" s="60"/>
      <c r="F671" s="15"/>
      <c r="G671" s="61"/>
      <c r="H671" s="56"/>
      <c r="I671" s="5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6.25" customHeight="1">
      <c r="A672" s="57"/>
      <c r="B672" s="62"/>
      <c r="C672" s="58" t="str">
        <f>IFERROR(VLOOKUP(B:B,'SALDO ATUAL'!$A$3:$E$505,3,0),"")</f>
        <v/>
      </c>
      <c r="D672" s="59"/>
      <c r="E672" s="60"/>
      <c r="F672" s="15"/>
      <c r="G672" s="61"/>
      <c r="H672" s="56"/>
      <c r="I672" s="5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6.25" customHeight="1">
      <c r="A673" s="57"/>
      <c r="B673" s="62"/>
      <c r="C673" s="58" t="str">
        <f>IFERROR(VLOOKUP(B:B,'SALDO ATUAL'!$A$3:$E$505,3,0),"")</f>
        <v/>
      </c>
      <c r="D673" s="59"/>
      <c r="E673" s="60"/>
      <c r="F673" s="15"/>
      <c r="G673" s="61"/>
      <c r="H673" s="56"/>
      <c r="I673" s="5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6.25" customHeight="1">
      <c r="A674" s="57"/>
      <c r="B674" s="62"/>
      <c r="C674" s="58" t="str">
        <f>IFERROR(VLOOKUP(B:B,'SALDO ATUAL'!$A$3:$E$505,3,0),"")</f>
        <v/>
      </c>
      <c r="D674" s="59"/>
      <c r="E674" s="60"/>
      <c r="F674" s="15"/>
      <c r="G674" s="61"/>
      <c r="H674" s="56"/>
      <c r="I674" s="5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6.25" customHeight="1">
      <c r="A675" s="57"/>
      <c r="B675" s="62"/>
      <c r="C675" s="58" t="str">
        <f>IFERROR(VLOOKUP(B:B,'SALDO ATUAL'!$A$3:$E$505,3,0),"")</f>
        <v/>
      </c>
      <c r="D675" s="59"/>
      <c r="E675" s="60"/>
      <c r="F675" s="15"/>
      <c r="G675" s="61"/>
      <c r="H675" s="56"/>
      <c r="I675" s="5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6.25" customHeight="1">
      <c r="A676" s="57"/>
      <c r="B676" s="62"/>
      <c r="C676" s="58" t="str">
        <f>IFERROR(VLOOKUP(B:B,'SALDO ATUAL'!$A$3:$E$505,3,0),"")</f>
        <v/>
      </c>
      <c r="D676" s="59"/>
      <c r="E676" s="60"/>
      <c r="F676" s="15"/>
      <c r="G676" s="61"/>
      <c r="H676" s="56"/>
      <c r="I676" s="5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6.25" customHeight="1">
      <c r="A677" s="57"/>
      <c r="B677" s="62"/>
      <c r="C677" s="58" t="str">
        <f>IFERROR(VLOOKUP(B:B,'SALDO ATUAL'!$A$3:$E$505,3,0),"")</f>
        <v/>
      </c>
      <c r="D677" s="59"/>
      <c r="E677" s="60"/>
      <c r="F677" s="15"/>
      <c r="G677" s="61"/>
      <c r="H677" s="56"/>
      <c r="I677" s="5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6.25" customHeight="1">
      <c r="A678" s="57"/>
      <c r="B678" s="62"/>
      <c r="C678" s="58" t="str">
        <f>IFERROR(VLOOKUP(B:B,'SALDO ATUAL'!$A$3:$E$505,3,0),"")</f>
        <v/>
      </c>
      <c r="D678" s="59"/>
      <c r="E678" s="60"/>
      <c r="F678" s="15"/>
      <c r="G678" s="61"/>
      <c r="H678" s="56"/>
      <c r="I678" s="5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6.25" customHeight="1">
      <c r="A679" s="57"/>
      <c r="B679" s="62"/>
      <c r="C679" s="58" t="str">
        <f>IFERROR(VLOOKUP(B:B,'SALDO ATUAL'!$A$3:$E$505,3,0),"")</f>
        <v/>
      </c>
      <c r="D679" s="59"/>
      <c r="E679" s="60"/>
      <c r="F679" s="15"/>
      <c r="G679" s="61"/>
      <c r="H679" s="56"/>
      <c r="I679" s="5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6.25" customHeight="1">
      <c r="A680" s="57"/>
      <c r="B680" s="62"/>
      <c r="C680" s="58" t="str">
        <f>IFERROR(VLOOKUP(B:B,'SALDO ATUAL'!$A$3:$E$505,3,0),"")</f>
        <v/>
      </c>
      <c r="D680" s="59"/>
      <c r="E680" s="60"/>
      <c r="F680" s="15"/>
      <c r="G680" s="61"/>
      <c r="H680" s="56"/>
      <c r="I680" s="5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6.25" customHeight="1">
      <c r="A681" s="57"/>
      <c r="B681" s="62"/>
      <c r="C681" s="58" t="str">
        <f>IFERROR(VLOOKUP(B:B,'SALDO ATUAL'!$A$3:$E$505,3,0),"")</f>
        <v/>
      </c>
      <c r="D681" s="59"/>
      <c r="E681" s="60"/>
      <c r="F681" s="15"/>
      <c r="G681" s="61"/>
      <c r="H681" s="56"/>
      <c r="I681" s="5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6.25" customHeight="1">
      <c r="A682" s="57"/>
      <c r="B682" s="62"/>
      <c r="C682" s="58" t="str">
        <f>IFERROR(VLOOKUP(B:B,'SALDO ATUAL'!$A$3:$E$505,3,0),"")</f>
        <v/>
      </c>
      <c r="D682" s="59"/>
      <c r="E682" s="60"/>
      <c r="F682" s="15"/>
      <c r="G682" s="61"/>
      <c r="H682" s="56"/>
      <c r="I682" s="5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6.25" customHeight="1">
      <c r="A683" s="57"/>
      <c r="B683" s="62"/>
      <c r="C683" s="58" t="str">
        <f>IFERROR(VLOOKUP(B:B,'SALDO ATUAL'!$A$3:$E$505,3,0),"")</f>
        <v/>
      </c>
      <c r="D683" s="59"/>
      <c r="E683" s="60"/>
      <c r="F683" s="15"/>
      <c r="G683" s="61"/>
      <c r="H683" s="56"/>
      <c r="I683" s="5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6.25" customHeight="1">
      <c r="A684" s="57"/>
      <c r="B684" s="62"/>
      <c r="C684" s="58" t="str">
        <f>IFERROR(VLOOKUP(B:B,'SALDO ATUAL'!$A$3:$E$505,3,0),"")</f>
        <v/>
      </c>
      <c r="D684" s="59"/>
      <c r="E684" s="60"/>
      <c r="F684" s="15"/>
      <c r="G684" s="61"/>
      <c r="H684" s="56"/>
      <c r="I684" s="5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6.25" customHeight="1">
      <c r="A685" s="57"/>
      <c r="B685" s="62"/>
      <c r="C685" s="58" t="str">
        <f>IFERROR(VLOOKUP(B:B,'SALDO ATUAL'!$A$3:$E$505,3,0),"")</f>
        <v/>
      </c>
      <c r="D685" s="59"/>
      <c r="E685" s="60"/>
      <c r="F685" s="15"/>
      <c r="G685" s="61"/>
      <c r="H685" s="56"/>
      <c r="I685" s="5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6.25" customHeight="1">
      <c r="A686" s="57"/>
      <c r="B686" s="62"/>
      <c r="C686" s="58" t="str">
        <f>IFERROR(VLOOKUP(B:B,'SALDO ATUAL'!$A$3:$E$505,3,0),"")</f>
        <v/>
      </c>
      <c r="D686" s="59"/>
      <c r="E686" s="60"/>
      <c r="F686" s="15"/>
      <c r="G686" s="61"/>
      <c r="H686" s="56"/>
      <c r="I686" s="5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6.25" customHeight="1">
      <c r="A687" s="57"/>
      <c r="B687" s="62"/>
      <c r="C687" s="58" t="str">
        <f>IFERROR(VLOOKUP(B:B,'SALDO ATUAL'!$A$3:$E$505,3,0),"")</f>
        <v/>
      </c>
      <c r="D687" s="59"/>
      <c r="E687" s="60"/>
      <c r="F687" s="15"/>
      <c r="G687" s="61"/>
      <c r="H687" s="56"/>
      <c r="I687" s="5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6.25" customHeight="1">
      <c r="A688" s="57"/>
      <c r="B688" s="62"/>
      <c r="C688" s="58" t="str">
        <f>IFERROR(VLOOKUP(B:B,'SALDO ATUAL'!$A$3:$E$505,3,0),"")</f>
        <v/>
      </c>
      <c r="D688" s="59"/>
      <c r="E688" s="60"/>
      <c r="F688" s="15"/>
      <c r="G688" s="61"/>
      <c r="H688" s="56"/>
      <c r="I688" s="5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6.25" customHeight="1">
      <c r="A689" s="57"/>
      <c r="B689" s="62"/>
      <c r="C689" s="58" t="str">
        <f>IFERROR(VLOOKUP(B:B,'SALDO ATUAL'!$A$3:$E$505,3,0),"")</f>
        <v/>
      </c>
      <c r="D689" s="59"/>
      <c r="E689" s="60"/>
      <c r="F689" s="15"/>
      <c r="G689" s="61"/>
      <c r="H689" s="56"/>
      <c r="I689" s="5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6.25" customHeight="1">
      <c r="A690" s="57"/>
      <c r="B690" s="62"/>
      <c r="C690" s="58" t="str">
        <f>IFERROR(VLOOKUP(B:B,'SALDO ATUAL'!$A$3:$E$505,3,0),"")</f>
        <v/>
      </c>
      <c r="D690" s="59"/>
      <c r="E690" s="60"/>
      <c r="F690" s="15"/>
      <c r="G690" s="61"/>
      <c r="H690" s="56"/>
      <c r="I690" s="5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6.25" customHeight="1">
      <c r="A691" s="57"/>
      <c r="B691" s="62"/>
      <c r="C691" s="58" t="str">
        <f>IFERROR(VLOOKUP(B:B,'SALDO ATUAL'!$A$3:$E$505,3,0),"")</f>
        <v/>
      </c>
      <c r="D691" s="59"/>
      <c r="E691" s="60"/>
      <c r="F691" s="15"/>
      <c r="G691" s="61"/>
      <c r="H691" s="56"/>
      <c r="I691" s="5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6.25" customHeight="1">
      <c r="A692" s="57"/>
      <c r="B692" s="62"/>
      <c r="C692" s="58" t="str">
        <f>IFERROR(VLOOKUP(B:B,'SALDO ATUAL'!$A$3:$E$505,3,0),"")</f>
        <v/>
      </c>
      <c r="D692" s="59"/>
      <c r="E692" s="60"/>
      <c r="F692" s="15"/>
      <c r="G692" s="61"/>
      <c r="H692" s="56"/>
      <c r="I692" s="5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6.25" customHeight="1">
      <c r="A693" s="57"/>
      <c r="B693" s="62"/>
      <c r="C693" s="58" t="str">
        <f>IFERROR(VLOOKUP(B:B,'SALDO ATUAL'!$A$3:$E$505,3,0),"")</f>
        <v/>
      </c>
      <c r="D693" s="59"/>
      <c r="E693" s="60"/>
      <c r="F693" s="15"/>
      <c r="G693" s="61"/>
      <c r="H693" s="56"/>
      <c r="I693" s="5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6.25" customHeight="1">
      <c r="A694" s="57"/>
      <c r="B694" s="62"/>
      <c r="C694" s="58" t="str">
        <f>IFERROR(VLOOKUP(B:B,'SALDO ATUAL'!$A$3:$E$505,3,0),"")</f>
        <v/>
      </c>
      <c r="D694" s="59"/>
      <c r="E694" s="60"/>
      <c r="F694" s="15"/>
      <c r="G694" s="61"/>
      <c r="H694" s="56"/>
      <c r="I694" s="5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6.25" customHeight="1">
      <c r="A695" s="57"/>
      <c r="B695" s="62"/>
      <c r="C695" s="58" t="str">
        <f>IFERROR(VLOOKUP(B:B,'SALDO ATUAL'!$A$3:$E$505,3,0),"")</f>
        <v/>
      </c>
      <c r="D695" s="59"/>
      <c r="E695" s="60"/>
      <c r="F695" s="15"/>
      <c r="G695" s="61"/>
      <c r="H695" s="56"/>
      <c r="I695" s="5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6.25" customHeight="1">
      <c r="A696" s="57"/>
      <c r="B696" s="62"/>
      <c r="C696" s="58" t="str">
        <f>IFERROR(VLOOKUP(B:B,'SALDO ATUAL'!$A$3:$E$505,3,0),"")</f>
        <v/>
      </c>
      <c r="D696" s="59"/>
      <c r="E696" s="60"/>
      <c r="F696" s="15"/>
      <c r="G696" s="61"/>
      <c r="H696" s="56"/>
      <c r="I696" s="5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6.25" customHeight="1">
      <c r="A697" s="57"/>
      <c r="B697" s="62"/>
      <c r="C697" s="58" t="str">
        <f>IFERROR(VLOOKUP(B:B,'SALDO ATUAL'!$A$3:$E$505,3,0),"")</f>
        <v/>
      </c>
      <c r="D697" s="59"/>
      <c r="E697" s="60"/>
      <c r="F697" s="15"/>
      <c r="G697" s="61"/>
      <c r="H697" s="56"/>
      <c r="I697" s="5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6.25" customHeight="1">
      <c r="A698" s="57"/>
      <c r="B698" s="62"/>
      <c r="C698" s="58" t="str">
        <f>IFERROR(VLOOKUP(B:B,'SALDO ATUAL'!$A$3:$E$505,3,0),"")</f>
        <v/>
      </c>
      <c r="D698" s="59"/>
      <c r="E698" s="60"/>
      <c r="F698" s="15"/>
      <c r="G698" s="61"/>
      <c r="H698" s="56"/>
      <c r="I698" s="5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6.25" customHeight="1">
      <c r="A699" s="57"/>
      <c r="B699" s="62"/>
      <c r="C699" s="58" t="str">
        <f>IFERROR(VLOOKUP(B:B,'SALDO ATUAL'!$A$3:$E$505,3,0),"")</f>
        <v/>
      </c>
      <c r="D699" s="59"/>
      <c r="E699" s="60"/>
      <c r="F699" s="15"/>
      <c r="G699" s="61"/>
      <c r="H699" s="56"/>
      <c r="I699" s="5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6.25" customHeight="1">
      <c r="A700" s="57"/>
      <c r="B700" s="62"/>
      <c r="C700" s="58" t="str">
        <f>IFERROR(VLOOKUP(B:B,'SALDO ATUAL'!$A$3:$E$505,3,0),"")</f>
        <v/>
      </c>
      <c r="D700" s="59"/>
      <c r="E700" s="60"/>
      <c r="F700" s="15"/>
      <c r="G700" s="61"/>
      <c r="H700" s="56"/>
      <c r="I700" s="5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6.25" customHeight="1">
      <c r="A701" s="57"/>
      <c r="B701" s="62"/>
      <c r="C701" s="58" t="str">
        <f>IFERROR(VLOOKUP(B:B,'SALDO ATUAL'!$A$3:$E$505,3,0),"")</f>
        <v/>
      </c>
      <c r="D701" s="59"/>
      <c r="E701" s="60"/>
      <c r="F701" s="15"/>
      <c r="G701" s="61"/>
      <c r="H701" s="56"/>
      <c r="I701" s="5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6.25" customHeight="1">
      <c r="A702" s="57"/>
      <c r="B702" s="62"/>
      <c r="C702" s="58" t="str">
        <f>IFERROR(VLOOKUP(B:B,'SALDO ATUAL'!$A$3:$E$505,3,0),"")</f>
        <v/>
      </c>
      <c r="D702" s="59"/>
      <c r="E702" s="60"/>
      <c r="F702" s="15"/>
      <c r="G702" s="61"/>
      <c r="H702" s="56"/>
      <c r="I702" s="5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6.25" customHeight="1">
      <c r="A703" s="57"/>
      <c r="B703" s="62"/>
      <c r="C703" s="58" t="str">
        <f>IFERROR(VLOOKUP(B:B,'SALDO ATUAL'!$A$3:$E$505,3,0),"")</f>
        <v/>
      </c>
      <c r="D703" s="59"/>
      <c r="E703" s="60"/>
      <c r="F703" s="15"/>
      <c r="G703" s="61"/>
      <c r="H703" s="56"/>
      <c r="I703" s="5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6.25" customHeight="1">
      <c r="A704" s="57"/>
      <c r="B704" s="62"/>
      <c r="C704" s="58" t="str">
        <f>IFERROR(VLOOKUP(B:B,'SALDO ATUAL'!$A$3:$E$505,3,0),"")</f>
        <v/>
      </c>
      <c r="D704" s="59"/>
      <c r="E704" s="60"/>
      <c r="F704" s="15"/>
      <c r="G704" s="61"/>
      <c r="H704" s="56"/>
      <c r="I704" s="5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6.25" customHeight="1">
      <c r="A705" s="57"/>
      <c r="B705" s="62"/>
      <c r="C705" s="58" t="str">
        <f>IFERROR(VLOOKUP(B:B,'SALDO ATUAL'!$A$3:$E$505,3,0),"")</f>
        <v/>
      </c>
      <c r="D705" s="59"/>
      <c r="E705" s="60"/>
      <c r="F705" s="15"/>
      <c r="G705" s="61"/>
      <c r="H705" s="56"/>
      <c r="I705" s="5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6.25" customHeight="1">
      <c r="A706" s="57"/>
      <c r="B706" s="62"/>
      <c r="C706" s="58" t="str">
        <f>IFERROR(VLOOKUP(B:B,'SALDO ATUAL'!$A$3:$E$505,3,0),"")</f>
        <v/>
      </c>
      <c r="D706" s="59"/>
      <c r="E706" s="60"/>
      <c r="F706" s="15"/>
      <c r="G706" s="61"/>
      <c r="H706" s="56"/>
      <c r="I706" s="5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6.25" customHeight="1">
      <c r="A707" s="57"/>
      <c r="B707" s="62"/>
      <c r="C707" s="58" t="str">
        <f>IFERROR(VLOOKUP(B:B,'SALDO ATUAL'!$A$3:$E$505,3,0),"")</f>
        <v/>
      </c>
      <c r="D707" s="59"/>
      <c r="E707" s="60"/>
      <c r="F707" s="15"/>
      <c r="G707" s="61"/>
      <c r="H707" s="56"/>
      <c r="I707" s="5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6.25" customHeight="1">
      <c r="A708" s="57"/>
      <c r="B708" s="62"/>
      <c r="C708" s="58" t="str">
        <f>IFERROR(VLOOKUP(B:B,'SALDO ATUAL'!$A$3:$E$505,3,0),"")</f>
        <v/>
      </c>
      <c r="D708" s="59"/>
      <c r="E708" s="60"/>
      <c r="F708" s="15"/>
      <c r="G708" s="61"/>
      <c r="H708" s="56"/>
      <c r="I708" s="5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6.25" customHeight="1">
      <c r="A709" s="57"/>
      <c r="B709" s="62"/>
      <c r="C709" s="58" t="str">
        <f>IFERROR(VLOOKUP(B:B,'SALDO ATUAL'!$A$3:$E$505,3,0),"")</f>
        <v/>
      </c>
      <c r="D709" s="59"/>
      <c r="E709" s="60"/>
      <c r="F709" s="15"/>
      <c r="G709" s="61"/>
      <c r="H709" s="56"/>
      <c r="I709" s="5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6.25" customHeight="1">
      <c r="A710" s="57"/>
      <c r="B710" s="62"/>
      <c r="C710" s="58" t="str">
        <f>IFERROR(VLOOKUP(B:B,'SALDO ATUAL'!$A$3:$E$505,3,0),"")</f>
        <v/>
      </c>
      <c r="D710" s="59"/>
      <c r="E710" s="60"/>
      <c r="F710" s="15"/>
      <c r="G710" s="61"/>
      <c r="H710" s="56"/>
      <c r="I710" s="5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6.25" customHeight="1">
      <c r="A711" s="57"/>
      <c r="B711" s="62"/>
      <c r="C711" s="58" t="str">
        <f>IFERROR(VLOOKUP(B:B,'SALDO ATUAL'!$A$3:$E$505,3,0),"")</f>
        <v/>
      </c>
      <c r="D711" s="59"/>
      <c r="E711" s="60"/>
      <c r="F711" s="15"/>
      <c r="G711" s="61"/>
      <c r="H711" s="56"/>
      <c r="I711" s="5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6.25" customHeight="1">
      <c r="A712" s="57"/>
      <c r="B712" s="62"/>
      <c r="C712" s="58" t="str">
        <f>IFERROR(VLOOKUP(B:B,'SALDO ATUAL'!$A$3:$E$505,3,0),"")</f>
        <v/>
      </c>
      <c r="D712" s="59"/>
      <c r="E712" s="60"/>
      <c r="F712" s="15"/>
      <c r="G712" s="61"/>
      <c r="H712" s="56"/>
      <c r="I712" s="5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6.25" customHeight="1">
      <c r="A713" s="57"/>
      <c r="B713" s="62"/>
      <c r="C713" s="58" t="str">
        <f>IFERROR(VLOOKUP(B:B,'SALDO ATUAL'!$A$3:$E$505,3,0),"")</f>
        <v/>
      </c>
      <c r="D713" s="59"/>
      <c r="E713" s="60"/>
      <c r="F713" s="15"/>
      <c r="G713" s="61"/>
      <c r="H713" s="56"/>
      <c r="I713" s="5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6.25" customHeight="1">
      <c r="A714" s="57"/>
      <c r="B714" s="62"/>
      <c r="C714" s="58" t="str">
        <f>IFERROR(VLOOKUP(B:B,'SALDO ATUAL'!$A$3:$E$505,3,0),"")</f>
        <v/>
      </c>
      <c r="D714" s="59"/>
      <c r="E714" s="60"/>
      <c r="F714" s="15"/>
      <c r="G714" s="61"/>
      <c r="H714" s="56"/>
      <c r="I714" s="5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6.25" customHeight="1">
      <c r="A715" s="57"/>
      <c r="B715" s="62"/>
      <c r="C715" s="58" t="str">
        <f>IFERROR(VLOOKUP(B:B,'SALDO ATUAL'!$A$3:$E$505,3,0),"")</f>
        <v/>
      </c>
      <c r="D715" s="59"/>
      <c r="E715" s="60"/>
      <c r="F715" s="15"/>
      <c r="G715" s="61"/>
      <c r="H715" s="56"/>
      <c r="I715" s="5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6.25" customHeight="1">
      <c r="A716" s="57"/>
      <c r="B716" s="62"/>
      <c r="C716" s="58" t="str">
        <f>IFERROR(VLOOKUP(B:B,'SALDO ATUAL'!$A$3:$E$505,3,0),"")</f>
        <v/>
      </c>
      <c r="D716" s="59"/>
      <c r="E716" s="60"/>
      <c r="F716" s="15"/>
      <c r="G716" s="61"/>
      <c r="H716" s="56"/>
      <c r="I716" s="5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6.25" customHeight="1">
      <c r="A717" s="57"/>
      <c r="B717" s="62"/>
      <c r="C717" s="58" t="str">
        <f>IFERROR(VLOOKUP(B:B,'SALDO ATUAL'!$A$3:$E$505,3,0),"")</f>
        <v/>
      </c>
      <c r="D717" s="59"/>
      <c r="E717" s="60"/>
      <c r="F717" s="15"/>
      <c r="G717" s="61"/>
      <c r="H717" s="56"/>
      <c r="I717" s="5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6.25" customHeight="1">
      <c r="A718" s="57"/>
      <c r="B718" s="62"/>
      <c r="C718" s="58" t="str">
        <f>IFERROR(VLOOKUP(B:B,'SALDO ATUAL'!$A$3:$E$505,3,0),"")</f>
        <v/>
      </c>
      <c r="D718" s="59"/>
      <c r="E718" s="60"/>
      <c r="F718" s="15"/>
      <c r="G718" s="61"/>
      <c r="H718" s="56"/>
      <c r="I718" s="5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6.25" customHeight="1">
      <c r="A719" s="57"/>
      <c r="B719" s="62"/>
      <c r="C719" s="58" t="str">
        <f>IFERROR(VLOOKUP(B:B,'SALDO ATUAL'!$A$3:$E$505,3,0),"")</f>
        <v/>
      </c>
      <c r="D719" s="59"/>
      <c r="E719" s="60"/>
      <c r="F719" s="15"/>
      <c r="G719" s="61"/>
      <c r="H719" s="56"/>
      <c r="I719" s="5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6.25" customHeight="1">
      <c r="A720" s="57"/>
      <c r="B720" s="62"/>
      <c r="C720" s="58" t="str">
        <f>IFERROR(VLOOKUP(B:B,'SALDO ATUAL'!$A$3:$E$505,3,0),"")</f>
        <v/>
      </c>
      <c r="D720" s="59"/>
      <c r="E720" s="60"/>
      <c r="F720" s="15"/>
      <c r="G720" s="61"/>
      <c r="H720" s="56"/>
      <c r="I720" s="5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6.25" customHeight="1">
      <c r="A721" s="57"/>
      <c r="B721" s="62"/>
      <c r="C721" s="58" t="str">
        <f>IFERROR(VLOOKUP(B:B,'SALDO ATUAL'!$A$3:$E$505,3,0),"")</f>
        <v/>
      </c>
      <c r="D721" s="59"/>
      <c r="E721" s="60"/>
      <c r="F721" s="15"/>
      <c r="G721" s="61"/>
      <c r="H721" s="56"/>
      <c r="I721" s="5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6.25" customHeight="1">
      <c r="A722" s="57"/>
      <c r="B722" s="62"/>
      <c r="C722" s="58" t="str">
        <f>IFERROR(VLOOKUP(B:B,'SALDO ATUAL'!$A$3:$E$505,3,0),"")</f>
        <v/>
      </c>
      <c r="D722" s="59"/>
      <c r="E722" s="60"/>
      <c r="F722" s="15"/>
      <c r="G722" s="61"/>
      <c r="H722" s="56"/>
      <c r="I722" s="5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6.25" customHeight="1">
      <c r="A723" s="57"/>
      <c r="B723" s="62"/>
      <c r="C723" s="58" t="str">
        <f>IFERROR(VLOOKUP(B:B,'SALDO ATUAL'!$A$3:$E$505,3,0),"")</f>
        <v/>
      </c>
      <c r="D723" s="59"/>
      <c r="E723" s="60"/>
      <c r="F723" s="15"/>
      <c r="G723" s="61"/>
      <c r="H723" s="56"/>
      <c r="I723" s="5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6.25" customHeight="1">
      <c r="A724" s="57"/>
      <c r="B724" s="62"/>
      <c r="C724" s="58" t="str">
        <f>IFERROR(VLOOKUP(B:B,'SALDO ATUAL'!$A$3:$E$505,3,0),"")</f>
        <v/>
      </c>
      <c r="D724" s="59"/>
      <c r="E724" s="60"/>
      <c r="F724" s="15"/>
      <c r="G724" s="61"/>
      <c r="H724" s="56"/>
      <c r="I724" s="5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6.25" customHeight="1">
      <c r="A725" s="57"/>
      <c r="B725" s="62"/>
      <c r="C725" s="58" t="str">
        <f>IFERROR(VLOOKUP(B:B,'SALDO ATUAL'!$A$3:$E$505,3,0),"")</f>
        <v/>
      </c>
      <c r="D725" s="59"/>
      <c r="E725" s="60"/>
      <c r="F725" s="15"/>
      <c r="G725" s="61"/>
      <c r="H725" s="56"/>
      <c r="I725" s="5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6.25" customHeight="1">
      <c r="A726" s="57"/>
      <c r="B726" s="62"/>
      <c r="C726" s="58" t="str">
        <f>IFERROR(VLOOKUP(B:B,'SALDO ATUAL'!$A$3:$E$505,3,0),"")</f>
        <v/>
      </c>
      <c r="D726" s="59"/>
      <c r="E726" s="60"/>
      <c r="F726" s="15"/>
      <c r="G726" s="61"/>
      <c r="H726" s="56"/>
      <c r="I726" s="5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6.25" customHeight="1">
      <c r="A727" s="57"/>
      <c r="B727" s="62"/>
      <c r="C727" s="58" t="str">
        <f>IFERROR(VLOOKUP(B:B,'SALDO ATUAL'!$A$3:$E$505,3,0),"")</f>
        <v/>
      </c>
      <c r="D727" s="59"/>
      <c r="E727" s="60"/>
      <c r="F727" s="15"/>
      <c r="G727" s="61"/>
      <c r="H727" s="56"/>
      <c r="I727" s="5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6.25" customHeight="1">
      <c r="A728" s="57"/>
      <c r="B728" s="62"/>
      <c r="C728" s="58" t="str">
        <f>IFERROR(VLOOKUP(B:B,'SALDO ATUAL'!$A$3:$E$505,3,0),"")</f>
        <v/>
      </c>
      <c r="D728" s="59"/>
      <c r="E728" s="60"/>
      <c r="F728" s="15"/>
      <c r="G728" s="61"/>
      <c r="H728" s="56"/>
      <c r="I728" s="5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6.25" customHeight="1">
      <c r="A729" s="57"/>
      <c r="B729" s="62"/>
      <c r="C729" s="58" t="str">
        <f>IFERROR(VLOOKUP(B:B,'SALDO ATUAL'!$A$3:$E$505,3,0),"")</f>
        <v/>
      </c>
      <c r="D729" s="59"/>
      <c r="E729" s="60"/>
      <c r="F729" s="15"/>
      <c r="G729" s="61"/>
      <c r="H729" s="56"/>
      <c r="I729" s="5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6.25" customHeight="1">
      <c r="A730" s="57"/>
      <c r="B730" s="62"/>
      <c r="C730" s="58" t="str">
        <f>IFERROR(VLOOKUP(B:B,'SALDO ATUAL'!$A$3:$E$505,3,0),"")</f>
        <v/>
      </c>
      <c r="D730" s="59"/>
      <c r="E730" s="60"/>
      <c r="F730" s="15"/>
      <c r="G730" s="61"/>
      <c r="H730" s="56"/>
      <c r="I730" s="5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6.25" customHeight="1">
      <c r="A731" s="57"/>
      <c r="B731" s="62"/>
      <c r="C731" s="58" t="str">
        <f>IFERROR(VLOOKUP(B:B,'SALDO ATUAL'!$A$3:$E$505,3,0),"")</f>
        <v/>
      </c>
      <c r="D731" s="59"/>
      <c r="E731" s="60"/>
      <c r="F731" s="15"/>
      <c r="G731" s="61"/>
      <c r="H731" s="56"/>
      <c r="I731" s="5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6.25" customHeight="1">
      <c r="A732" s="57"/>
      <c r="B732" s="62"/>
      <c r="C732" s="58" t="str">
        <f>IFERROR(VLOOKUP(B:B,'SALDO ATUAL'!$A$3:$E$505,3,0),"")</f>
        <v/>
      </c>
      <c r="D732" s="59"/>
      <c r="E732" s="60"/>
      <c r="F732" s="15"/>
      <c r="G732" s="61"/>
      <c r="H732" s="56"/>
      <c r="I732" s="5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6.25" customHeight="1">
      <c r="A733" s="57"/>
      <c r="B733" s="62"/>
      <c r="C733" s="58" t="str">
        <f>IFERROR(VLOOKUP(B:B,'SALDO ATUAL'!$A$3:$E$505,3,0),"")</f>
        <v/>
      </c>
      <c r="D733" s="59"/>
      <c r="E733" s="60"/>
      <c r="F733" s="15"/>
      <c r="G733" s="61"/>
      <c r="H733" s="56"/>
      <c r="I733" s="5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6.25" customHeight="1">
      <c r="A734" s="57"/>
      <c r="B734" s="62"/>
      <c r="C734" s="58" t="str">
        <f>IFERROR(VLOOKUP(B:B,'SALDO ATUAL'!$A$3:$E$505,3,0),"")</f>
        <v/>
      </c>
      <c r="D734" s="59"/>
      <c r="E734" s="60"/>
      <c r="F734" s="15"/>
      <c r="G734" s="61"/>
      <c r="H734" s="56"/>
      <c r="I734" s="5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6.25" customHeight="1">
      <c r="A735" s="57"/>
      <c r="B735" s="62"/>
      <c r="C735" s="58" t="str">
        <f>IFERROR(VLOOKUP(B:B,'SALDO ATUAL'!$A$3:$E$505,3,0),"")</f>
        <v/>
      </c>
      <c r="D735" s="59"/>
      <c r="E735" s="60"/>
      <c r="F735" s="15"/>
      <c r="G735" s="61"/>
      <c r="H735" s="56"/>
      <c r="I735" s="5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6.25" customHeight="1">
      <c r="A736" s="57"/>
      <c r="B736" s="62"/>
      <c r="C736" s="58" t="str">
        <f>IFERROR(VLOOKUP(B:B,'SALDO ATUAL'!$A$3:$E$505,3,0),"")</f>
        <v/>
      </c>
      <c r="D736" s="59"/>
      <c r="E736" s="60"/>
      <c r="F736" s="15"/>
      <c r="G736" s="61"/>
      <c r="H736" s="56"/>
      <c r="I736" s="5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6.25" customHeight="1">
      <c r="A737" s="57"/>
      <c r="B737" s="62"/>
      <c r="C737" s="58" t="str">
        <f>IFERROR(VLOOKUP(B:B,'SALDO ATUAL'!$A$3:$E$505,3,0),"")</f>
        <v/>
      </c>
      <c r="D737" s="59"/>
      <c r="E737" s="60"/>
      <c r="F737" s="15"/>
      <c r="G737" s="61"/>
      <c r="H737" s="56"/>
      <c r="I737" s="5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6.25" customHeight="1">
      <c r="A738" s="57"/>
      <c r="B738" s="62"/>
      <c r="C738" s="58" t="str">
        <f>IFERROR(VLOOKUP(B:B,'SALDO ATUAL'!$A$3:$E$505,3,0),"")</f>
        <v/>
      </c>
      <c r="D738" s="59"/>
      <c r="E738" s="60"/>
      <c r="F738" s="15"/>
      <c r="G738" s="61"/>
      <c r="H738" s="56"/>
      <c r="I738" s="5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6.25" customHeight="1">
      <c r="A739" s="57"/>
      <c r="B739" s="62"/>
      <c r="C739" s="58" t="str">
        <f>IFERROR(VLOOKUP(B:B,'SALDO ATUAL'!$A$3:$E$505,3,0),"")</f>
        <v/>
      </c>
      <c r="D739" s="59"/>
      <c r="E739" s="60"/>
      <c r="F739" s="15"/>
      <c r="G739" s="61"/>
      <c r="H739" s="56"/>
      <c r="I739" s="5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6.25" customHeight="1">
      <c r="A740" s="57"/>
      <c r="B740" s="62"/>
      <c r="C740" s="58" t="str">
        <f>IFERROR(VLOOKUP(B:B,'SALDO ATUAL'!$A$3:$E$505,3,0),"")</f>
        <v/>
      </c>
      <c r="D740" s="59"/>
      <c r="E740" s="60"/>
      <c r="F740" s="15"/>
      <c r="G740" s="61"/>
      <c r="H740" s="56"/>
      <c r="I740" s="5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6.25" customHeight="1">
      <c r="A741" s="57"/>
      <c r="B741" s="62"/>
      <c r="C741" s="58" t="str">
        <f>IFERROR(VLOOKUP(B:B,'SALDO ATUAL'!$A$3:$E$505,3,0),"")</f>
        <v/>
      </c>
      <c r="D741" s="59"/>
      <c r="E741" s="60"/>
      <c r="F741" s="15"/>
      <c r="G741" s="61"/>
      <c r="H741" s="56"/>
      <c r="I741" s="5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6.25" customHeight="1">
      <c r="A742" s="57"/>
      <c r="B742" s="62"/>
      <c r="C742" s="58" t="str">
        <f>IFERROR(VLOOKUP(B:B,'SALDO ATUAL'!$A$3:$E$505,3,0),"")</f>
        <v/>
      </c>
      <c r="D742" s="59"/>
      <c r="E742" s="60"/>
      <c r="F742" s="15"/>
      <c r="G742" s="61"/>
      <c r="H742" s="56"/>
      <c r="I742" s="5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6.25" customHeight="1">
      <c r="A743" s="57"/>
      <c r="B743" s="62"/>
      <c r="C743" s="58" t="str">
        <f>IFERROR(VLOOKUP(B:B,'SALDO ATUAL'!$A$3:$E$505,3,0),"")</f>
        <v/>
      </c>
      <c r="D743" s="59"/>
      <c r="E743" s="60"/>
      <c r="F743" s="15"/>
      <c r="G743" s="61"/>
      <c r="H743" s="56"/>
      <c r="I743" s="5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6.25" customHeight="1">
      <c r="A744" s="57"/>
      <c r="B744" s="62"/>
      <c r="C744" s="58" t="str">
        <f>IFERROR(VLOOKUP(B:B,'SALDO ATUAL'!$A$3:$E$505,3,0),"")</f>
        <v/>
      </c>
      <c r="D744" s="59"/>
      <c r="E744" s="60"/>
      <c r="F744" s="15"/>
      <c r="G744" s="61"/>
      <c r="H744" s="56"/>
      <c r="I744" s="5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6.25" customHeight="1">
      <c r="A745" s="57"/>
      <c r="B745" s="62"/>
      <c r="C745" s="58" t="str">
        <f>IFERROR(VLOOKUP(B:B,'SALDO ATUAL'!$A$3:$E$505,3,0),"")</f>
        <v/>
      </c>
      <c r="D745" s="59"/>
      <c r="E745" s="60"/>
      <c r="F745" s="15"/>
      <c r="G745" s="61"/>
      <c r="H745" s="56"/>
      <c r="I745" s="5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6.25" customHeight="1">
      <c r="A746" s="57"/>
      <c r="B746" s="62"/>
      <c r="C746" s="58" t="str">
        <f>IFERROR(VLOOKUP(B:B,'SALDO ATUAL'!$A$3:$E$505,3,0),"")</f>
        <v/>
      </c>
      <c r="D746" s="59"/>
      <c r="E746" s="60"/>
      <c r="F746" s="15"/>
      <c r="G746" s="61"/>
      <c r="H746" s="56"/>
      <c r="I746" s="5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6.25" customHeight="1">
      <c r="A747" s="57"/>
      <c r="B747" s="62"/>
      <c r="C747" s="58" t="str">
        <f>IFERROR(VLOOKUP(B:B,'SALDO ATUAL'!$A$3:$E$505,3,0),"")</f>
        <v/>
      </c>
      <c r="D747" s="59"/>
      <c r="E747" s="60"/>
      <c r="F747" s="15"/>
      <c r="G747" s="61"/>
      <c r="H747" s="56"/>
      <c r="I747" s="5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6.25" customHeight="1">
      <c r="A748" s="57"/>
      <c r="B748" s="62"/>
      <c r="C748" s="58" t="str">
        <f>IFERROR(VLOOKUP(B:B,'SALDO ATUAL'!$A$3:$E$505,3,0),"")</f>
        <v/>
      </c>
      <c r="D748" s="59"/>
      <c r="E748" s="60"/>
      <c r="F748" s="15"/>
      <c r="G748" s="61"/>
      <c r="H748" s="56"/>
      <c r="I748" s="5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6.25" customHeight="1">
      <c r="A749" s="57"/>
      <c r="B749" s="62"/>
      <c r="C749" s="58" t="str">
        <f>IFERROR(VLOOKUP(B:B,'SALDO ATUAL'!$A$3:$E$505,3,0),"")</f>
        <v/>
      </c>
      <c r="D749" s="59"/>
      <c r="E749" s="60"/>
      <c r="F749" s="15"/>
      <c r="G749" s="61"/>
      <c r="H749" s="56"/>
      <c r="I749" s="5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6.25" customHeight="1">
      <c r="A750" s="57"/>
      <c r="B750" s="62"/>
      <c r="C750" s="58" t="str">
        <f>IFERROR(VLOOKUP(B:B,'SALDO ATUAL'!$A$3:$E$505,3,0),"")</f>
        <v/>
      </c>
      <c r="D750" s="59"/>
      <c r="E750" s="60"/>
      <c r="F750" s="15"/>
      <c r="G750" s="61"/>
      <c r="H750" s="56"/>
      <c r="I750" s="5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6.25" customHeight="1">
      <c r="A751" s="57"/>
      <c r="B751" s="62"/>
      <c r="C751" s="58" t="str">
        <f>IFERROR(VLOOKUP(B:B,'SALDO ATUAL'!$A$3:$E$505,3,0),"")</f>
        <v/>
      </c>
      <c r="D751" s="59"/>
      <c r="E751" s="60"/>
      <c r="F751" s="15"/>
      <c r="G751" s="61"/>
      <c r="H751" s="56"/>
      <c r="I751" s="5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6.25" customHeight="1">
      <c r="A752" s="57"/>
      <c r="B752" s="62"/>
      <c r="C752" s="58" t="str">
        <f>IFERROR(VLOOKUP(B:B,'SALDO ATUAL'!$A$3:$E$505,3,0),"")</f>
        <v/>
      </c>
      <c r="D752" s="59"/>
      <c r="E752" s="60"/>
      <c r="F752" s="15"/>
      <c r="G752" s="61"/>
      <c r="H752" s="56"/>
      <c r="I752" s="5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6.25" customHeight="1">
      <c r="A753" s="57"/>
      <c r="B753" s="62"/>
      <c r="C753" s="58" t="str">
        <f>IFERROR(VLOOKUP(B:B,'SALDO ATUAL'!$A$3:$E$505,3,0),"")</f>
        <v/>
      </c>
      <c r="D753" s="59"/>
      <c r="E753" s="60"/>
      <c r="F753" s="15"/>
      <c r="G753" s="61"/>
      <c r="H753" s="56"/>
      <c r="I753" s="5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6.25" customHeight="1">
      <c r="A754" s="57"/>
      <c r="B754" s="62"/>
      <c r="C754" s="58" t="str">
        <f>IFERROR(VLOOKUP(B:B,'SALDO ATUAL'!$A$3:$E$505,3,0),"")</f>
        <v/>
      </c>
      <c r="D754" s="59"/>
      <c r="E754" s="60"/>
      <c r="F754" s="15"/>
      <c r="G754" s="61"/>
      <c r="H754" s="56"/>
      <c r="I754" s="5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6.25" customHeight="1">
      <c r="A755" s="57"/>
      <c r="B755" s="62"/>
      <c r="C755" s="58" t="str">
        <f>IFERROR(VLOOKUP(B:B,'SALDO ATUAL'!$A$3:$E$505,3,0),"")</f>
        <v/>
      </c>
      <c r="D755" s="59"/>
      <c r="E755" s="60"/>
      <c r="F755" s="15"/>
      <c r="G755" s="61"/>
      <c r="H755" s="56"/>
      <c r="I755" s="5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6.25" customHeight="1">
      <c r="A756" s="57"/>
      <c r="B756" s="62"/>
      <c r="C756" s="58" t="str">
        <f>IFERROR(VLOOKUP(B:B,'SALDO ATUAL'!$A$3:$E$505,3,0),"")</f>
        <v/>
      </c>
      <c r="D756" s="59"/>
      <c r="E756" s="60"/>
      <c r="F756" s="15"/>
      <c r="G756" s="61"/>
      <c r="H756" s="56"/>
      <c r="I756" s="5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6.25" customHeight="1">
      <c r="A757" s="57"/>
      <c r="B757" s="62"/>
      <c r="C757" s="58" t="str">
        <f>IFERROR(VLOOKUP(B:B,'SALDO ATUAL'!$A$3:$E$505,3,0),"")</f>
        <v/>
      </c>
      <c r="D757" s="59"/>
      <c r="E757" s="60"/>
      <c r="F757" s="15"/>
      <c r="G757" s="61"/>
      <c r="H757" s="56"/>
      <c r="I757" s="5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6.25" customHeight="1">
      <c r="A758" s="57"/>
      <c r="B758" s="62"/>
      <c r="C758" s="58" t="str">
        <f>IFERROR(VLOOKUP(B:B,'SALDO ATUAL'!$A$3:$E$505,3,0),"")</f>
        <v/>
      </c>
      <c r="D758" s="59"/>
      <c r="E758" s="60"/>
      <c r="F758" s="15"/>
      <c r="G758" s="61"/>
      <c r="H758" s="56"/>
      <c r="I758" s="5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6.25" customHeight="1">
      <c r="A759" s="57"/>
      <c r="B759" s="62"/>
      <c r="C759" s="58" t="str">
        <f>IFERROR(VLOOKUP(B:B,'SALDO ATUAL'!$A$3:$E$505,3,0),"")</f>
        <v/>
      </c>
      <c r="D759" s="59"/>
      <c r="E759" s="60"/>
      <c r="F759" s="15"/>
      <c r="G759" s="61"/>
      <c r="H759" s="56"/>
      <c r="I759" s="5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6.25" customHeight="1">
      <c r="A760" s="57"/>
      <c r="B760" s="62"/>
      <c r="C760" s="58" t="str">
        <f>IFERROR(VLOOKUP(B:B,'SALDO ATUAL'!$A$3:$E$505,3,0),"")</f>
        <v/>
      </c>
      <c r="D760" s="59"/>
      <c r="E760" s="60"/>
      <c r="F760" s="15"/>
      <c r="G760" s="61"/>
      <c r="H760" s="56"/>
      <c r="I760" s="5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6.25" customHeight="1">
      <c r="A761" s="57"/>
      <c r="B761" s="62"/>
      <c r="C761" s="58" t="str">
        <f>IFERROR(VLOOKUP(B:B,'SALDO ATUAL'!$A$3:$E$505,3,0),"")</f>
        <v/>
      </c>
      <c r="D761" s="59"/>
      <c r="E761" s="60"/>
      <c r="F761" s="15"/>
      <c r="G761" s="61"/>
      <c r="H761" s="56"/>
      <c r="I761" s="5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6.25" customHeight="1">
      <c r="A762" s="57"/>
      <c r="B762" s="62"/>
      <c r="C762" s="58" t="str">
        <f>IFERROR(VLOOKUP(B:B,'SALDO ATUAL'!$A$3:$E$505,3,0),"")</f>
        <v/>
      </c>
      <c r="D762" s="59"/>
      <c r="E762" s="60"/>
      <c r="F762" s="15"/>
      <c r="G762" s="61"/>
      <c r="H762" s="56"/>
      <c r="I762" s="5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6.25" customHeight="1">
      <c r="A763" s="57"/>
      <c r="B763" s="62"/>
      <c r="C763" s="58" t="str">
        <f>IFERROR(VLOOKUP(B:B,'SALDO ATUAL'!$A$3:$E$505,3,0),"")</f>
        <v/>
      </c>
      <c r="D763" s="59"/>
      <c r="E763" s="60"/>
      <c r="F763" s="15"/>
      <c r="G763" s="61"/>
      <c r="H763" s="56"/>
      <c r="I763" s="5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6.25" customHeight="1">
      <c r="A764" s="57"/>
      <c r="B764" s="62"/>
      <c r="C764" s="58" t="str">
        <f>IFERROR(VLOOKUP(B:B,'SALDO ATUAL'!$A$3:$E$505,3,0),"")</f>
        <v/>
      </c>
      <c r="D764" s="59"/>
      <c r="E764" s="60"/>
      <c r="F764" s="15"/>
      <c r="G764" s="61"/>
      <c r="H764" s="56"/>
      <c r="I764" s="5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6.25" customHeight="1">
      <c r="A765" s="57"/>
      <c r="B765" s="62"/>
      <c r="C765" s="58" t="str">
        <f>IFERROR(VLOOKUP(B:B,'SALDO ATUAL'!$A$3:$E$505,3,0),"")</f>
        <v/>
      </c>
      <c r="D765" s="59"/>
      <c r="E765" s="60"/>
      <c r="F765" s="15"/>
      <c r="G765" s="61"/>
      <c r="H765" s="56"/>
      <c r="I765" s="5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6.25" customHeight="1">
      <c r="A766" s="57"/>
      <c r="B766" s="62"/>
      <c r="C766" s="58" t="str">
        <f>IFERROR(VLOOKUP(B:B,'SALDO ATUAL'!$A$3:$E$505,3,0),"")</f>
        <v/>
      </c>
      <c r="D766" s="59"/>
      <c r="E766" s="60"/>
      <c r="F766" s="15"/>
      <c r="G766" s="61"/>
      <c r="H766" s="56"/>
      <c r="I766" s="5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6.25" customHeight="1">
      <c r="A767" s="57"/>
      <c r="B767" s="62"/>
      <c r="C767" s="58" t="str">
        <f>IFERROR(VLOOKUP(B:B,'SALDO ATUAL'!$A$3:$E$505,3,0),"")</f>
        <v/>
      </c>
      <c r="D767" s="59"/>
      <c r="E767" s="60"/>
      <c r="F767" s="15"/>
      <c r="G767" s="61"/>
      <c r="H767" s="56"/>
      <c r="I767" s="5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6.25" customHeight="1">
      <c r="A768" s="57"/>
      <c r="B768" s="62"/>
      <c r="C768" s="58" t="str">
        <f>IFERROR(VLOOKUP(B:B,'SALDO ATUAL'!$A$3:$E$505,3,0),"")</f>
        <v/>
      </c>
      <c r="D768" s="59"/>
      <c r="E768" s="60"/>
      <c r="F768" s="15"/>
      <c r="G768" s="61"/>
      <c r="H768" s="56"/>
      <c r="I768" s="5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6.25" customHeight="1">
      <c r="A769" s="57"/>
      <c r="B769" s="62"/>
      <c r="C769" s="58" t="str">
        <f>IFERROR(VLOOKUP(B:B,'SALDO ATUAL'!$A$3:$E$505,3,0),"")</f>
        <v/>
      </c>
      <c r="D769" s="59"/>
      <c r="E769" s="60"/>
      <c r="F769" s="15"/>
      <c r="G769" s="61"/>
      <c r="H769" s="56"/>
      <c r="I769" s="5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6.25" customHeight="1">
      <c r="A770" s="57"/>
      <c r="B770" s="62"/>
      <c r="C770" s="58" t="str">
        <f>IFERROR(VLOOKUP(B:B,'SALDO ATUAL'!$A$3:$E$505,3,0),"")</f>
        <v/>
      </c>
      <c r="D770" s="59"/>
      <c r="E770" s="60"/>
      <c r="F770" s="15"/>
      <c r="G770" s="61"/>
      <c r="H770" s="56"/>
      <c r="I770" s="5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6.25" customHeight="1">
      <c r="A771" s="57"/>
      <c r="B771" s="62"/>
      <c r="C771" s="58" t="str">
        <f>IFERROR(VLOOKUP(B:B,'SALDO ATUAL'!$A$3:$E$505,3,0),"")</f>
        <v/>
      </c>
      <c r="D771" s="59"/>
      <c r="E771" s="60"/>
      <c r="F771" s="15"/>
      <c r="G771" s="61"/>
      <c r="H771" s="56"/>
      <c r="I771" s="5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6.25" customHeight="1">
      <c r="A772" s="57"/>
      <c r="B772" s="62"/>
      <c r="C772" s="58" t="str">
        <f>IFERROR(VLOOKUP(B:B,'SALDO ATUAL'!$A$3:$E$505,3,0),"")</f>
        <v/>
      </c>
      <c r="D772" s="59"/>
      <c r="E772" s="60"/>
      <c r="F772" s="15"/>
      <c r="G772" s="61"/>
      <c r="H772" s="56"/>
      <c r="I772" s="5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6.25" customHeight="1">
      <c r="A773" s="57"/>
      <c r="B773" s="62"/>
      <c r="C773" s="58" t="str">
        <f>IFERROR(VLOOKUP(B:B,'SALDO ATUAL'!$A$3:$E$505,3,0),"")</f>
        <v/>
      </c>
      <c r="D773" s="59"/>
      <c r="E773" s="60"/>
      <c r="F773" s="15"/>
      <c r="G773" s="61"/>
      <c r="H773" s="56"/>
      <c r="I773" s="5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6.25" customHeight="1">
      <c r="A774" s="57"/>
      <c r="B774" s="62"/>
      <c r="C774" s="58" t="str">
        <f>IFERROR(VLOOKUP(B:B,'SALDO ATUAL'!$A$3:$E$505,3,0),"")</f>
        <v/>
      </c>
      <c r="D774" s="59"/>
      <c r="E774" s="60"/>
      <c r="F774" s="15"/>
      <c r="G774" s="61"/>
      <c r="H774" s="56"/>
      <c r="I774" s="5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6.25" customHeight="1">
      <c r="A775" s="57"/>
      <c r="B775" s="62"/>
      <c r="C775" s="58" t="str">
        <f>IFERROR(VLOOKUP(B:B,'SALDO ATUAL'!$A$3:$E$505,3,0),"")</f>
        <v/>
      </c>
      <c r="D775" s="59"/>
      <c r="E775" s="60"/>
      <c r="F775" s="15"/>
      <c r="G775" s="61"/>
      <c r="H775" s="56"/>
      <c r="I775" s="5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6.25" customHeight="1">
      <c r="A776" s="57"/>
      <c r="B776" s="62"/>
      <c r="C776" s="58" t="str">
        <f>IFERROR(VLOOKUP(B:B,'SALDO ATUAL'!$A$3:$E$505,3,0),"")</f>
        <v/>
      </c>
      <c r="D776" s="59"/>
      <c r="E776" s="60"/>
      <c r="F776" s="15"/>
      <c r="G776" s="61"/>
      <c r="H776" s="56"/>
      <c r="I776" s="5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6.25" customHeight="1">
      <c r="A777" s="57"/>
      <c r="B777" s="62"/>
      <c r="C777" s="58" t="str">
        <f>IFERROR(VLOOKUP(B:B,'SALDO ATUAL'!$A$3:$E$505,3,0),"")</f>
        <v/>
      </c>
      <c r="D777" s="59"/>
      <c r="E777" s="60"/>
      <c r="F777" s="15"/>
      <c r="G777" s="61"/>
      <c r="H777" s="56"/>
      <c r="I777" s="5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6.25" customHeight="1">
      <c r="A778" s="57"/>
      <c r="B778" s="62"/>
      <c r="C778" s="58" t="str">
        <f>IFERROR(VLOOKUP(B:B,'SALDO ATUAL'!$A$3:$E$505,3,0),"")</f>
        <v/>
      </c>
      <c r="D778" s="59"/>
      <c r="E778" s="60"/>
      <c r="F778" s="15"/>
      <c r="G778" s="61"/>
      <c r="H778" s="56"/>
      <c r="I778" s="5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6.25" customHeight="1">
      <c r="A779" s="57"/>
      <c r="B779" s="62"/>
      <c r="C779" s="58" t="str">
        <f>IFERROR(VLOOKUP(B:B,'SALDO ATUAL'!$A$3:$E$505,3,0),"")</f>
        <v/>
      </c>
      <c r="D779" s="59"/>
      <c r="E779" s="60"/>
      <c r="F779" s="15"/>
      <c r="G779" s="61"/>
      <c r="H779" s="56"/>
      <c r="I779" s="5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6.25" customHeight="1">
      <c r="A780" s="57"/>
      <c r="B780" s="62"/>
      <c r="C780" s="58" t="str">
        <f>IFERROR(VLOOKUP(B:B,'SALDO ATUAL'!$A$3:$E$505,3,0),"")</f>
        <v/>
      </c>
      <c r="D780" s="59"/>
      <c r="E780" s="60"/>
      <c r="F780" s="15"/>
      <c r="G780" s="61"/>
      <c r="H780" s="56"/>
      <c r="I780" s="5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6.25" customHeight="1">
      <c r="A781" s="57"/>
      <c r="B781" s="62"/>
      <c r="C781" s="58" t="str">
        <f>IFERROR(VLOOKUP(B:B,'SALDO ATUAL'!$A$3:$E$505,3,0),"")</f>
        <v/>
      </c>
      <c r="D781" s="59"/>
      <c r="E781" s="60"/>
      <c r="F781" s="15"/>
      <c r="G781" s="61"/>
      <c r="H781" s="56"/>
      <c r="I781" s="5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6.25" customHeight="1">
      <c r="A782" s="57"/>
      <c r="B782" s="62"/>
      <c r="C782" s="58" t="str">
        <f>IFERROR(VLOOKUP(B:B,'SALDO ATUAL'!$A$3:$E$505,3,0),"")</f>
        <v/>
      </c>
      <c r="D782" s="59"/>
      <c r="E782" s="60"/>
      <c r="F782" s="15"/>
      <c r="G782" s="61"/>
      <c r="H782" s="56"/>
      <c r="I782" s="5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6.25" customHeight="1">
      <c r="A783" s="57"/>
      <c r="B783" s="62"/>
      <c r="C783" s="58" t="str">
        <f>IFERROR(VLOOKUP(B:B,'SALDO ATUAL'!$A$3:$E$505,3,0),"")</f>
        <v/>
      </c>
      <c r="D783" s="59"/>
      <c r="E783" s="60"/>
      <c r="F783" s="15"/>
      <c r="G783" s="61"/>
      <c r="H783" s="56"/>
      <c r="I783" s="5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6.25" customHeight="1">
      <c r="A784" s="57"/>
      <c r="B784" s="62"/>
      <c r="C784" s="58" t="str">
        <f>IFERROR(VLOOKUP(B:B,'SALDO ATUAL'!$A$3:$E$505,3,0),"")</f>
        <v/>
      </c>
      <c r="D784" s="59"/>
      <c r="E784" s="60"/>
      <c r="F784" s="15"/>
      <c r="G784" s="61"/>
      <c r="H784" s="56"/>
      <c r="I784" s="5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6.25" customHeight="1">
      <c r="A785" s="57"/>
      <c r="B785" s="62"/>
      <c r="C785" s="58" t="str">
        <f>IFERROR(VLOOKUP(B:B,'SALDO ATUAL'!$A$3:$E$505,3,0),"")</f>
        <v/>
      </c>
      <c r="D785" s="59"/>
      <c r="E785" s="60"/>
      <c r="F785" s="15"/>
      <c r="G785" s="61"/>
      <c r="H785" s="56"/>
      <c r="I785" s="5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6.25" customHeight="1">
      <c r="A786" s="57"/>
      <c r="B786" s="62"/>
      <c r="C786" s="58" t="str">
        <f>IFERROR(VLOOKUP(B:B,'SALDO ATUAL'!$A$3:$E$505,3,0),"")</f>
        <v/>
      </c>
      <c r="D786" s="59"/>
      <c r="E786" s="60"/>
      <c r="F786" s="15"/>
      <c r="G786" s="61"/>
      <c r="H786" s="56"/>
      <c r="I786" s="5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6.25" customHeight="1">
      <c r="A787" s="57"/>
      <c r="B787" s="62"/>
      <c r="C787" s="58" t="str">
        <f>IFERROR(VLOOKUP(B:B,'SALDO ATUAL'!$A$3:$E$505,3,0),"")</f>
        <v/>
      </c>
      <c r="D787" s="59"/>
      <c r="E787" s="60"/>
      <c r="F787" s="15"/>
      <c r="G787" s="61"/>
      <c r="H787" s="56"/>
      <c r="I787" s="5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6.25" customHeight="1">
      <c r="A788" s="57"/>
      <c r="B788" s="62"/>
      <c r="C788" s="58" t="str">
        <f>IFERROR(VLOOKUP(B:B,'SALDO ATUAL'!$A$3:$E$505,3,0),"")</f>
        <v/>
      </c>
      <c r="D788" s="59"/>
      <c r="E788" s="60"/>
      <c r="F788" s="15"/>
      <c r="G788" s="61"/>
      <c r="H788" s="56"/>
      <c r="I788" s="5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6.25" customHeight="1">
      <c r="A789" s="57"/>
      <c r="B789" s="62"/>
      <c r="C789" s="58" t="str">
        <f>IFERROR(VLOOKUP(B:B,'SALDO ATUAL'!$A$3:$E$505,3,0),"")</f>
        <v/>
      </c>
      <c r="D789" s="59"/>
      <c r="E789" s="60"/>
      <c r="F789" s="15"/>
      <c r="G789" s="61"/>
      <c r="H789" s="56"/>
      <c r="I789" s="5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6.25" customHeight="1">
      <c r="A790" s="57"/>
      <c r="B790" s="62"/>
      <c r="C790" s="58" t="str">
        <f>IFERROR(VLOOKUP(B:B,'SALDO ATUAL'!$A$3:$E$505,3,0),"")</f>
        <v/>
      </c>
      <c r="D790" s="59"/>
      <c r="E790" s="60"/>
      <c r="F790" s="15"/>
      <c r="G790" s="61"/>
      <c r="H790" s="56"/>
      <c r="I790" s="5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6.25" customHeight="1">
      <c r="A791" s="57"/>
      <c r="B791" s="62"/>
      <c r="C791" s="58" t="str">
        <f>IFERROR(VLOOKUP(B:B,'SALDO ATUAL'!$A$3:$E$505,3,0),"")</f>
        <v/>
      </c>
      <c r="D791" s="59"/>
      <c r="E791" s="60"/>
      <c r="F791" s="15"/>
      <c r="G791" s="61"/>
      <c r="H791" s="56"/>
      <c r="I791" s="5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6.25" customHeight="1">
      <c r="A792" s="57"/>
      <c r="B792" s="62"/>
      <c r="C792" s="58" t="str">
        <f>IFERROR(VLOOKUP(B:B,'SALDO ATUAL'!$A$3:$E$505,3,0),"")</f>
        <v/>
      </c>
      <c r="D792" s="59"/>
      <c r="E792" s="60"/>
      <c r="F792" s="15"/>
      <c r="G792" s="61"/>
      <c r="H792" s="56"/>
      <c r="I792" s="5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6.25" customHeight="1">
      <c r="A793" s="57"/>
      <c r="B793" s="62"/>
      <c r="C793" s="58" t="str">
        <f>IFERROR(VLOOKUP(B:B,'SALDO ATUAL'!$A$3:$E$505,3,0),"")</f>
        <v/>
      </c>
      <c r="D793" s="59"/>
      <c r="E793" s="60"/>
      <c r="F793" s="15"/>
      <c r="G793" s="61"/>
      <c r="H793" s="56"/>
      <c r="I793" s="5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6.25" customHeight="1">
      <c r="A794" s="57"/>
      <c r="B794" s="62"/>
      <c r="C794" s="58" t="str">
        <f>IFERROR(VLOOKUP(B:B,'SALDO ATUAL'!$A$3:$E$505,3,0),"")</f>
        <v/>
      </c>
      <c r="D794" s="59"/>
      <c r="E794" s="60"/>
      <c r="F794" s="15"/>
      <c r="G794" s="61"/>
      <c r="H794" s="56"/>
      <c r="I794" s="5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6.25" customHeight="1">
      <c r="A795" s="57"/>
      <c r="B795" s="62"/>
      <c r="C795" s="58" t="str">
        <f>IFERROR(VLOOKUP(B:B,'SALDO ATUAL'!$A$3:$E$505,3,0),"")</f>
        <v/>
      </c>
      <c r="D795" s="59"/>
      <c r="E795" s="60"/>
      <c r="F795" s="15"/>
      <c r="G795" s="61"/>
      <c r="H795" s="56"/>
      <c r="I795" s="5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6.25" customHeight="1">
      <c r="A796" s="57"/>
      <c r="B796" s="62"/>
      <c r="C796" s="58" t="str">
        <f>IFERROR(VLOOKUP(B:B,'SALDO ATUAL'!$A$3:$E$505,3,0),"")</f>
        <v/>
      </c>
      <c r="D796" s="59"/>
      <c r="E796" s="60"/>
      <c r="F796" s="15"/>
      <c r="G796" s="61"/>
      <c r="H796" s="56"/>
      <c r="I796" s="5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6.25" customHeight="1">
      <c r="A797" s="57"/>
      <c r="B797" s="62"/>
      <c r="C797" s="58" t="str">
        <f>IFERROR(VLOOKUP(B:B,'SALDO ATUAL'!$A$3:$E$505,3,0),"")</f>
        <v/>
      </c>
      <c r="D797" s="59"/>
      <c r="E797" s="60"/>
      <c r="F797" s="15"/>
      <c r="G797" s="61"/>
      <c r="H797" s="56"/>
      <c r="I797" s="5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6.25" customHeight="1">
      <c r="A798" s="57"/>
      <c r="B798" s="62"/>
      <c r="C798" s="58" t="str">
        <f>IFERROR(VLOOKUP(B:B,'SALDO ATUAL'!$A$3:$E$505,3,0),"")</f>
        <v/>
      </c>
      <c r="D798" s="59"/>
      <c r="E798" s="60"/>
      <c r="F798" s="15"/>
      <c r="G798" s="61"/>
      <c r="H798" s="56"/>
      <c r="I798" s="5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6.25" customHeight="1">
      <c r="A799" s="57"/>
      <c r="B799" s="62"/>
      <c r="C799" s="58" t="str">
        <f>IFERROR(VLOOKUP(B:B,'SALDO ATUAL'!$A$3:$E$505,3,0),"")</f>
        <v/>
      </c>
      <c r="D799" s="59"/>
      <c r="E799" s="60"/>
      <c r="F799" s="15"/>
      <c r="G799" s="61"/>
      <c r="H799" s="56"/>
      <c r="I799" s="5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6.25" customHeight="1">
      <c r="A800" s="57"/>
      <c r="B800" s="62"/>
      <c r="C800" s="58" t="str">
        <f>IFERROR(VLOOKUP(B:B,'SALDO ATUAL'!$A$3:$E$505,3,0),"")</f>
        <v/>
      </c>
      <c r="D800" s="59"/>
      <c r="E800" s="60"/>
      <c r="F800" s="15"/>
      <c r="G800" s="61"/>
      <c r="H800" s="56"/>
      <c r="I800" s="5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6.25" customHeight="1">
      <c r="A801" s="57"/>
      <c r="B801" s="62"/>
      <c r="C801" s="58" t="str">
        <f>IFERROR(VLOOKUP(B:B,'SALDO ATUAL'!$A$3:$E$505,3,0),"")</f>
        <v/>
      </c>
      <c r="D801" s="59"/>
      <c r="E801" s="60"/>
      <c r="F801" s="15"/>
      <c r="G801" s="61"/>
      <c r="H801" s="56"/>
      <c r="I801" s="5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6.25" customHeight="1">
      <c r="A802" s="57"/>
      <c r="B802" s="62"/>
      <c r="C802" s="58" t="str">
        <f>IFERROR(VLOOKUP(B:B,'SALDO ATUAL'!$A$3:$E$505,3,0),"")</f>
        <v/>
      </c>
      <c r="D802" s="59"/>
      <c r="E802" s="60"/>
      <c r="F802" s="15"/>
      <c r="G802" s="61"/>
      <c r="H802" s="56"/>
      <c r="I802" s="5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6.25" customHeight="1">
      <c r="A803" s="57"/>
      <c r="B803" s="62"/>
      <c r="C803" s="58" t="str">
        <f>IFERROR(VLOOKUP(B:B,'SALDO ATUAL'!$A$3:$E$505,3,0),"")</f>
        <v/>
      </c>
      <c r="D803" s="59"/>
      <c r="E803" s="60"/>
      <c r="F803" s="15"/>
      <c r="G803" s="61"/>
      <c r="H803" s="56"/>
      <c r="I803" s="5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6.25" customHeight="1">
      <c r="A804" s="57"/>
      <c r="B804" s="62"/>
      <c r="C804" s="58" t="str">
        <f>IFERROR(VLOOKUP(B:B,'SALDO ATUAL'!$A$3:$E$505,3,0),"")</f>
        <v/>
      </c>
      <c r="D804" s="59"/>
      <c r="E804" s="60"/>
      <c r="F804" s="15"/>
      <c r="G804" s="61"/>
      <c r="H804" s="56"/>
      <c r="I804" s="5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6.25" customHeight="1">
      <c r="A805" s="57"/>
      <c r="B805" s="62"/>
      <c r="C805" s="58" t="str">
        <f>IFERROR(VLOOKUP(B:B,'SALDO ATUAL'!$A$3:$E$505,3,0),"")</f>
        <v/>
      </c>
      <c r="D805" s="59"/>
      <c r="E805" s="60"/>
      <c r="F805" s="15"/>
      <c r="G805" s="61"/>
      <c r="H805" s="56"/>
      <c r="I805" s="5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6.25" customHeight="1">
      <c r="A806" s="57"/>
      <c r="B806" s="62"/>
      <c r="C806" s="58" t="str">
        <f>IFERROR(VLOOKUP(B:B,'SALDO ATUAL'!$A$3:$E$505,3,0),"")</f>
        <v/>
      </c>
      <c r="D806" s="59"/>
      <c r="E806" s="60"/>
      <c r="F806" s="15"/>
      <c r="G806" s="61"/>
      <c r="H806" s="56"/>
      <c r="I806" s="5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6.25" customHeight="1">
      <c r="A807" s="57"/>
      <c r="B807" s="62"/>
      <c r="C807" s="58" t="str">
        <f>IFERROR(VLOOKUP(B:B,'SALDO ATUAL'!$A$3:$E$505,3,0),"")</f>
        <v/>
      </c>
      <c r="D807" s="59"/>
      <c r="E807" s="60"/>
      <c r="F807" s="15"/>
      <c r="G807" s="61"/>
      <c r="H807" s="56"/>
      <c r="I807" s="5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6.25" customHeight="1">
      <c r="A808" s="57"/>
      <c r="B808" s="62"/>
      <c r="C808" s="58" t="str">
        <f>IFERROR(VLOOKUP(B:B,'SALDO ATUAL'!$A$3:$E$505,3,0),"")</f>
        <v/>
      </c>
      <c r="D808" s="59"/>
      <c r="E808" s="60"/>
      <c r="F808" s="15"/>
      <c r="G808" s="61"/>
      <c r="H808" s="56"/>
      <c r="I808" s="5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6.25" customHeight="1">
      <c r="A809" s="57"/>
      <c r="B809" s="62"/>
      <c r="C809" s="58" t="str">
        <f>IFERROR(VLOOKUP(B:B,'SALDO ATUAL'!$A$3:$E$505,3,0),"")</f>
        <v/>
      </c>
      <c r="D809" s="59"/>
      <c r="E809" s="60"/>
      <c r="F809" s="15"/>
      <c r="G809" s="61"/>
      <c r="H809" s="56"/>
      <c r="I809" s="5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6.25" customHeight="1">
      <c r="A810" s="57"/>
      <c r="B810" s="62"/>
      <c r="C810" s="58" t="str">
        <f>IFERROR(VLOOKUP(B:B,'SALDO ATUAL'!$A$3:$E$505,3,0),"")</f>
        <v/>
      </c>
      <c r="D810" s="59"/>
      <c r="E810" s="60"/>
      <c r="F810" s="15"/>
      <c r="G810" s="61"/>
      <c r="H810" s="56"/>
      <c r="I810" s="5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6.25" customHeight="1">
      <c r="A811" s="57"/>
      <c r="B811" s="62"/>
      <c r="C811" s="58" t="str">
        <f>IFERROR(VLOOKUP(B:B,'SALDO ATUAL'!$A$3:$E$505,3,0),"")</f>
        <v/>
      </c>
      <c r="D811" s="59"/>
      <c r="E811" s="60"/>
      <c r="F811" s="15"/>
      <c r="G811" s="61"/>
      <c r="H811" s="56"/>
      <c r="I811" s="5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6.25" customHeight="1">
      <c r="A812" s="57"/>
      <c r="B812" s="62"/>
      <c r="C812" s="58" t="str">
        <f>IFERROR(VLOOKUP(B:B,'SALDO ATUAL'!$A$3:$E$505,3,0),"")</f>
        <v/>
      </c>
      <c r="D812" s="59"/>
      <c r="E812" s="60"/>
      <c r="F812" s="15"/>
      <c r="G812" s="61"/>
      <c r="H812" s="56"/>
      <c r="I812" s="5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6.25" customHeight="1">
      <c r="A813" s="57"/>
      <c r="B813" s="62"/>
      <c r="C813" s="58" t="str">
        <f>IFERROR(VLOOKUP(B:B,'SALDO ATUAL'!$A$3:$E$505,3,0),"")</f>
        <v/>
      </c>
      <c r="D813" s="59"/>
      <c r="E813" s="60"/>
      <c r="F813" s="15"/>
      <c r="G813" s="61"/>
      <c r="H813" s="56"/>
      <c r="I813" s="5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6.25" customHeight="1">
      <c r="A814" s="57"/>
      <c r="B814" s="62"/>
      <c r="C814" s="58" t="str">
        <f>IFERROR(VLOOKUP(B:B,'SALDO ATUAL'!$A$3:$E$505,3,0),"")</f>
        <v/>
      </c>
      <c r="D814" s="59"/>
      <c r="E814" s="60"/>
      <c r="F814" s="15"/>
      <c r="G814" s="61"/>
      <c r="H814" s="56"/>
      <c r="I814" s="5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6.25" customHeight="1">
      <c r="A815" s="57"/>
      <c r="B815" s="62"/>
      <c r="C815" s="58" t="str">
        <f>IFERROR(VLOOKUP(B:B,'SALDO ATUAL'!$A$3:$E$505,3,0),"")</f>
        <v/>
      </c>
      <c r="D815" s="59"/>
      <c r="E815" s="60"/>
      <c r="F815" s="15"/>
      <c r="G815" s="61"/>
      <c r="H815" s="56"/>
      <c r="I815" s="5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6.25" customHeight="1">
      <c r="A816" s="57"/>
      <c r="B816" s="62"/>
      <c r="C816" s="58" t="str">
        <f>IFERROR(VLOOKUP(B:B,'SALDO ATUAL'!$A$3:$E$505,3,0),"")</f>
        <v/>
      </c>
      <c r="D816" s="59"/>
      <c r="E816" s="60"/>
      <c r="F816" s="15"/>
      <c r="G816" s="61"/>
      <c r="H816" s="56"/>
      <c r="I816" s="5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6.25" customHeight="1">
      <c r="A817" s="57"/>
      <c r="B817" s="62"/>
      <c r="C817" s="58" t="str">
        <f>IFERROR(VLOOKUP(B:B,'SALDO ATUAL'!$A$3:$E$505,3,0),"")</f>
        <v/>
      </c>
      <c r="D817" s="59"/>
      <c r="E817" s="60"/>
      <c r="F817" s="15"/>
      <c r="G817" s="61"/>
      <c r="H817" s="56"/>
      <c r="I817" s="5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6.25" customHeight="1">
      <c r="A818" s="57"/>
      <c r="B818" s="62"/>
      <c r="C818" s="58" t="str">
        <f>IFERROR(VLOOKUP(B:B,'SALDO ATUAL'!$A$3:$E$505,3,0),"")</f>
        <v/>
      </c>
      <c r="D818" s="59"/>
      <c r="E818" s="60"/>
      <c r="F818" s="15"/>
      <c r="G818" s="61"/>
      <c r="H818" s="56"/>
      <c r="I818" s="5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6.25" customHeight="1">
      <c r="A819" s="57"/>
      <c r="B819" s="62"/>
      <c r="C819" s="58" t="str">
        <f>IFERROR(VLOOKUP(B:B,'SALDO ATUAL'!$A$3:$E$505,3,0),"")</f>
        <v/>
      </c>
      <c r="D819" s="59"/>
      <c r="E819" s="60"/>
      <c r="F819" s="15"/>
      <c r="G819" s="61"/>
      <c r="H819" s="56"/>
      <c r="I819" s="5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6.25" customHeight="1">
      <c r="A820" s="57"/>
      <c r="B820" s="62"/>
      <c r="C820" s="58" t="str">
        <f>IFERROR(VLOOKUP(B:B,'SALDO ATUAL'!$A$3:$E$505,3,0),"")</f>
        <v/>
      </c>
      <c r="D820" s="59"/>
      <c r="E820" s="60"/>
      <c r="F820" s="15"/>
      <c r="G820" s="61"/>
      <c r="H820" s="56"/>
      <c r="I820" s="5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6.25" customHeight="1">
      <c r="A821" s="57"/>
      <c r="B821" s="62"/>
      <c r="C821" s="58" t="str">
        <f>IFERROR(VLOOKUP(B:B,'SALDO ATUAL'!$A$3:$E$505,3,0),"")</f>
        <v/>
      </c>
      <c r="D821" s="59"/>
      <c r="E821" s="60"/>
      <c r="F821" s="15"/>
      <c r="G821" s="61"/>
      <c r="H821" s="56"/>
      <c r="I821" s="5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6.25" customHeight="1">
      <c r="A822" s="57"/>
      <c r="B822" s="62"/>
      <c r="C822" s="58" t="str">
        <f>IFERROR(VLOOKUP(B:B,'SALDO ATUAL'!$A$3:$E$505,3,0),"")</f>
        <v/>
      </c>
      <c r="D822" s="59"/>
      <c r="E822" s="60"/>
      <c r="F822" s="15"/>
      <c r="G822" s="61"/>
      <c r="H822" s="56"/>
      <c r="I822" s="5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6.25" customHeight="1">
      <c r="A823" s="57"/>
      <c r="B823" s="62"/>
      <c r="C823" s="58" t="str">
        <f>IFERROR(VLOOKUP(B:B,'SALDO ATUAL'!$A$3:$E$505,3,0),"")</f>
        <v/>
      </c>
      <c r="D823" s="59"/>
      <c r="E823" s="60"/>
      <c r="F823" s="15"/>
      <c r="G823" s="61"/>
      <c r="H823" s="56"/>
      <c r="I823" s="5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6.25" customHeight="1">
      <c r="A824" s="57"/>
      <c r="B824" s="62"/>
      <c r="C824" s="58" t="str">
        <f>IFERROR(VLOOKUP(B:B,'SALDO ATUAL'!$A$3:$E$505,3,0),"")</f>
        <v/>
      </c>
      <c r="D824" s="59"/>
      <c r="E824" s="60"/>
      <c r="F824" s="15"/>
      <c r="G824" s="61"/>
      <c r="H824" s="56"/>
      <c r="I824" s="5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6.25" customHeight="1">
      <c r="A825" s="57"/>
      <c r="B825" s="62"/>
      <c r="C825" s="58" t="str">
        <f>IFERROR(VLOOKUP(B:B,'SALDO ATUAL'!$A$3:$E$505,3,0),"")</f>
        <v/>
      </c>
      <c r="D825" s="59"/>
      <c r="E825" s="60"/>
      <c r="F825" s="15"/>
      <c r="G825" s="61"/>
      <c r="H825" s="56"/>
      <c r="I825" s="5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6.25" customHeight="1">
      <c r="A826" s="57"/>
      <c r="B826" s="62"/>
      <c r="C826" s="58" t="str">
        <f>IFERROR(VLOOKUP(B:B,'SALDO ATUAL'!$A$3:$E$505,3,0),"")</f>
        <v/>
      </c>
      <c r="D826" s="59"/>
      <c r="E826" s="60"/>
      <c r="F826" s="15"/>
      <c r="G826" s="61"/>
      <c r="H826" s="56"/>
      <c r="I826" s="5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6.25" customHeight="1">
      <c r="A827" s="57"/>
      <c r="B827" s="62"/>
      <c r="C827" s="58" t="str">
        <f>IFERROR(VLOOKUP(B:B,'SALDO ATUAL'!$A$3:$E$505,3,0),"")</f>
        <v/>
      </c>
      <c r="D827" s="59"/>
      <c r="E827" s="60"/>
      <c r="F827" s="15"/>
      <c r="G827" s="61"/>
      <c r="H827" s="56"/>
      <c r="I827" s="5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6.25" customHeight="1">
      <c r="A828" s="57"/>
      <c r="B828" s="62"/>
      <c r="C828" s="58" t="str">
        <f>IFERROR(VLOOKUP(B:B,'SALDO ATUAL'!$A$3:$E$505,3,0),"")</f>
        <v/>
      </c>
      <c r="D828" s="59"/>
      <c r="E828" s="60"/>
      <c r="F828" s="15"/>
      <c r="G828" s="61"/>
      <c r="H828" s="56"/>
      <c r="I828" s="5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6.25" customHeight="1">
      <c r="A829" s="57"/>
      <c r="B829" s="62"/>
      <c r="C829" s="58" t="str">
        <f>IFERROR(VLOOKUP(B:B,'SALDO ATUAL'!$A$3:$E$505,3,0),"")</f>
        <v/>
      </c>
      <c r="D829" s="59"/>
      <c r="E829" s="60"/>
      <c r="F829" s="15"/>
      <c r="G829" s="61"/>
      <c r="H829" s="56"/>
      <c r="I829" s="5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6.25" customHeight="1">
      <c r="A830" s="57"/>
      <c r="B830" s="62"/>
      <c r="C830" s="58" t="str">
        <f>IFERROR(VLOOKUP(B:B,'SALDO ATUAL'!$A$3:$E$505,3,0),"")</f>
        <v/>
      </c>
      <c r="D830" s="59"/>
      <c r="E830" s="60"/>
      <c r="F830" s="15"/>
      <c r="G830" s="61"/>
      <c r="H830" s="56"/>
      <c r="I830" s="5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6.25" customHeight="1">
      <c r="A831" s="57"/>
      <c r="B831" s="62"/>
      <c r="C831" s="58" t="str">
        <f>IFERROR(VLOOKUP(B:B,'SALDO ATUAL'!$A$3:$E$505,3,0),"")</f>
        <v/>
      </c>
      <c r="D831" s="59"/>
      <c r="E831" s="60"/>
      <c r="F831" s="15"/>
      <c r="G831" s="61"/>
      <c r="H831" s="56"/>
      <c r="I831" s="5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6.25" customHeight="1">
      <c r="A832" s="57"/>
      <c r="B832" s="62"/>
      <c r="C832" s="58" t="str">
        <f>IFERROR(VLOOKUP(B:B,'SALDO ATUAL'!$A$3:$E$505,3,0),"")</f>
        <v/>
      </c>
      <c r="D832" s="59"/>
      <c r="E832" s="60"/>
      <c r="F832" s="15"/>
      <c r="G832" s="61"/>
      <c r="H832" s="56"/>
      <c r="I832" s="5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6.25" customHeight="1">
      <c r="A833" s="57"/>
      <c r="B833" s="62"/>
      <c r="C833" s="58" t="str">
        <f>IFERROR(VLOOKUP(B:B,'SALDO ATUAL'!$A$3:$E$505,3,0),"")</f>
        <v/>
      </c>
      <c r="D833" s="59"/>
      <c r="E833" s="60"/>
      <c r="F833" s="15"/>
      <c r="G833" s="61"/>
      <c r="H833" s="56"/>
      <c r="I833" s="5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6.25" customHeight="1">
      <c r="A834" s="57"/>
      <c r="B834" s="62"/>
      <c r="C834" s="58" t="str">
        <f>IFERROR(VLOOKUP(B:B,'SALDO ATUAL'!$A$3:$E$505,3,0),"")</f>
        <v/>
      </c>
      <c r="D834" s="59"/>
      <c r="E834" s="60"/>
      <c r="F834" s="15"/>
      <c r="G834" s="61"/>
      <c r="H834" s="56"/>
      <c r="I834" s="5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6.25" customHeight="1">
      <c r="A835" s="57"/>
      <c r="B835" s="62"/>
      <c r="C835" s="58" t="str">
        <f>IFERROR(VLOOKUP(B:B,'SALDO ATUAL'!$A$3:$E$505,3,0),"")</f>
        <v/>
      </c>
      <c r="D835" s="59"/>
      <c r="E835" s="60"/>
      <c r="F835" s="15"/>
      <c r="G835" s="61"/>
      <c r="H835" s="56"/>
      <c r="I835" s="5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6.25" customHeight="1">
      <c r="A836" s="57"/>
      <c r="B836" s="62"/>
      <c r="C836" s="58" t="str">
        <f>IFERROR(VLOOKUP(B:B,'SALDO ATUAL'!$A$3:$E$505,3,0),"")</f>
        <v/>
      </c>
      <c r="D836" s="59"/>
      <c r="E836" s="60"/>
      <c r="F836" s="15"/>
      <c r="G836" s="61"/>
      <c r="H836" s="56"/>
      <c r="I836" s="5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6.25" customHeight="1">
      <c r="A837" s="57"/>
      <c r="B837" s="62"/>
      <c r="C837" s="58" t="str">
        <f>IFERROR(VLOOKUP(B:B,'SALDO ATUAL'!$A$3:$E$505,3,0),"")</f>
        <v/>
      </c>
      <c r="D837" s="59"/>
      <c r="E837" s="60"/>
      <c r="F837" s="15"/>
      <c r="G837" s="61"/>
      <c r="H837" s="56"/>
      <c r="I837" s="5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6.25" customHeight="1">
      <c r="A838" s="57"/>
      <c r="B838" s="62"/>
      <c r="C838" s="58" t="str">
        <f>IFERROR(VLOOKUP(B:B,'SALDO ATUAL'!$A$3:$E$505,3,0),"")</f>
        <v/>
      </c>
      <c r="D838" s="59"/>
      <c r="E838" s="60"/>
      <c r="F838" s="15"/>
      <c r="G838" s="61"/>
      <c r="H838" s="56"/>
      <c r="I838" s="5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6.25" customHeight="1">
      <c r="A839" s="57"/>
      <c r="B839" s="62"/>
      <c r="C839" s="58" t="str">
        <f>IFERROR(VLOOKUP(B:B,'SALDO ATUAL'!$A$3:$E$505,3,0),"")</f>
        <v/>
      </c>
      <c r="D839" s="59"/>
      <c r="E839" s="60"/>
      <c r="F839" s="15"/>
      <c r="G839" s="61"/>
      <c r="H839" s="56"/>
      <c r="I839" s="5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6.25" customHeight="1">
      <c r="A840" s="57"/>
      <c r="B840" s="62"/>
      <c r="C840" s="58" t="str">
        <f>IFERROR(VLOOKUP(B:B,'SALDO ATUAL'!$A$3:$E$505,3,0),"")</f>
        <v/>
      </c>
      <c r="D840" s="59"/>
      <c r="E840" s="60"/>
      <c r="F840" s="15"/>
      <c r="G840" s="61"/>
      <c r="H840" s="56"/>
      <c r="I840" s="5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6.25" customHeight="1">
      <c r="A841" s="57"/>
      <c r="B841" s="62"/>
      <c r="C841" s="58" t="str">
        <f>IFERROR(VLOOKUP(B:B,'SALDO ATUAL'!$A$3:$E$505,3,0),"")</f>
        <v/>
      </c>
      <c r="D841" s="59"/>
      <c r="E841" s="60"/>
      <c r="F841" s="15"/>
      <c r="G841" s="61"/>
      <c r="H841" s="56"/>
      <c r="I841" s="5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6.25" customHeight="1">
      <c r="A842" s="57"/>
      <c r="B842" s="62"/>
      <c r="C842" s="58" t="str">
        <f>IFERROR(VLOOKUP(B:B,'SALDO ATUAL'!$A$3:$E$505,3,0),"")</f>
        <v/>
      </c>
      <c r="D842" s="59"/>
      <c r="E842" s="60"/>
      <c r="F842" s="15"/>
      <c r="G842" s="61"/>
      <c r="H842" s="56"/>
      <c r="I842" s="5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6.25" customHeight="1">
      <c r="A843" s="57"/>
      <c r="B843" s="62"/>
      <c r="C843" s="58" t="str">
        <f>IFERROR(VLOOKUP(B:B,'SALDO ATUAL'!$A$3:$E$505,3,0),"")</f>
        <v/>
      </c>
      <c r="D843" s="59"/>
      <c r="E843" s="60"/>
      <c r="F843" s="15"/>
      <c r="G843" s="61"/>
      <c r="H843" s="56"/>
      <c r="I843" s="5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6.25" customHeight="1">
      <c r="A844" s="57"/>
      <c r="B844" s="62"/>
      <c r="C844" s="58" t="str">
        <f>IFERROR(VLOOKUP(B:B,'SALDO ATUAL'!$A$3:$E$505,3,0),"")</f>
        <v/>
      </c>
      <c r="D844" s="59"/>
      <c r="E844" s="60"/>
      <c r="F844" s="15"/>
      <c r="G844" s="61"/>
      <c r="H844" s="56"/>
      <c r="I844" s="5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6.25" customHeight="1">
      <c r="A845" s="57"/>
      <c r="B845" s="62"/>
      <c r="C845" s="58" t="str">
        <f>IFERROR(VLOOKUP(B:B,'SALDO ATUAL'!$A$3:$E$505,3,0),"")</f>
        <v/>
      </c>
      <c r="D845" s="59"/>
      <c r="E845" s="60"/>
      <c r="F845" s="15"/>
      <c r="G845" s="61"/>
      <c r="H845" s="56"/>
      <c r="I845" s="5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6.25" customHeight="1">
      <c r="A846" s="57"/>
      <c r="B846" s="62"/>
      <c r="C846" s="58" t="str">
        <f>IFERROR(VLOOKUP(B:B,'SALDO ATUAL'!$A$3:$E$505,3,0),"")</f>
        <v/>
      </c>
      <c r="D846" s="59"/>
      <c r="E846" s="60"/>
      <c r="F846" s="15"/>
      <c r="G846" s="61"/>
      <c r="H846" s="56"/>
      <c r="I846" s="5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6.25" customHeight="1">
      <c r="A847" s="57"/>
      <c r="B847" s="62"/>
      <c r="C847" s="58" t="str">
        <f>IFERROR(VLOOKUP(B:B,'SALDO ATUAL'!$A$3:$E$505,3,0),"")</f>
        <v/>
      </c>
      <c r="D847" s="59"/>
      <c r="E847" s="60"/>
      <c r="F847" s="15"/>
      <c r="G847" s="61"/>
      <c r="H847" s="56"/>
      <c r="I847" s="5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6.25" customHeight="1">
      <c r="A848" s="57"/>
      <c r="B848" s="62"/>
      <c r="C848" s="58" t="str">
        <f>IFERROR(VLOOKUP(B:B,'SALDO ATUAL'!$A$3:$E$505,3,0),"")</f>
        <v/>
      </c>
      <c r="D848" s="59"/>
      <c r="E848" s="60"/>
      <c r="F848" s="15"/>
      <c r="G848" s="61"/>
      <c r="H848" s="56"/>
      <c r="I848" s="5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6.25" customHeight="1">
      <c r="A849" s="57"/>
      <c r="B849" s="62"/>
      <c r="C849" s="58" t="str">
        <f>IFERROR(VLOOKUP(B:B,'SALDO ATUAL'!$A$3:$E$505,3,0),"")</f>
        <v/>
      </c>
      <c r="D849" s="59"/>
      <c r="E849" s="60"/>
      <c r="F849" s="15"/>
      <c r="G849" s="61"/>
      <c r="H849" s="56"/>
      <c r="I849" s="5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6.25" customHeight="1">
      <c r="A850" s="57"/>
      <c r="B850" s="62"/>
      <c r="C850" s="58" t="str">
        <f>IFERROR(VLOOKUP(B:B,'SALDO ATUAL'!$A$3:$E$505,3,0),"")</f>
        <v/>
      </c>
      <c r="D850" s="59"/>
      <c r="E850" s="60"/>
      <c r="F850" s="15"/>
      <c r="G850" s="61"/>
      <c r="H850" s="56"/>
      <c r="I850" s="5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6.25" customHeight="1">
      <c r="A851" s="57"/>
      <c r="B851" s="62"/>
      <c r="C851" s="58" t="str">
        <f>IFERROR(VLOOKUP(B:B,'SALDO ATUAL'!$A$3:$E$505,3,0),"")</f>
        <v/>
      </c>
      <c r="D851" s="59"/>
      <c r="E851" s="60"/>
      <c r="F851" s="15"/>
      <c r="G851" s="61"/>
      <c r="H851" s="56"/>
      <c r="I851" s="5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6.25" customHeight="1">
      <c r="A852" s="57"/>
      <c r="B852" s="62"/>
      <c r="C852" s="58" t="str">
        <f>IFERROR(VLOOKUP(B:B,'SALDO ATUAL'!$A$3:$E$505,3,0),"")</f>
        <v/>
      </c>
      <c r="D852" s="59"/>
      <c r="E852" s="60"/>
      <c r="F852" s="15"/>
      <c r="G852" s="61"/>
      <c r="H852" s="56"/>
      <c r="I852" s="5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6.25" customHeight="1">
      <c r="A853" s="57"/>
      <c r="B853" s="62"/>
      <c r="C853" s="58" t="str">
        <f>IFERROR(VLOOKUP(B:B,'SALDO ATUAL'!$A$3:$E$505,3,0),"")</f>
        <v/>
      </c>
      <c r="D853" s="59"/>
      <c r="E853" s="60"/>
      <c r="F853" s="15"/>
      <c r="G853" s="61"/>
      <c r="H853" s="56"/>
      <c r="I853" s="5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6.25" customHeight="1">
      <c r="A854" s="57"/>
      <c r="B854" s="62"/>
      <c r="C854" s="58" t="str">
        <f>IFERROR(VLOOKUP(B:B,'SALDO ATUAL'!$A$3:$E$505,3,0),"")</f>
        <v/>
      </c>
      <c r="D854" s="59"/>
      <c r="E854" s="60"/>
      <c r="F854" s="15"/>
      <c r="G854" s="61"/>
      <c r="H854" s="56"/>
      <c r="I854" s="5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6.25" customHeight="1">
      <c r="A855" s="57"/>
      <c r="B855" s="62"/>
      <c r="C855" s="58" t="str">
        <f>IFERROR(VLOOKUP(B:B,'SALDO ATUAL'!$A$3:$E$505,3,0),"")</f>
        <v/>
      </c>
      <c r="D855" s="59"/>
      <c r="E855" s="60"/>
      <c r="F855" s="15"/>
      <c r="G855" s="61"/>
      <c r="H855" s="56"/>
      <c r="I855" s="5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6.25" customHeight="1">
      <c r="A856" s="57"/>
      <c r="B856" s="62"/>
      <c r="C856" s="58" t="str">
        <f>IFERROR(VLOOKUP(B:B,'SALDO ATUAL'!$A$3:$E$505,3,0),"")</f>
        <v/>
      </c>
      <c r="D856" s="59"/>
      <c r="E856" s="60"/>
      <c r="F856" s="15"/>
      <c r="G856" s="61"/>
      <c r="H856" s="56"/>
      <c r="I856" s="5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6.25" customHeight="1">
      <c r="A857" s="57"/>
      <c r="B857" s="62"/>
      <c r="C857" s="58" t="str">
        <f>IFERROR(VLOOKUP(B:B,'SALDO ATUAL'!$A$3:$E$505,3,0),"")</f>
        <v/>
      </c>
      <c r="D857" s="59"/>
      <c r="E857" s="60"/>
      <c r="F857" s="15"/>
      <c r="G857" s="61"/>
      <c r="H857" s="56"/>
      <c r="I857" s="5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6.25" customHeight="1">
      <c r="A858" s="57"/>
      <c r="B858" s="62"/>
      <c r="C858" s="58" t="str">
        <f>IFERROR(VLOOKUP(B:B,'SALDO ATUAL'!$A$3:$E$505,3,0),"")</f>
        <v/>
      </c>
      <c r="D858" s="59"/>
      <c r="E858" s="60"/>
      <c r="F858" s="15"/>
      <c r="G858" s="61"/>
      <c r="H858" s="56"/>
      <c r="I858" s="5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6.25" customHeight="1">
      <c r="A859" s="57"/>
      <c r="B859" s="62"/>
      <c r="C859" s="58" t="str">
        <f>IFERROR(VLOOKUP(B:B,'SALDO ATUAL'!$A$3:$E$505,3,0),"")</f>
        <v/>
      </c>
      <c r="D859" s="59"/>
      <c r="E859" s="60"/>
      <c r="F859" s="15"/>
      <c r="G859" s="61"/>
      <c r="H859" s="56"/>
      <c r="I859" s="5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6.25" customHeight="1">
      <c r="A860" s="57"/>
      <c r="B860" s="62"/>
      <c r="C860" s="58" t="str">
        <f>IFERROR(VLOOKUP(B:B,'SALDO ATUAL'!$A$3:$E$505,3,0),"")</f>
        <v/>
      </c>
      <c r="D860" s="59"/>
      <c r="E860" s="60"/>
      <c r="F860" s="15"/>
      <c r="G860" s="61"/>
      <c r="H860" s="56"/>
      <c r="I860" s="5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6.25" customHeight="1">
      <c r="A861" s="57"/>
      <c r="B861" s="62"/>
      <c r="C861" s="58" t="str">
        <f>IFERROR(VLOOKUP(B:B,'SALDO ATUAL'!$A$3:$E$505,3,0),"")</f>
        <v/>
      </c>
      <c r="D861" s="59"/>
      <c r="E861" s="60"/>
      <c r="F861" s="15"/>
      <c r="G861" s="61"/>
      <c r="H861" s="56"/>
      <c r="I861" s="5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6.25" customHeight="1">
      <c r="A862" s="57"/>
      <c r="B862" s="62"/>
      <c r="C862" s="58" t="str">
        <f>IFERROR(VLOOKUP(B:B,'SALDO ATUAL'!$A$3:$E$505,3,0),"")</f>
        <v/>
      </c>
      <c r="D862" s="59"/>
      <c r="E862" s="60"/>
      <c r="F862" s="15"/>
      <c r="G862" s="61"/>
      <c r="H862" s="56"/>
      <c r="I862" s="5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6.25" customHeight="1">
      <c r="A863" s="57"/>
      <c r="B863" s="62"/>
      <c r="C863" s="58" t="str">
        <f>IFERROR(VLOOKUP(B:B,'SALDO ATUAL'!$A$3:$E$505,3,0),"")</f>
        <v/>
      </c>
      <c r="D863" s="59"/>
      <c r="E863" s="60"/>
      <c r="F863" s="15"/>
      <c r="G863" s="61"/>
      <c r="H863" s="56"/>
      <c r="I863" s="5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6.25" customHeight="1">
      <c r="A864" s="57"/>
      <c r="B864" s="62"/>
      <c r="C864" s="58" t="str">
        <f>IFERROR(VLOOKUP(B:B,'SALDO ATUAL'!$A$3:$E$505,3,0),"")</f>
        <v/>
      </c>
      <c r="D864" s="59"/>
      <c r="E864" s="60"/>
      <c r="F864" s="15"/>
      <c r="G864" s="61"/>
      <c r="H864" s="56"/>
      <c r="I864" s="5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6.25" customHeight="1">
      <c r="A865" s="57"/>
      <c r="B865" s="62"/>
      <c r="C865" s="58" t="str">
        <f>IFERROR(VLOOKUP(B:B,'SALDO ATUAL'!$A$3:$E$505,3,0),"")</f>
        <v/>
      </c>
      <c r="D865" s="59"/>
      <c r="E865" s="60"/>
      <c r="F865" s="15"/>
      <c r="G865" s="61"/>
      <c r="H865" s="56"/>
      <c r="I865" s="5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6.25" customHeight="1">
      <c r="A866" s="57"/>
      <c r="B866" s="62"/>
      <c r="C866" s="58" t="str">
        <f>IFERROR(VLOOKUP(B:B,'SALDO ATUAL'!$A$3:$E$505,3,0),"")</f>
        <v/>
      </c>
      <c r="D866" s="59"/>
      <c r="E866" s="60"/>
      <c r="F866" s="15"/>
      <c r="G866" s="61"/>
      <c r="H866" s="56"/>
      <c r="I866" s="5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6.25" customHeight="1">
      <c r="A867" s="57"/>
      <c r="B867" s="62"/>
      <c r="C867" s="58" t="str">
        <f>IFERROR(VLOOKUP(B:B,'SALDO ATUAL'!$A$3:$E$505,3,0),"")</f>
        <v/>
      </c>
      <c r="D867" s="59"/>
      <c r="E867" s="60"/>
      <c r="F867" s="15"/>
      <c r="G867" s="61"/>
      <c r="H867" s="56"/>
      <c r="I867" s="5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6.25" customHeight="1">
      <c r="A868" s="57"/>
      <c r="B868" s="62"/>
      <c r="C868" s="58" t="str">
        <f>IFERROR(VLOOKUP(B:B,'SALDO ATUAL'!$A$3:$E$505,3,0),"")</f>
        <v/>
      </c>
      <c r="D868" s="59"/>
      <c r="E868" s="60"/>
      <c r="F868" s="15"/>
      <c r="G868" s="61"/>
      <c r="H868" s="56"/>
      <c r="I868" s="5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6.25" customHeight="1">
      <c r="A869" s="57"/>
      <c r="B869" s="62"/>
      <c r="C869" s="58" t="str">
        <f>IFERROR(VLOOKUP(B:B,'SALDO ATUAL'!$A$3:$E$505,3,0),"")</f>
        <v/>
      </c>
      <c r="D869" s="59"/>
      <c r="E869" s="60"/>
      <c r="F869" s="15"/>
      <c r="G869" s="61"/>
      <c r="H869" s="56"/>
      <c r="I869" s="5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6.25" customHeight="1">
      <c r="A870" s="57"/>
      <c r="B870" s="62"/>
      <c r="C870" s="58" t="str">
        <f>IFERROR(VLOOKUP(B:B,'SALDO ATUAL'!$A$3:$E$505,3,0),"")</f>
        <v/>
      </c>
      <c r="D870" s="59"/>
      <c r="E870" s="60"/>
      <c r="F870" s="15"/>
      <c r="G870" s="61"/>
      <c r="H870" s="56"/>
      <c r="I870" s="5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6.25" customHeight="1">
      <c r="A871" s="57"/>
      <c r="B871" s="62"/>
      <c r="C871" s="58" t="str">
        <f>IFERROR(VLOOKUP(B:B,'SALDO ATUAL'!$A$3:$E$505,3,0),"")</f>
        <v/>
      </c>
      <c r="D871" s="59"/>
      <c r="E871" s="60"/>
      <c r="F871" s="15"/>
      <c r="G871" s="61"/>
      <c r="H871" s="56"/>
      <c r="I871" s="5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6.25" customHeight="1">
      <c r="A872" s="57"/>
      <c r="B872" s="62"/>
      <c r="C872" s="58" t="str">
        <f>IFERROR(VLOOKUP(B:B,'SALDO ATUAL'!$A$3:$E$505,3,0),"")</f>
        <v/>
      </c>
      <c r="D872" s="59"/>
      <c r="E872" s="60"/>
      <c r="F872" s="15"/>
      <c r="G872" s="61"/>
      <c r="H872" s="56"/>
      <c r="I872" s="5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6.25" customHeight="1">
      <c r="A873" s="57"/>
      <c r="B873" s="62"/>
      <c r="C873" s="58" t="str">
        <f>IFERROR(VLOOKUP(B:B,'SALDO ATUAL'!$A$3:$E$505,3,0),"")</f>
        <v/>
      </c>
      <c r="D873" s="59"/>
      <c r="E873" s="60"/>
      <c r="F873" s="15"/>
      <c r="G873" s="61"/>
      <c r="H873" s="56"/>
      <c r="I873" s="5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6.25" customHeight="1">
      <c r="A874" s="57"/>
      <c r="B874" s="62"/>
      <c r="C874" s="58" t="str">
        <f>IFERROR(VLOOKUP(B:B,'SALDO ATUAL'!$A$3:$E$505,3,0),"")</f>
        <v/>
      </c>
      <c r="D874" s="59"/>
      <c r="E874" s="60"/>
      <c r="F874" s="15"/>
      <c r="G874" s="61"/>
      <c r="H874" s="56"/>
      <c r="I874" s="5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6.25" customHeight="1">
      <c r="A875" s="57"/>
      <c r="B875" s="62"/>
      <c r="C875" s="58" t="str">
        <f>IFERROR(VLOOKUP(B:B,'SALDO ATUAL'!$A$3:$E$505,3,0),"")</f>
        <v/>
      </c>
      <c r="D875" s="59"/>
      <c r="E875" s="60"/>
      <c r="F875" s="15"/>
      <c r="G875" s="61"/>
      <c r="H875" s="56"/>
      <c r="I875" s="5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6.25" customHeight="1">
      <c r="A876" s="57"/>
      <c r="B876" s="62"/>
      <c r="C876" s="58" t="str">
        <f>IFERROR(VLOOKUP(B:B,'SALDO ATUAL'!$A$3:$E$505,3,0),"")</f>
        <v/>
      </c>
      <c r="D876" s="59"/>
      <c r="E876" s="60"/>
      <c r="F876" s="15"/>
      <c r="G876" s="61"/>
      <c r="H876" s="56"/>
      <c r="I876" s="5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6.25" customHeight="1">
      <c r="A877" s="57"/>
      <c r="B877" s="62"/>
      <c r="C877" s="58" t="str">
        <f>IFERROR(VLOOKUP(B:B,'SALDO ATUAL'!$A$3:$E$505,3,0),"")</f>
        <v/>
      </c>
      <c r="D877" s="59"/>
      <c r="E877" s="60"/>
      <c r="F877" s="15"/>
      <c r="G877" s="61"/>
      <c r="H877" s="56"/>
      <c r="I877" s="5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6.25" customHeight="1">
      <c r="A878" s="57"/>
      <c r="B878" s="62"/>
      <c r="C878" s="58" t="str">
        <f>IFERROR(VLOOKUP(B:B,'SALDO ATUAL'!$A$3:$E$505,3,0),"")</f>
        <v/>
      </c>
      <c r="D878" s="59"/>
      <c r="E878" s="60"/>
      <c r="F878" s="15"/>
      <c r="G878" s="61"/>
      <c r="H878" s="56"/>
      <c r="I878" s="5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6.25" customHeight="1">
      <c r="A879" s="57"/>
      <c r="B879" s="62"/>
      <c r="C879" s="58" t="str">
        <f>IFERROR(VLOOKUP(B:B,'SALDO ATUAL'!$A$3:$E$505,3,0),"")</f>
        <v/>
      </c>
      <c r="D879" s="59"/>
      <c r="E879" s="60"/>
      <c r="F879" s="15"/>
      <c r="G879" s="61"/>
      <c r="H879" s="56"/>
      <c r="I879" s="5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6.25" customHeight="1">
      <c r="A880" s="57"/>
      <c r="B880" s="62"/>
      <c r="C880" s="58" t="str">
        <f>IFERROR(VLOOKUP(B:B,'SALDO ATUAL'!$A$3:$E$505,3,0),"")</f>
        <v/>
      </c>
      <c r="D880" s="59"/>
      <c r="E880" s="60"/>
      <c r="F880" s="15"/>
      <c r="G880" s="61"/>
      <c r="H880" s="56"/>
      <c r="I880" s="5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6.25" customHeight="1">
      <c r="A881" s="57"/>
      <c r="B881" s="62"/>
      <c r="C881" s="58" t="str">
        <f>IFERROR(VLOOKUP(B:B,'SALDO ATUAL'!$A$3:$E$505,3,0),"")</f>
        <v/>
      </c>
      <c r="D881" s="59"/>
      <c r="E881" s="60"/>
      <c r="F881" s="15"/>
      <c r="G881" s="61"/>
      <c r="H881" s="56"/>
      <c r="I881" s="5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6.25" customHeight="1">
      <c r="A882" s="57"/>
      <c r="B882" s="62"/>
      <c r="C882" s="58" t="str">
        <f>IFERROR(VLOOKUP(B:B,'SALDO ATUAL'!$A$3:$E$505,3,0),"")</f>
        <v/>
      </c>
      <c r="D882" s="59"/>
      <c r="E882" s="60"/>
      <c r="F882" s="15"/>
      <c r="G882" s="61"/>
      <c r="H882" s="56"/>
      <c r="I882" s="5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6.25" customHeight="1">
      <c r="A883" s="57"/>
      <c r="B883" s="62"/>
      <c r="C883" s="58" t="str">
        <f>IFERROR(VLOOKUP(B:B,'SALDO ATUAL'!$A$3:$E$505,3,0),"")</f>
        <v/>
      </c>
      <c r="D883" s="59"/>
      <c r="E883" s="60"/>
      <c r="F883" s="15"/>
      <c r="G883" s="61"/>
      <c r="H883" s="56"/>
      <c r="I883" s="5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6.25" customHeight="1">
      <c r="A884" s="57"/>
      <c r="B884" s="62"/>
      <c r="C884" s="58" t="str">
        <f>IFERROR(VLOOKUP(B:B,'SALDO ATUAL'!$A$3:$E$505,3,0),"")</f>
        <v/>
      </c>
      <c r="D884" s="59"/>
      <c r="E884" s="60"/>
      <c r="F884" s="15"/>
      <c r="G884" s="61"/>
      <c r="H884" s="56"/>
      <c r="I884" s="5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6.25" customHeight="1">
      <c r="A885" s="57"/>
      <c r="B885" s="62"/>
      <c r="C885" s="58" t="str">
        <f>IFERROR(VLOOKUP(B:B,'SALDO ATUAL'!$A$3:$E$505,3,0),"")</f>
        <v/>
      </c>
      <c r="D885" s="59"/>
      <c r="E885" s="60"/>
      <c r="F885" s="15"/>
      <c r="G885" s="61"/>
      <c r="H885" s="56"/>
      <c r="I885" s="5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6.25" customHeight="1">
      <c r="A886" s="57"/>
      <c r="B886" s="62"/>
      <c r="C886" s="58" t="str">
        <f>IFERROR(VLOOKUP(B:B,'SALDO ATUAL'!$A$3:$E$505,3,0),"")</f>
        <v/>
      </c>
      <c r="D886" s="59"/>
      <c r="E886" s="60"/>
      <c r="F886" s="15"/>
      <c r="G886" s="61"/>
      <c r="H886" s="56"/>
      <c r="I886" s="5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6.25" customHeight="1">
      <c r="A887" s="57"/>
      <c r="B887" s="62"/>
      <c r="C887" s="58" t="str">
        <f>IFERROR(VLOOKUP(B:B,'SALDO ATUAL'!$A$3:$E$505,3,0),"")</f>
        <v/>
      </c>
      <c r="D887" s="59"/>
      <c r="E887" s="60"/>
      <c r="F887" s="15"/>
      <c r="G887" s="61"/>
      <c r="H887" s="56"/>
      <c r="I887" s="5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6.25" customHeight="1">
      <c r="A888" s="57"/>
      <c r="B888" s="62"/>
      <c r="C888" s="58" t="str">
        <f>IFERROR(VLOOKUP(B:B,'SALDO ATUAL'!$A$3:$E$505,3,0),"")</f>
        <v/>
      </c>
      <c r="D888" s="59"/>
      <c r="E888" s="60"/>
      <c r="F888" s="15"/>
      <c r="G888" s="61"/>
      <c r="H888" s="56"/>
      <c r="I888" s="5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6.25" customHeight="1">
      <c r="A889" s="57"/>
      <c r="B889" s="62"/>
      <c r="C889" s="58" t="str">
        <f>IFERROR(VLOOKUP(B:B,'SALDO ATUAL'!$A$3:$E$505,3,0),"")</f>
        <v/>
      </c>
      <c r="D889" s="59"/>
      <c r="E889" s="60"/>
      <c r="F889" s="15"/>
      <c r="G889" s="61"/>
      <c r="H889" s="56"/>
      <c r="I889" s="5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6.25" customHeight="1">
      <c r="A890" s="57"/>
      <c r="B890" s="62"/>
      <c r="C890" s="58" t="str">
        <f>IFERROR(VLOOKUP(B:B,'SALDO ATUAL'!$A$3:$E$505,3,0),"")</f>
        <v/>
      </c>
      <c r="D890" s="59"/>
      <c r="E890" s="60"/>
      <c r="F890" s="15"/>
      <c r="G890" s="61"/>
      <c r="H890" s="56"/>
      <c r="I890" s="5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6.25" customHeight="1">
      <c r="A891" s="57"/>
      <c r="B891" s="62"/>
      <c r="C891" s="58" t="str">
        <f>IFERROR(VLOOKUP(B:B,'SALDO ATUAL'!$A$3:$E$505,3,0),"")</f>
        <v/>
      </c>
      <c r="D891" s="59"/>
      <c r="E891" s="60"/>
      <c r="F891" s="15"/>
      <c r="G891" s="61"/>
      <c r="H891" s="56"/>
      <c r="I891" s="5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6.25" customHeight="1">
      <c r="A892" s="57"/>
      <c r="B892" s="62"/>
      <c r="C892" s="58" t="str">
        <f>IFERROR(VLOOKUP(B:B,'SALDO ATUAL'!$A$3:$E$505,3,0),"")</f>
        <v/>
      </c>
      <c r="D892" s="59"/>
      <c r="E892" s="60"/>
      <c r="F892" s="15"/>
      <c r="G892" s="61"/>
      <c r="H892" s="56"/>
      <c r="I892" s="5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6.25" customHeight="1">
      <c r="A893" s="57"/>
      <c r="B893" s="62"/>
      <c r="C893" s="58" t="str">
        <f>IFERROR(VLOOKUP(B:B,'SALDO ATUAL'!$A$3:$E$505,3,0),"")</f>
        <v/>
      </c>
      <c r="D893" s="59"/>
      <c r="E893" s="60"/>
      <c r="F893" s="15"/>
      <c r="G893" s="61"/>
      <c r="H893" s="56"/>
      <c r="I893" s="5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6.25" customHeight="1">
      <c r="A894" s="57"/>
      <c r="B894" s="62"/>
      <c r="C894" s="58" t="str">
        <f>IFERROR(VLOOKUP(B:B,'SALDO ATUAL'!$A$3:$E$505,3,0),"")</f>
        <v/>
      </c>
      <c r="D894" s="59"/>
      <c r="E894" s="60"/>
      <c r="F894" s="15"/>
      <c r="G894" s="61"/>
      <c r="H894" s="56"/>
      <c r="I894" s="5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6.25" customHeight="1">
      <c r="A895" s="57"/>
      <c r="B895" s="62"/>
      <c r="C895" s="58" t="str">
        <f>IFERROR(VLOOKUP(B:B,'SALDO ATUAL'!$A$3:$E$505,3,0),"")</f>
        <v/>
      </c>
      <c r="D895" s="59"/>
      <c r="E895" s="60"/>
      <c r="F895" s="15"/>
      <c r="G895" s="61"/>
      <c r="H895" s="56"/>
      <c r="I895" s="5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6.25" customHeight="1">
      <c r="A896" s="57"/>
      <c r="B896" s="62"/>
      <c r="C896" s="58" t="str">
        <f>IFERROR(VLOOKUP(B:B,'SALDO ATUAL'!$A$3:$E$505,3,0),"")</f>
        <v/>
      </c>
      <c r="D896" s="59"/>
      <c r="E896" s="60"/>
      <c r="F896" s="15"/>
      <c r="G896" s="61"/>
      <c r="H896" s="56"/>
      <c r="I896" s="5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6.25" customHeight="1">
      <c r="A897" s="57"/>
      <c r="B897" s="62"/>
      <c r="C897" s="58" t="str">
        <f>IFERROR(VLOOKUP(B:B,'SALDO ATUAL'!$A$3:$E$505,3,0),"")</f>
        <v/>
      </c>
      <c r="D897" s="59"/>
      <c r="E897" s="60"/>
      <c r="F897" s="15"/>
      <c r="G897" s="61"/>
      <c r="H897" s="56"/>
      <c r="I897" s="5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6.25" customHeight="1">
      <c r="A898" s="57"/>
      <c r="B898" s="62"/>
      <c r="C898" s="58" t="str">
        <f>IFERROR(VLOOKUP(B:B,'SALDO ATUAL'!$A$3:$E$505,3,0),"")</f>
        <v/>
      </c>
      <c r="D898" s="59"/>
      <c r="E898" s="60"/>
      <c r="F898" s="15"/>
      <c r="G898" s="61"/>
      <c r="H898" s="56"/>
      <c r="I898" s="5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6.25" customHeight="1">
      <c r="A899" s="57"/>
      <c r="B899" s="62"/>
      <c r="C899" s="58" t="str">
        <f>IFERROR(VLOOKUP(B:B,'SALDO ATUAL'!$A$3:$E$505,3,0),"")</f>
        <v/>
      </c>
      <c r="D899" s="59"/>
      <c r="E899" s="60"/>
      <c r="F899" s="15"/>
      <c r="G899" s="61"/>
      <c r="H899" s="56"/>
      <c r="I899" s="5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6.25" customHeight="1">
      <c r="A900" s="57"/>
      <c r="B900" s="62"/>
      <c r="C900" s="58" t="str">
        <f>IFERROR(VLOOKUP(B:B,'SALDO ATUAL'!$A$3:$E$505,3,0),"")</f>
        <v/>
      </c>
      <c r="D900" s="59"/>
      <c r="E900" s="60"/>
      <c r="F900" s="15"/>
      <c r="G900" s="61"/>
      <c r="H900" s="56"/>
      <c r="I900" s="5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6.25" customHeight="1">
      <c r="A901" s="57"/>
      <c r="B901" s="62"/>
      <c r="C901" s="58" t="str">
        <f>IFERROR(VLOOKUP(B:B,'SALDO ATUAL'!$A$3:$E$505,3,0),"")</f>
        <v/>
      </c>
      <c r="D901" s="59"/>
      <c r="E901" s="60"/>
      <c r="F901" s="15"/>
      <c r="G901" s="61"/>
      <c r="H901" s="56"/>
      <c r="I901" s="5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6.25" customHeight="1">
      <c r="A902" s="57"/>
      <c r="B902" s="62"/>
      <c r="C902" s="58" t="str">
        <f>IFERROR(VLOOKUP(B:B,'SALDO ATUAL'!$A$3:$E$505,3,0),"")</f>
        <v/>
      </c>
      <c r="D902" s="59"/>
      <c r="E902" s="60"/>
      <c r="F902" s="15"/>
      <c r="G902" s="61"/>
      <c r="H902" s="56"/>
      <c r="I902" s="5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6.25" customHeight="1">
      <c r="A903" s="57"/>
      <c r="B903" s="62"/>
      <c r="C903" s="58" t="str">
        <f>IFERROR(VLOOKUP(B:B,'SALDO ATUAL'!$A$3:$E$505,3,0),"")</f>
        <v/>
      </c>
      <c r="D903" s="59"/>
      <c r="E903" s="60"/>
      <c r="F903" s="15"/>
      <c r="G903" s="61"/>
      <c r="H903" s="56"/>
      <c r="I903" s="5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6.25" customHeight="1">
      <c r="A904" s="57"/>
      <c r="B904" s="62"/>
      <c r="C904" s="58" t="str">
        <f>IFERROR(VLOOKUP(B:B,'SALDO ATUAL'!$A$3:$E$505,3,0),"")</f>
        <v/>
      </c>
      <c r="D904" s="59"/>
      <c r="E904" s="60"/>
      <c r="F904" s="15"/>
      <c r="G904" s="61"/>
      <c r="H904" s="56"/>
      <c r="I904" s="5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6.25" customHeight="1">
      <c r="A905" s="57"/>
      <c r="B905" s="62"/>
      <c r="C905" s="58" t="str">
        <f>IFERROR(VLOOKUP(B:B,'SALDO ATUAL'!$A$3:$E$505,3,0),"")</f>
        <v/>
      </c>
      <c r="D905" s="59"/>
      <c r="E905" s="60"/>
      <c r="F905" s="15"/>
      <c r="G905" s="61"/>
      <c r="H905" s="56"/>
      <c r="I905" s="5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6.25" customHeight="1">
      <c r="A906" s="57"/>
      <c r="B906" s="62"/>
      <c r="C906" s="58" t="str">
        <f>IFERROR(VLOOKUP(B:B,'SALDO ATUAL'!$A$3:$E$505,3,0),"")</f>
        <v/>
      </c>
      <c r="D906" s="59"/>
      <c r="E906" s="60"/>
      <c r="F906" s="15"/>
      <c r="G906" s="61"/>
      <c r="H906" s="56"/>
      <c r="I906" s="5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6.25" customHeight="1">
      <c r="A907" s="57"/>
      <c r="B907" s="62"/>
      <c r="C907" s="58" t="str">
        <f>IFERROR(VLOOKUP(B:B,'SALDO ATUAL'!$A$3:$E$505,3,0),"")</f>
        <v/>
      </c>
      <c r="D907" s="59"/>
      <c r="E907" s="60"/>
      <c r="F907" s="15"/>
      <c r="G907" s="61"/>
      <c r="H907" s="56"/>
      <c r="I907" s="5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6.25" customHeight="1">
      <c r="A908" s="57"/>
      <c r="B908" s="62"/>
      <c r="C908" s="58" t="str">
        <f>IFERROR(VLOOKUP(B:B,'SALDO ATUAL'!$A$3:$E$505,3,0),"")</f>
        <v/>
      </c>
      <c r="D908" s="59"/>
      <c r="E908" s="60"/>
      <c r="F908" s="15"/>
      <c r="G908" s="61"/>
      <c r="H908" s="56"/>
      <c r="I908" s="5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6.25" customHeight="1">
      <c r="A909" s="57"/>
      <c r="B909" s="62"/>
      <c r="C909" s="58" t="str">
        <f>IFERROR(VLOOKUP(B:B,'SALDO ATUAL'!$A$3:$E$505,3,0),"")</f>
        <v/>
      </c>
      <c r="D909" s="59"/>
      <c r="E909" s="60"/>
      <c r="F909" s="15"/>
      <c r="G909" s="61"/>
      <c r="H909" s="56"/>
      <c r="I909" s="5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6.25" customHeight="1">
      <c r="A910" s="57"/>
      <c r="B910" s="62"/>
      <c r="C910" s="58" t="str">
        <f>IFERROR(VLOOKUP(B:B,'SALDO ATUAL'!$A$3:$E$505,3,0),"")</f>
        <v/>
      </c>
      <c r="D910" s="59"/>
      <c r="E910" s="60"/>
      <c r="F910" s="15"/>
      <c r="G910" s="61"/>
      <c r="H910" s="56"/>
      <c r="I910" s="5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6.25" customHeight="1">
      <c r="A911" s="57"/>
      <c r="B911" s="62"/>
      <c r="C911" s="58" t="str">
        <f>IFERROR(VLOOKUP(B:B,'SALDO ATUAL'!$A$3:$E$505,3,0),"")</f>
        <v/>
      </c>
      <c r="D911" s="59"/>
      <c r="E911" s="60"/>
      <c r="F911" s="15"/>
      <c r="G911" s="61"/>
      <c r="H911" s="56"/>
      <c r="I911" s="5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6.25" customHeight="1">
      <c r="A912" s="57"/>
      <c r="B912" s="62"/>
      <c r="C912" s="58" t="str">
        <f>IFERROR(VLOOKUP(B:B,'SALDO ATUAL'!$A$3:$E$505,3,0),"")</f>
        <v/>
      </c>
      <c r="D912" s="59"/>
      <c r="E912" s="60"/>
      <c r="F912" s="15"/>
      <c r="G912" s="61"/>
      <c r="H912" s="56"/>
      <c r="I912" s="5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6.25" customHeight="1">
      <c r="A913" s="57"/>
      <c r="B913" s="62"/>
      <c r="C913" s="58" t="str">
        <f>IFERROR(VLOOKUP(B:B,'SALDO ATUAL'!$A$3:$E$505,3,0),"")</f>
        <v/>
      </c>
      <c r="D913" s="59"/>
      <c r="E913" s="60"/>
      <c r="F913" s="15"/>
      <c r="G913" s="61"/>
      <c r="H913" s="56"/>
      <c r="I913" s="5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6.25" customHeight="1">
      <c r="A914" s="57"/>
      <c r="B914" s="62"/>
      <c r="C914" s="58" t="str">
        <f>IFERROR(VLOOKUP(B:B,'SALDO ATUAL'!$A$3:$E$505,3,0),"")</f>
        <v/>
      </c>
      <c r="D914" s="59"/>
      <c r="E914" s="60"/>
      <c r="F914" s="15"/>
      <c r="G914" s="61"/>
      <c r="H914" s="56"/>
      <c r="I914" s="5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6.25" customHeight="1">
      <c r="A915" s="57"/>
      <c r="B915" s="62"/>
      <c r="C915" s="58" t="str">
        <f>IFERROR(VLOOKUP(B:B,'SALDO ATUAL'!$A$3:$E$505,3,0),"")</f>
        <v/>
      </c>
      <c r="D915" s="59"/>
      <c r="E915" s="60"/>
      <c r="F915" s="15"/>
      <c r="G915" s="61"/>
      <c r="H915" s="56"/>
      <c r="I915" s="5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6.25" customHeight="1">
      <c r="A916" s="57"/>
      <c r="B916" s="62"/>
      <c r="C916" s="58" t="str">
        <f>IFERROR(VLOOKUP(B:B,'SALDO ATUAL'!$A$3:$E$505,3,0),"")</f>
        <v/>
      </c>
      <c r="D916" s="59"/>
      <c r="E916" s="60"/>
      <c r="F916" s="15"/>
      <c r="G916" s="61"/>
      <c r="H916" s="56"/>
      <c r="I916" s="5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6.25" customHeight="1">
      <c r="A917" s="57"/>
      <c r="B917" s="62"/>
      <c r="C917" s="58" t="str">
        <f>IFERROR(VLOOKUP(B:B,'SALDO ATUAL'!$A$3:$E$505,3,0),"")</f>
        <v/>
      </c>
      <c r="D917" s="59"/>
      <c r="E917" s="60"/>
      <c r="F917" s="15"/>
      <c r="G917" s="61"/>
      <c r="H917" s="56"/>
      <c r="I917" s="5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6.25" customHeight="1">
      <c r="A918" s="57"/>
      <c r="B918" s="62"/>
      <c r="C918" s="58" t="str">
        <f>IFERROR(VLOOKUP(B:B,'SALDO ATUAL'!$A$3:$E$505,3,0),"")</f>
        <v/>
      </c>
      <c r="D918" s="59"/>
      <c r="E918" s="60"/>
      <c r="F918" s="15"/>
      <c r="G918" s="61"/>
      <c r="H918" s="56"/>
      <c r="I918" s="5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6.25" customHeight="1">
      <c r="A919" s="57"/>
      <c r="B919" s="62"/>
      <c r="C919" s="58" t="str">
        <f>IFERROR(VLOOKUP(B:B,'SALDO ATUAL'!$A$3:$E$505,3,0),"")</f>
        <v/>
      </c>
      <c r="D919" s="59"/>
      <c r="E919" s="60"/>
      <c r="F919" s="15"/>
      <c r="G919" s="61"/>
      <c r="H919" s="56"/>
      <c r="I919" s="5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6.25" customHeight="1">
      <c r="A920" s="57"/>
      <c r="B920" s="62"/>
      <c r="C920" s="58" t="str">
        <f>IFERROR(VLOOKUP(B:B,'SALDO ATUAL'!$A$3:$E$505,3,0),"")</f>
        <v/>
      </c>
      <c r="D920" s="59"/>
      <c r="E920" s="60"/>
      <c r="F920" s="15"/>
      <c r="G920" s="61"/>
      <c r="H920" s="56"/>
      <c r="I920" s="5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6.25" customHeight="1">
      <c r="A921" s="57"/>
      <c r="B921" s="62"/>
      <c r="C921" s="58" t="str">
        <f>IFERROR(VLOOKUP(B:B,'SALDO ATUAL'!$A$3:$E$505,3,0),"")</f>
        <v/>
      </c>
      <c r="D921" s="59"/>
      <c r="E921" s="60"/>
      <c r="F921" s="15"/>
      <c r="G921" s="61"/>
      <c r="H921" s="56"/>
      <c r="I921" s="5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6.25" customHeight="1">
      <c r="A922" s="57"/>
      <c r="B922" s="62"/>
      <c r="C922" s="58" t="str">
        <f>IFERROR(VLOOKUP(B:B,'SALDO ATUAL'!$A$3:$E$505,3,0),"")</f>
        <v/>
      </c>
      <c r="D922" s="59"/>
      <c r="E922" s="60"/>
      <c r="F922" s="15"/>
      <c r="G922" s="61"/>
      <c r="H922" s="56"/>
      <c r="I922" s="5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6.25" customHeight="1">
      <c r="A923" s="57"/>
      <c r="B923" s="62"/>
      <c r="C923" s="58" t="str">
        <f>IFERROR(VLOOKUP(B:B,'SALDO ATUAL'!$A$3:$E$505,3,0),"")</f>
        <v/>
      </c>
      <c r="D923" s="59"/>
      <c r="E923" s="60"/>
      <c r="F923" s="15"/>
      <c r="G923" s="61"/>
      <c r="H923" s="56"/>
      <c r="I923" s="5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6.25" customHeight="1">
      <c r="A924" s="57"/>
      <c r="B924" s="62"/>
      <c r="C924" s="58" t="str">
        <f>IFERROR(VLOOKUP(B:B,'SALDO ATUAL'!$A$3:$E$505,3,0),"")</f>
        <v/>
      </c>
      <c r="D924" s="59"/>
      <c r="E924" s="60"/>
      <c r="F924" s="15"/>
      <c r="G924" s="61"/>
      <c r="H924" s="56"/>
      <c r="I924" s="5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6.25" customHeight="1">
      <c r="A925" s="57"/>
      <c r="B925" s="62"/>
      <c r="C925" s="58" t="str">
        <f>IFERROR(VLOOKUP(B:B,'SALDO ATUAL'!$A$3:$E$505,3,0),"")</f>
        <v/>
      </c>
      <c r="D925" s="59"/>
      <c r="E925" s="60"/>
      <c r="F925" s="15"/>
      <c r="G925" s="61"/>
      <c r="H925" s="56"/>
      <c r="I925" s="5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6.25" customHeight="1">
      <c r="A926" s="57"/>
      <c r="B926" s="62"/>
      <c r="C926" s="58" t="str">
        <f>IFERROR(VLOOKUP(B:B,'SALDO ATUAL'!$A$3:$E$505,3,0),"")</f>
        <v/>
      </c>
      <c r="D926" s="59"/>
      <c r="E926" s="60"/>
      <c r="F926" s="15"/>
      <c r="G926" s="61"/>
      <c r="H926" s="56"/>
      <c r="I926" s="5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6.25" customHeight="1">
      <c r="A927" s="57"/>
      <c r="B927" s="62"/>
      <c r="C927" s="58" t="str">
        <f>IFERROR(VLOOKUP(B:B,'SALDO ATUAL'!$A$3:$E$505,3,0),"")</f>
        <v/>
      </c>
      <c r="D927" s="59"/>
      <c r="E927" s="60"/>
      <c r="F927" s="15"/>
      <c r="G927" s="61"/>
      <c r="H927" s="56"/>
      <c r="I927" s="5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6.25" customHeight="1">
      <c r="A928" s="57"/>
      <c r="B928" s="62"/>
      <c r="C928" s="58" t="str">
        <f>IFERROR(VLOOKUP(B:B,'SALDO ATUAL'!$A$3:$E$505,3,0),"")</f>
        <v/>
      </c>
      <c r="D928" s="59"/>
      <c r="E928" s="60"/>
      <c r="F928" s="15"/>
      <c r="G928" s="61"/>
      <c r="H928" s="56"/>
      <c r="I928" s="5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6.25" customHeight="1">
      <c r="A929" s="57"/>
      <c r="B929" s="62"/>
      <c r="C929" s="58" t="str">
        <f>IFERROR(VLOOKUP(B:B,'SALDO ATUAL'!$A$3:$E$505,3,0),"")</f>
        <v/>
      </c>
      <c r="D929" s="59"/>
      <c r="E929" s="60"/>
      <c r="F929" s="15"/>
      <c r="G929" s="61"/>
      <c r="H929" s="56"/>
      <c r="I929" s="5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6.25" customHeight="1">
      <c r="A930" s="57"/>
      <c r="B930" s="62"/>
      <c r="C930" s="58" t="str">
        <f>IFERROR(VLOOKUP(B:B,'SALDO ATUAL'!$A$3:$E$505,3,0),"")</f>
        <v/>
      </c>
      <c r="D930" s="59"/>
      <c r="E930" s="60"/>
      <c r="F930" s="15"/>
      <c r="G930" s="61"/>
      <c r="H930" s="56"/>
      <c r="I930" s="5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6.25" customHeight="1">
      <c r="A931" s="57"/>
      <c r="B931" s="62"/>
      <c r="C931" s="58" t="str">
        <f>IFERROR(VLOOKUP(B:B,'SALDO ATUAL'!$A$3:$E$505,3,0),"")</f>
        <v/>
      </c>
      <c r="D931" s="59"/>
      <c r="E931" s="60"/>
      <c r="F931" s="15"/>
      <c r="G931" s="61"/>
      <c r="H931" s="56"/>
      <c r="I931" s="5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6.25" customHeight="1">
      <c r="A932" s="57"/>
      <c r="B932" s="62"/>
      <c r="C932" s="58" t="str">
        <f>IFERROR(VLOOKUP(B:B,'SALDO ATUAL'!$A$3:$E$505,3,0),"")</f>
        <v/>
      </c>
      <c r="D932" s="59"/>
      <c r="E932" s="60"/>
      <c r="F932" s="15"/>
      <c r="G932" s="61"/>
      <c r="H932" s="56"/>
      <c r="I932" s="5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6.25" customHeight="1">
      <c r="A933" s="57"/>
      <c r="B933" s="62"/>
      <c r="C933" s="58" t="str">
        <f>IFERROR(VLOOKUP(B:B,'SALDO ATUAL'!$A$3:$E$505,3,0),"")</f>
        <v/>
      </c>
      <c r="D933" s="59"/>
      <c r="E933" s="60"/>
      <c r="F933" s="15"/>
      <c r="G933" s="61"/>
      <c r="H933" s="56"/>
      <c r="I933" s="5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6.25" customHeight="1">
      <c r="A934" s="57"/>
      <c r="B934" s="62"/>
      <c r="C934" s="58" t="str">
        <f>IFERROR(VLOOKUP(B:B,'SALDO ATUAL'!$A$3:$E$505,3,0),"")</f>
        <v/>
      </c>
      <c r="D934" s="59"/>
      <c r="E934" s="60"/>
      <c r="F934" s="15"/>
      <c r="G934" s="61"/>
      <c r="H934" s="56"/>
      <c r="I934" s="5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6.25" customHeight="1">
      <c r="A935" s="57"/>
      <c r="B935" s="62"/>
      <c r="C935" s="58" t="str">
        <f>IFERROR(VLOOKUP(B:B,'SALDO ATUAL'!$A$3:$E$505,3,0),"")</f>
        <v/>
      </c>
      <c r="D935" s="59"/>
      <c r="E935" s="60"/>
      <c r="F935" s="15"/>
      <c r="G935" s="61"/>
      <c r="H935" s="56"/>
      <c r="I935" s="5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6.25" customHeight="1">
      <c r="A936" s="57"/>
      <c r="B936" s="62"/>
      <c r="C936" s="58" t="str">
        <f>IFERROR(VLOOKUP(B:B,'SALDO ATUAL'!$A$3:$E$505,3,0),"")</f>
        <v/>
      </c>
      <c r="D936" s="59"/>
      <c r="E936" s="60"/>
      <c r="F936" s="15"/>
      <c r="G936" s="61"/>
      <c r="H936" s="56"/>
      <c r="I936" s="5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6.25" customHeight="1">
      <c r="A937" s="57"/>
      <c r="B937" s="62"/>
      <c r="C937" s="58" t="str">
        <f>IFERROR(VLOOKUP(B:B,'SALDO ATUAL'!$A$3:$E$505,3,0),"")</f>
        <v/>
      </c>
      <c r="D937" s="59"/>
      <c r="E937" s="60"/>
      <c r="F937" s="15"/>
      <c r="G937" s="61"/>
      <c r="H937" s="56"/>
      <c r="I937" s="5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6.25" customHeight="1">
      <c r="A938" s="57"/>
      <c r="B938" s="62"/>
      <c r="C938" s="58" t="str">
        <f>IFERROR(VLOOKUP(B:B,'SALDO ATUAL'!$A$3:$E$505,3,0),"")</f>
        <v/>
      </c>
      <c r="D938" s="59"/>
      <c r="E938" s="60"/>
      <c r="F938" s="15"/>
      <c r="G938" s="61"/>
      <c r="H938" s="56"/>
      <c r="I938" s="5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6.25" customHeight="1">
      <c r="A939" s="57"/>
      <c r="B939" s="62"/>
      <c r="C939" s="58" t="str">
        <f>IFERROR(VLOOKUP(B:B,'SALDO ATUAL'!$A$3:$E$505,3,0),"")</f>
        <v/>
      </c>
      <c r="D939" s="59"/>
      <c r="E939" s="60"/>
      <c r="F939" s="15"/>
      <c r="G939" s="61"/>
      <c r="H939" s="56"/>
      <c r="I939" s="5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6.25" customHeight="1">
      <c r="A940" s="57"/>
      <c r="B940" s="62"/>
      <c r="C940" s="58" t="str">
        <f>IFERROR(VLOOKUP(B:B,'SALDO ATUAL'!$A$3:$E$505,3,0),"")</f>
        <v/>
      </c>
      <c r="D940" s="59"/>
      <c r="E940" s="60"/>
      <c r="F940" s="15"/>
      <c r="G940" s="61"/>
      <c r="H940" s="56"/>
      <c r="I940" s="5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6.25" customHeight="1">
      <c r="A941" s="57"/>
      <c r="B941" s="62"/>
      <c r="C941" s="58" t="str">
        <f>IFERROR(VLOOKUP(B:B,'SALDO ATUAL'!$A$3:$E$505,3,0),"")</f>
        <v/>
      </c>
      <c r="D941" s="59"/>
      <c r="E941" s="60"/>
      <c r="F941" s="15"/>
      <c r="G941" s="61"/>
      <c r="H941" s="56"/>
      <c r="I941" s="5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6.25" customHeight="1">
      <c r="A942" s="57"/>
      <c r="B942" s="62"/>
      <c r="C942" s="58" t="str">
        <f>IFERROR(VLOOKUP(B:B,'SALDO ATUAL'!$A$3:$E$505,3,0),"")</f>
        <v/>
      </c>
      <c r="D942" s="59"/>
      <c r="E942" s="60"/>
      <c r="F942" s="15"/>
      <c r="G942" s="61"/>
      <c r="H942" s="56"/>
      <c r="I942" s="5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6.25" customHeight="1">
      <c r="A943" s="57"/>
      <c r="B943" s="62"/>
      <c r="C943" s="58" t="str">
        <f>IFERROR(VLOOKUP(B:B,'SALDO ATUAL'!$A$3:$E$505,3,0),"")</f>
        <v/>
      </c>
      <c r="D943" s="59"/>
      <c r="E943" s="60"/>
      <c r="F943" s="15"/>
      <c r="G943" s="61"/>
      <c r="H943" s="56"/>
      <c r="I943" s="5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6.25" customHeight="1">
      <c r="A944" s="57"/>
      <c r="B944" s="62"/>
      <c r="C944" s="58" t="str">
        <f>IFERROR(VLOOKUP(B:B,'SALDO ATUAL'!$A$3:$E$505,3,0),"")</f>
        <v/>
      </c>
      <c r="D944" s="59"/>
      <c r="E944" s="60"/>
      <c r="F944" s="15"/>
      <c r="G944" s="61"/>
      <c r="H944" s="56"/>
      <c r="I944" s="5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6.25" customHeight="1">
      <c r="A945" s="57"/>
      <c r="B945" s="62"/>
      <c r="C945" s="58" t="str">
        <f>IFERROR(VLOOKUP(B:B,'SALDO ATUAL'!$A$3:$E$505,3,0),"")</f>
        <v/>
      </c>
      <c r="D945" s="59"/>
      <c r="E945" s="60"/>
      <c r="F945" s="15"/>
      <c r="G945" s="61"/>
      <c r="H945" s="56"/>
      <c r="I945" s="5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6.25" customHeight="1">
      <c r="A946" s="57"/>
      <c r="B946" s="62"/>
      <c r="C946" s="58" t="str">
        <f>IFERROR(VLOOKUP(B:B,'SALDO ATUAL'!$A$3:$E$505,3,0),"")</f>
        <v/>
      </c>
      <c r="D946" s="59"/>
      <c r="E946" s="60"/>
      <c r="F946" s="15"/>
      <c r="G946" s="61"/>
      <c r="H946" s="56"/>
      <c r="I946" s="5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6.25" customHeight="1">
      <c r="A947" s="57"/>
      <c r="B947" s="62"/>
      <c r="C947" s="58" t="str">
        <f>IFERROR(VLOOKUP(B:B,'SALDO ATUAL'!$A$3:$E$505,3,0),"")</f>
        <v/>
      </c>
      <c r="D947" s="59"/>
      <c r="E947" s="60"/>
      <c r="F947" s="15"/>
      <c r="G947" s="61"/>
      <c r="H947" s="56"/>
      <c r="I947" s="5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6.25" customHeight="1">
      <c r="A948" s="57"/>
      <c r="B948" s="62"/>
      <c r="C948" s="58" t="str">
        <f>IFERROR(VLOOKUP(B:B,'SALDO ATUAL'!$A$3:$E$505,3,0),"")</f>
        <v/>
      </c>
      <c r="D948" s="59"/>
      <c r="E948" s="60"/>
      <c r="F948" s="15"/>
      <c r="G948" s="61"/>
      <c r="H948" s="56"/>
      <c r="I948" s="5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6.25" customHeight="1">
      <c r="A949" s="57"/>
      <c r="B949" s="62"/>
      <c r="C949" s="58" t="str">
        <f>IFERROR(VLOOKUP(B:B,'SALDO ATUAL'!$A$3:$E$505,3,0),"")</f>
        <v/>
      </c>
      <c r="D949" s="59"/>
      <c r="E949" s="60"/>
      <c r="F949" s="15"/>
      <c r="G949" s="61"/>
      <c r="H949" s="56"/>
      <c r="I949" s="5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6.25" customHeight="1">
      <c r="A950" s="57"/>
      <c r="B950" s="62"/>
      <c r="C950" s="58" t="str">
        <f>IFERROR(VLOOKUP(B:B,'SALDO ATUAL'!$A$3:$E$505,3,0),"")</f>
        <v/>
      </c>
      <c r="D950" s="59"/>
      <c r="E950" s="60"/>
      <c r="F950" s="15"/>
      <c r="G950" s="61"/>
      <c r="H950" s="56"/>
      <c r="I950" s="5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6.25" customHeight="1">
      <c r="A951" s="57"/>
      <c r="B951" s="62"/>
      <c r="C951" s="58" t="str">
        <f>IFERROR(VLOOKUP(B:B,'SALDO ATUAL'!$A$3:$E$505,3,0),"")</f>
        <v/>
      </c>
      <c r="D951" s="59"/>
      <c r="E951" s="60"/>
      <c r="F951" s="15"/>
      <c r="G951" s="61"/>
      <c r="H951" s="56"/>
      <c r="I951" s="5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6.25" customHeight="1">
      <c r="A952" s="57"/>
      <c r="B952" s="62"/>
      <c r="C952" s="58" t="str">
        <f>IFERROR(VLOOKUP(B:B,'SALDO ATUAL'!$A$3:$E$505,3,0),"")</f>
        <v/>
      </c>
      <c r="D952" s="59"/>
      <c r="E952" s="60"/>
      <c r="F952" s="15"/>
      <c r="G952" s="61"/>
      <c r="H952" s="56"/>
      <c r="I952" s="5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6.25" customHeight="1">
      <c r="A953" s="57"/>
      <c r="B953" s="62"/>
      <c r="C953" s="58" t="str">
        <f>IFERROR(VLOOKUP(B:B,'SALDO ATUAL'!$A$3:$E$505,3,0),"")</f>
        <v/>
      </c>
      <c r="D953" s="59"/>
      <c r="E953" s="60"/>
      <c r="F953" s="15"/>
      <c r="G953" s="61"/>
      <c r="H953" s="56"/>
      <c r="I953" s="5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6.25" customHeight="1">
      <c r="A954" s="57"/>
      <c r="B954" s="62"/>
      <c r="C954" s="58" t="str">
        <f>IFERROR(VLOOKUP(B:B,'SALDO ATUAL'!$A$3:$E$505,3,0),"")</f>
        <v/>
      </c>
      <c r="D954" s="59"/>
      <c r="E954" s="60"/>
      <c r="F954" s="15"/>
      <c r="G954" s="61"/>
      <c r="H954" s="56"/>
      <c r="I954" s="5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6.25" customHeight="1">
      <c r="A955" s="57"/>
      <c r="B955" s="62"/>
      <c r="C955" s="58" t="str">
        <f>IFERROR(VLOOKUP(B:B,'SALDO ATUAL'!$A$3:$E$505,3,0),"")</f>
        <v/>
      </c>
      <c r="D955" s="59"/>
      <c r="E955" s="60"/>
      <c r="F955" s="15"/>
      <c r="G955" s="61"/>
      <c r="H955" s="56"/>
      <c r="I955" s="5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6.25" customHeight="1">
      <c r="A956" s="57"/>
      <c r="B956" s="62"/>
      <c r="C956" s="58" t="str">
        <f>IFERROR(VLOOKUP(B:B,'SALDO ATUAL'!$A$3:$E$505,3,0),"")</f>
        <v/>
      </c>
      <c r="D956" s="59"/>
      <c r="E956" s="60"/>
      <c r="F956" s="15"/>
      <c r="G956" s="61"/>
      <c r="H956" s="56"/>
      <c r="I956" s="5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6.25" customHeight="1">
      <c r="A957" s="57"/>
      <c r="B957" s="62"/>
      <c r="C957" s="58" t="str">
        <f>IFERROR(VLOOKUP(B:B,'SALDO ATUAL'!$A$3:$E$505,3,0),"")</f>
        <v/>
      </c>
      <c r="D957" s="59"/>
      <c r="E957" s="60"/>
      <c r="F957" s="15"/>
      <c r="G957" s="61"/>
      <c r="H957" s="56"/>
      <c r="I957" s="5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6.25" customHeight="1">
      <c r="A958" s="57"/>
      <c r="B958" s="62"/>
      <c r="C958" s="58" t="str">
        <f>IFERROR(VLOOKUP(B:B,'SALDO ATUAL'!$A$3:$E$505,3,0),"")</f>
        <v/>
      </c>
      <c r="D958" s="59"/>
      <c r="E958" s="60"/>
      <c r="F958" s="15"/>
      <c r="G958" s="61"/>
      <c r="H958" s="56"/>
      <c r="I958" s="5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6.25" customHeight="1">
      <c r="A959" s="57"/>
      <c r="B959" s="62"/>
      <c r="C959" s="58" t="str">
        <f>IFERROR(VLOOKUP(B:B,'SALDO ATUAL'!$A$3:$E$505,3,0),"")</f>
        <v/>
      </c>
      <c r="D959" s="59"/>
      <c r="E959" s="60"/>
      <c r="F959" s="15"/>
      <c r="G959" s="61"/>
      <c r="H959" s="56"/>
      <c r="I959" s="5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6.25" customHeight="1">
      <c r="A960" s="57"/>
      <c r="B960" s="62"/>
      <c r="C960" s="58" t="str">
        <f>IFERROR(VLOOKUP(B:B,'SALDO ATUAL'!$A$3:$E$505,3,0),"")</f>
        <v/>
      </c>
      <c r="D960" s="59"/>
      <c r="E960" s="60"/>
      <c r="F960" s="15"/>
      <c r="G960" s="61"/>
      <c r="H960" s="56"/>
      <c r="I960" s="5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6.25" customHeight="1">
      <c r="A961" s="57"/>
      <c r="B961" s="62"/>
      <c r="C961" s="58" t="str">
        <f>IFERROR(VLOOKUP(B:B,'SALDO ATUAL'!$A$3:$E$505,3,0),"")</f>
        <v/>
      </c>
      <c r="D961" s="59"/>
      <c r="E961" s="60"/>
      <c r="F961" s="15"/>
      <c r="G961" s="61"/>
      <c r="H961" s="56"/>
      <c r="I961" s="5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6.25" customHeight="1">
      <c r="A962" s="57"/>
      <c r="B962" s="62"/>
      <c r="C962" s="58" t="str">
        <f>IFERROR(VLOOKUP(B:B,'SALDO ATUAL'!$A$3:$E$505,3,0),"")</f>
        <v/>
      </c>
      <c r="D962" s="59"/>
      <c r="E962" s="60"/>
      <c r="F962" s="15"/>
      <c r="G962" s="61"/>
      <c r="H962" s="56"/>
      <c r="I962" s="5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6.25" customHeight="1">
      <c r="A963" s="57"/>
      <c r="B963" s="62"/>
      <c r="C963" s="58" t="str">
        <f>IFERROR(VLOOKUP(B:B,'SALDO ATUAL'!$A$3:$E$505,3,0),"")</f>
        <v/>
      </c>
      <c r="D963" s="59"/>
      <c r="E963" s="60"/>
      <c r="F963" s="15"/>
      <c r="G963" s="61"/>
      <c r="H963" s="56"/>
      <c r="I963" s="5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6.25" customHeight="1">
      <c r="A964" s="57"/>
      <c r="B964" s="62"/>
      <c r="C964" s="58" t="str">
        <f>IFERROR(VLOOKUP(B:B,'SALDO ATUAL'!$A$3:$E$505,3,0),"")</f>
        <v/>
      </c>
      <c r="D964" s="59"/>
      <c r="E964" s="60"/>
      <c r="F964" s="15"/>
      <c r="G964" s="61"/>
      <c r="H964" s="56"/>
      <c r="I964" s="5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6.25" customHeight="1">
      <c r="A965" s="57"/>
      <c r="B965" s="62"/>
      <c r="C965" s="58" t="str">
        <f>IFERROR(VLOOKUP(B:B,'SALDO ATUAL'!$A$3:$E$505,3,0),"")</f>
        <v/>
      </c>
      <c r="D965" s="59"/>
      <c r="E965" s="60"/>
      <c r="F965" s="15"/>
      <c r="G965" s="61"/>
      <c r="H965" s="56"/>
      <c r="I965" s="5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6.25" customHeight="1">
      <c r="A966" s="57"/>
      <c r="B966" s="62"/>
      <c r="C966" s="58" t="str">
        <f>IFERROR(VLOOKUP(B:B,'SALDO ATUAL'!$A$3:$E$505,3,0),"")</f>
        <v/>
      </c>
      <c r="D966" s="59"/>
      <c r="E966" s="60"/>
      <c r="F966" s="15"/>
      <c r="G966" s="61"/>
      <c r="H966" s="56"/>
      <c r="I966" s="5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6.25" customHeight="1">
      <c r="A967" s="57"/>
      <c r="B967" s="62"/>
      <c r="C967" s="58" t="str">
        <f>IFERROR(VLOOKUP(B:B,'SALDO ATUAL'!$A$3:$E$505,3,0),"")</f>
        <v/>
      </c>
      <c r="D967" s="59"/>
      <c r="E967" s="60"/>
      <c r="F967" s="15"/>
      <c r="G967" s="61"/>
      <c r="H967" s="56"/>
      <c r="I967" s="5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6.25" customHeight="1">
      <c r="A968" s="57"/>
      <c r="B968" s="62"/>
      <c r="C968" s="58" t="str">
        <f>IFERROR(VLOOKUP(B:B,'SALDO ATUAL'!$A$3:$E$505,3,0),"")</f>
        <v/>
      </c>
      <c r="D968" s="59"/>
      <c r="E968" s="60"/>
      <c r="F968" s="15"/>
      <c r="G968" s="61"/>
      <c r="H968" s="56"/>
      <c r="I968" s="5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6.25" customHeight="1">
      <c r="A969" s="57"/>
      <c r="B969" s="62"/>
      <c r="C969" s="58" t="str">
        <f>IFERROR(VLOOKUP(B:B,'SALDO ATUAL'!$A$3:$E$505,3,0),"")</f>
        <v/>
      </c>
      <c r="D969" s="59"/>
      <c r="E969" s="60"/>
      <c r="F969" s="15"/>
      <c r="G969" s="61"/>
      <c r="H969" s="56"/>
      <c r="I969" s="5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6.25" customHeight="1">
      <c r="A970" s="57"/>
      <c r="B970" s="62"/>
      <c r="C970" s="58" t="str">
        <f>IFERROR(VLOOKUP(B:B,'SALDO ATUAL'!$A$3:$E$505,3,0),"")</f>
        <v/>
      </c>
      <c r="D970" s="59"/>
      <c r="E970" s="60"/>
      <c r="F970" s="15"/>
      <c r="G970" s="61"/>
      <c r="H970" s="56"/>
      <c r="I970" s="5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6.25" customHeight="1">
      <c r="A971" s="57"/>
      <c r="B971" s="62"/>
      <c r="C971" s="58" t="str">
        <f>IFERROR(VLOOKUP(B:B,'SALDO ATUAL'!$A$3:$E$505,3,0),"")</f>
        <v/>
      </c>
      <c r="D971" s="59"/>
      <c r="E971" s="60"/>
      <c r="F971" s="15"/>
      <c r="G971" s="61"/>
      <c r="H971" s="56"/>
      <c r="I971" s="5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6.25" customHeight="1">
      <c r="A972" s="57"/>
      <c r="B972" s="62"/>
      <c r="C972" s="58" t="str">
        <f>IFERROR(VLOOKUP(B:B,'SALDO ATUAL'!$A$3:$E$505,3,0),"")</f>
        <v/>
      </c>
      <c r="D972" s="59"/>
      <c r="E972" s="60"/>
      <c r="F972" s="15"/>
      <c r="G972" s="61"/>
      <c r="H972" s="56"/>
      <c r="I972" s="5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6.25" customHeight="1">
      <c r="A973" s="57"/>
      <c r="B973" s="62"/>
      <c r="C973" s="58" t="str">
        <f>IFERROR(VLOOKUP(B:B,'SALDO ATUAL'!$A$3:$E$505,3,0),"")</f>
        <v/>
      </c>
      <c r="D973" s="59"/>
      <c r="E973" s="60"/>
      <c r="F973" s="15"/>
      <c r="G973" s="61"/>
      <c r="H973" s="56"/>
      <c r="I973" s="5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6.25" customHeight="1">
      <c r="A974" s="57"/>
      <c r="B974" s="62"/>
      <c r="C974" s="58" t="str">
        <f>IFERROR(VLOOKUP(B:B,'SALDO ATUAL'!$A$3:$E$505,3,0),"")</f>
        <v/>
      </c>
      <c r="D974" s="59"/>
      <c r="E974" s="60"/>
      <c r="F974" s="15"/>
      <c r="G974" s="61"/>
      <c r="H974" s="56"/>
      <c r="I974" s="5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6.25" customHeight="1">
      <c r="A975" s="57"/>
      <c r="B975" s="62"/>
      <c r="C975" s="58" t="str">
        <f>IFERROR(VLOOKUP(B:B,'SALDO ATUAL'!$A$3:$E$505,3,0),"")</f>
        <v/>
      </c>
      <c r="D975" s="59"/>
      <c r="E975" s="60"/>
      <c r="F975" s="15"/>
      <c r="G975" s="61"/>
      <c r="H975" s="56"/>
      <c r="I975" s="5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6.25" customHeight="1">
      <c r="A976" s="57"/>
      <c r="B976" s="62"/>
      <c r="C976" s="58" t="str">
        <f>IFERROR(VLOOKUP(B:B,'SALDO ATUAL'!$A$3:$E$505,3,0),"")</f>
        <v/>
      </c>
      <c r="D976" s="59"/>
      <c r="E976" s="60"/>
      <c r="F976" s="15"/>
      <c r="G976" s="61"/>
      <c r="H976" s="56"/>
      <c r="I976" s="5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6.25" customHeight="1">
      <c r="A977" s="57"/>
      <c r="B977" s="62"/>
      <c r="C977" s="58" t="str">
        <f>IFERROR(VLOOKUP(B:B,'SALDO ATUAL'!$A$3:$E$505,3,0),"")</f>
        <v/>
      </c>
      <c r="D977" s="59"/>
      <c r="E977" s="60"/>
      <c r="F977" s="15"/>
      <c r="G977" s="61"/>
      <c r="H977" s="56"/>
      <c r="I977" s="5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6.25" customHeight="1">
      <c r="A978" s="57"/>
      <c r="B978" s="62"/>
      <c r="C978" s="58" t="str">
        <f>IFERROR(VLOOKUP(B:B,'SALDO ATUAL'!$A$3:$E$505,3,0),"")</f>
        <v/>
      </c>
      <c r="D978" s="59"/>
      <c r="E978" s="60"/>
      <c r="F978" s="15"/>
      <c r="G978" s="61"/>
      <c r="H978" s="56"/>
      <c r="I978" s="5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6.25" customHeight="1">
      <c r="A979" s="57"/>
      <c r="B979" s="62"/>
      <c r="C979" s="58" t="str">
        <f>IFERROR(VLOOKUP(B:B,'SALDO ATUAL'!$A$3:$E$505,3,0),"")</f>
        <v/>
      </c>
      <c r="D979" s="59"/>
      <c r="E979" s="60"/>
      <c r="F979" s="15"/>
      <c r="G979" s="61"/>
      <c r="H979" s="56"/>
      <c r="I979" s="5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6.25" customHeight="1">
      <c r="A980" s="57"/>
      <c r="B980" s="62"/>
      <c r="C980" s="58" t="str">
        <f>IFERROR(VLOOKUP(B:B,'SALDO ATUAL'!$A$3:$E$505,3,0),"")</f>
        <v/>
      </c>
      <c r="D980" s="59"/>
      <c r="E980" s="60"/>
      <c r="F980" s="15"/>
      <c r="G980" s="61"/>
      <c r="H980" s="56"/>
      <c r="I980" s="5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6.25" customHeight="1">
      <c r="A981" s="57"/>
      <c r="B981" s="62"/>
      <c r="C981" s="58" t="str">
        <f>IFERROR(VLOOKUP(B:B,'SALDO ATUAL'!$A$3:$E$505,3,0),"")</f>
        <v/>
      </c>
      <c r="D981" s="59"/>
      <c r="E981" s="60"/>
      <c r="F981" s="15"/>
      <c r="G981" s="61"/>
      <c r="H981" s="56"/>
      <c r="I981" s="5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6.25" customHeight="1">
      <c r="A982" s="57"/>
      <c r="B982" s="62"/>
      <c r="C982" s="58" t="str">
        <f>IFERROR(VLOOKUP(B:B,'SALDO ATUAL'!$A$3:$E$505,3,0),"")</f>
        <v/>
      </c>
      <c r="D982" s="59"/>
      <c r="E982" s="60"/>
      <c r="F982" s="15"/>
      <c r="G982" s="61"/>
      <c r="H982" s="56"/>
      <c r="I982" s="5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6.25" customHeight="1">
      <c r="A983" s="57"/>
      <c r="B983" s="62"/>
      <c r="C983" s="58" t="str">
        <f>IFERROR(VLOOKUP(B:B,'SALDO ATUAL'!$A$3:$E$505,3,0),"")</f>
        <v/>
      </c>
      <c r="D983" s="59"/>
      <c r="E983" s="60"/>
      <c r="F983" s="15"/>
      <c r="G983" s="61"/>
      <c r="H983" s="56"/>
      <c r="I983" s="5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6.25" customHeight="1">
      <c r="A984" s="57"/>
      <c r="B984" s="62"/>
      <c r="C984" s="58" t="str">
        <f>IFERROR(VLOOKUP(B:B,'SALDO ATUAL'!$A$3:$E$505,3,0),"")</f>
        <v/>
      </c>
      <c r="D984" s="59"/>
      <c r="E984" s="60"/>
      <c r="F984" s="15"/>
      <c r="G984" s="61"/>
      <c r="H984" s="56"/>
      <c r="I984" s="5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6.25" customHeight="1">
      <c r="A985" s="57"/>
      <c r="B985" s="62"/>
      <c r="C985" s="58" t="str">
        <f>IFERROR(VLOOKUP(B:B,'SALDO ATUAL'!$A$3:$E$505,3,0),"")</f>
        <v/>
      </c>
      <c r="D985" s="59"/>
      <c r="E985" s="60"/>
      <c r="F985" s="15"/>
      <c r="G985" s="61"/>
      <c r="H985" s="56"/>
      <c r="I985" s="5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6.25" customHeight="1">
      <c r="A986" s="57"/>
      <c r="B986" s="62"/>
      <c r="C986" s="58" t="str">
        <f>IFERROR(VLOOKUP(B:B,'SALDO ATUAL'!$A$3:$E$505,3,0),"")</f>
        <v/>
      </c>
      <c r="D986" s="59"/>
      <c r="E986" s="60"/>
      <c r="F986" s="15"/>
      <c r="G986" s="61"/>
      <c r="H986" s="56"/>
      <c r="I986" s="5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6.25" customHeight="1">
      <c r="A987" s="57"/>
      <c r="B987" s="62"/>
      <c r="C987" s="58" t="str">
        <f>IFERROR(VLOOKUP(B:B,'SALDO ATUAL'!$A$3:$E$505,3,0),"")</f>
        <v/>
      </c>
      <c r="D987" s="59"/>
      <c r="E987" s="60"/>
      <c r="F987" s="15"/>
      <c r="G987" s="61"/>
      <c r="H987" s="56"/>
      <c r="I987" s="5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6.25" customHeight="1">
      <c r="A988" s="57"/>
      <c r="B988" s="62"/>
      <c r="C988" s="58" t="str">
        <f>IFERROR(VLOOKUP(B:B,'SALDO ATUAL'!$A$3:$E$505,3,0),"")</f>
        <v/>
      </c>
      <c r="D988" s="59"/>
      <c r="E988" s="60"/>
      <c r="F988" s="15"/>
      <c r="G988" s="61"/>
      <c r="H988" s="56"/>
      <c r="I988" s="5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6.25" customHeight="1">
      <c r="A989" s="57"/>
      <c r="B989" s="62"/>
      <c r="C989" s="58" t="str">
        <f>IFERROR(VLOOKUP(B:B,'SALDO ATUAL'!$A$3:$E$505,3,0),"")</f>
        <v/>
      </c>
      <c r="D989" s="59"/>
      <c r="E989" s="60"/>
      <c r="F989" s="15"/>
      <c r="G989" s="61"/>
      <c r="H989" s="56"/>
      <c r="I989" s="5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6.25" customHeight="1">
      <c r="A990" s="57"/>
      <c r="B990" s="62"/>
      <c r="C990" s="58" t="str">
        <f>IFERROR(VLOOKUP(B:B,'SALDO ATUAL'!$A$3:$E$505,3,0),"")</f>
        <v/>
      </c>
      <c r="D990" s="59"/>
      <c r="E990" s="60"/>
      <c r="F990" s="15"/>
      <c r="G990" s="61"/>
      <c r="H990" s="56"/>
      <c r="I990" s="5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6.25" customHeight="1">
      <c r="A991" s="57"/>
      <c r="B991" s="62"/>
      <c r="C991" s="58" t="str">
        <f>IFERROR(VLOOKUP(B:B,'SALDO ATUAL'!$A$3:$E$505,3,0),"")</f>
        <v/>
      </c>
      <c r="D991" s="59"/>
      <c r="E991" s="60"/>
      <c r="F991" s="15"/>
      <c r="G991" s="61"/>
      <c r="H991" s="56"/>
      <c r="I991" s="5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6.25" customHeight="1">
      <c r="A992" s="57"/>
      <c r="B992" s="62"/>
      <c r="C992" s="58" t="str">
        <f>IFERROR(VLOOKUP(B:B,'SALDO ATUAL'!$A$3:$E$505,3,0),"")</f>
        <v/>
      </c>
      <c r="D992" s="59"/>
      <c r="E992" s="60"/>
      <c r="F992" s="15"/>
      <c r="G992" s="61"/>
      <c r="H992" s="56"/>
      <c r="I992" s="5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6.25" customHeight="1">
      <c r="A993" s="57"/>
      <c r="B993" s="62"/>
      <c r="C993" s="58" t="str">
        <f>IFERROR(VLOOKUP(B:B,'SALDO ATUAL'!$A$3:$E$505,3,0),"")</f>
        <v/>
      </c>
      <c r="D993" s="59"/>
      <c r="E993" s="60"/>
      <c r="F993" s="15"/>
      <c r="G993" s="61"/>
      <c r="H993" s="56"/>
      <c r="I993" s="5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6.25" customHeight="1">
      <c r="A994" s="57"/>
      <c r="B994" s="62"/>
      <c r="C994" s="58" t="str">
        <f>IFERROR(VLOOKUP(B:B,'SALDO ATUAL'!$A$3:$E$505,3,0),"")</f>
        <v/>
      </c>
      <c r="D994" s="59"/>
      <c r="E994" s="60"/>
      <c r="F994" s="15"/>
      <c r="G994" s="61"/>
      <c r="H994" s="56"/>
      <c r="I994" s="5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6.25" customHeight="1">
      <c r="A995" s="57"/>
      <c r="B995" s="62"/>
      <c r="C995" s="58" t="str">
        <f>IFERROR(VLOOKUP(B:B,'SALDO ATUAL'!$A$3:$E$505,3,0),"")</f>
        <v/>
      </c>
      <c r="D995" s="59"/>
      <c r="E995" s="60"/>
      <c r="F995" s="15"/>
      <c r="G995" s="61"/>
      <c r="H995" s="56"/>
      <c r="I995" s="5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6.25" customHeight="1">
      <c r="A996" s="57"/>
      <c r="B996" s="62"/>
      <c r="C996" s="58" t="str">
        <f>IFERROR(VLOOKUP(B:B,'SALDO ATUAL'!$A$3:$E$505,3,0),"")</f>
        <v/>
      </c>
      <c r="D996" s="59"/>
      <c r="E996" s="60"/>
      <c r="F996" s="15"/>
      <c r="G996" s="61"/>
      <c r="H996" s="56"/>
      <c r="I996" s="5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6.25" customHeight="1">
      <c r="A997" s="57"/>
      <c r="B997" s="62"/>
      <c r="C997" s="58" t="str">
        <f>IFERROR(VLOOKUP(B:B,'SALDO ATUAL'!$A$3:$E$505,3,0),"")</f>
        <v/>
      </c>
      <c r="D997" s="59"/>
      <c r="E997" s="60"/>
      <c r="F997" s="15"/>
      <c r="G997" s="61"/>
      <c r="H997" s="56"/>
      <c r="I997" s="5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6.25" customHeight="1">
      <c r="A998" s="57"/>
      <c r="B998" s="62"/>
      <c r="C998" s="58" t="str">
        <f>IFERROR(VLOOKUP(B:B,'SALDO ATUAL'!$A$3:$E$505,3,0),"")</f>
        <v/>
      </c>
      <c r="D998" s="59"/>
      <c r="E998" s="60"/>
      <c r="F998" s="15"/>
      <c r="G998" s="61"/>
      <c r="H998" s="56"/>
      <c r="I998" s="5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6.25" customHeight="1">
      <c r="A999" s="57"/>
      <c r="B999" s="62"/>
      <c r="C999" s="58" t="str">
        <f>IFERROR(VLOOKUP(B:B,'SALDO ATUAL'!$A$3:$E$505,3,0),"")</f>
        <v/>
      </c>
      <c r="D999" s="59"/>
      <c r="E999" s="60"/>
      <c r="F999" s="15"/>
      <c r="G999" s="61"/>
      <c r="H999" s="56"/>
      <c r="I999" s="5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6.25" customHeight="1">
      <c r="A1000" s="57"/>
      <c r="B1000" s="62"/>
      <c r="C1000" s="58" t="str">
        <f>IFERROR(VLOOKUP(B:B,'SALDO ATUAL'!$A$3:$E$505,3,0),"")</f>
        <v/>
      </c>
      <c r="D1000" s="59"/>
      <c r="E1000" s="60"/>
      <c r="F1000" s="15"/>
      <c r="G1000" s="61"/>
      <c r="H1000" s="56"/>
      <c r="I1000" s="5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26.25" customHeight="1">
      <c r="A1001" s="57"/>
      <c r="B1001" s="62"/>
      <c r="C1001" s="58" t="str">
        <f>IFERROR(VLOOKUP(B:B,'SALDO ATUAL'!$A$3:$E$505,3,0),"")</f>
        <v/>
      </c>
      <c r="D1001" s="59"/>
      <c r="E1001" s="60"/>
      <c r="F1001" s="15"/>
      <c r="G1001" s="61"/>
      <c r="H1001" s="56"/>
      <c r="I1001" s="5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</sheetData>
  <mergeCells count="1">
    <mergeCell ref="A1:F1"/>
  </mergeCells>
  <pageMargins left="0.511811024" right="0.511811024" top="0.78740157499999996" bottom="0.78740157499999996" header="0" footer="0"/>
  <pageSetup paperSize="9"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5.7109375" customWidth="1"/>
    <col min="2" max="2" width="16.28515625" customWidth="1"/>
    <col min="3" max="3" width="50.7109375" customWidth="1"/>
    <col min="4" max="4" width="18.140625" customWidth="1"/>
    <col min="5" max="5" width="17.7109375" customWidth="1"/>
    <col min="6" max="6" width="26.28515625" customWidth="1"/>
    <col min="7" max="7" width="16.140625" customWidth="1"/>
    <col min="8" max="8" width="16.28515625" customWidth="1"/>
    <col min="9" max="9" width="15.42578125" customWidth="1"/>
    <col min="10" max="10" width="29" customWidth="1"/>
    <col min="11" max="11" width="2.28515625" customWidth="1"/>
    <col min="12" max="12" width="12.28515625" customWidth="1"/>
    <col min="13" max="13" width="2.28515625" customWidth="1"/>
    <col min="14" max="14" width="8.85546875" customWidth="1"/>
    <col min="15" max="15" width="16.7109375" customWidth="1"/>
    <col min="16" max="16" width="20.28515625" customWidth="1"/>
    <col min="17" max="17" width="19.28515625" customWidth="1"/>
    <col min="18" max="32" width="8.85546875" customWidth="1"/>
  </cols>
  <sheetData>
    <row r="1" spans="1:32" ht="46.5" customHeight="1">
      <c r="A1" s="110" t="s">
        <v>558</v>
      </c>
      <c r="B1" s="107"/>
      <c r="C1" s="107"/>
      <c r="D1" s="107"/>
      <c r="E1" s="107"/>
      <c r="F1" s="107"/>
      <c r="G1" s="107"/>
      <c r="H1" s="107"/>
      <c r="I1" s="107"/>
      <c r="J1" s="108"/>
      <c r="K1" s="70"/>
      <c r="L1" s="70"/>
      <c r="M1" s="70"/>
      <c r="N1" s="71"/>
      <c r="O1" s="70"/>
      <c r="P1" s="70"/>
      <c r="Q1" s="70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</row>
    <row r="2" spans="1:32" ht="27" customHeight="1">
      <c r="A2" s="73" t="s">
        <v>1</v>
      </c>
      <c r="B2" s="7" t="s">
        <v>15</v>
      </c>
      <c r="C2" s="7" t="s">
        <v>3</v>
      </c>
      <c r="D2" s="7" t="s">
        <v>4</v>
      </c>
      <c r="E2" s="7" t="s">
        <v>5</v>
      </c>
      <c r="F2" s="74" t="s">
        <v>559</v>
      </c>
      <c r="G2" s="75" t="s">
        <v>560</v>
      </c>
      <c r="H2" s="75" t="s">
        <v>561</v>
      </c>
      <c r="I2" s="76" t="s">
        <v>562</v>
      </c>
      <c r="J2" s="77" t="s">
        <v>563</v>
      </c>
      <c r="K2" s="78"/>
      <c r="L2" s="79">
        <f ca="1">TODAY()</f>
        <v>46126</v>
      </c>
      <c r="M2" s="80"/>
      <c r="N2" s="81" t="s">
        <v>564</v>
      </c>
      <c r="O2" s="82" t="s">
        <v>565</v>
      </c>
      <c r="P2" s="83" t="s">
        <v>566</v>
      </c>
      <c r="Q2" s="71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</row>
    <row r="3" spans="1:32" ht="24" customHeight="1">
      <c r="A3" s="19"/>
      <c r="B3" s="58" t="str">
        <f>IFERROR(VLOOKUP(A:A,'SALDO ATUAL'!$A$3:$E$238,2,0),"")</f>
        <v/>
      </c>
      <c r="C3" s="59" t="str">
        <f>IFERROR(VLOOKUP(A:A,'SALDO ATUAL'!$A$3:$E$238,3,0),"")</f>
        <v/>
      </c>
      <c r="D3" s="59" t="str">
        <f>IFERROR(VLOOKUP(A:A,'SALDO ATUAL'!$A$3:$E$238,4,0),"")</f>
        <v/>
      </c>
      <c r="E3" s="59" t="str">
        <f>IFERROR(VLOOKUP(A:A,'SALDO ATUAL'!$A$3:$E$238,5,0),"")</f>
        <v/>
      </c>
      <c r="F3" s="84" t="str">
        <f>IFERROR(VLOOKUP(A:A,'SALDO ATUAL'!$A$2:$F$238,6,0),"")</f>
        <v/>
      </c>
      <c r="G3" s="85"/>
      <c r="H3" s="59"/>
      <c r="I3" s="86"/>
      <c r="J3" s="87">
        <f ca="1">VALIDADES!$I3-$L$2</f>
        <v>-46126</v>
      </c>
      <c r="K3" s="88"/>
      <c r="L3" s="88"/>
      <c r="M3" s="88"/>
      <c r="N3" s="89">
        <v>30</v>
      </c>
      <c r="O3" s="90" t="s">
        <v>567</v>
      </c>
      <c r="P3" s="91">
        <f ca="1">COUNTIF(J:J,"&lt;="&amp;N3)</f>
        <v>178</v>
      </c>
      <c r="Q3" s="88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</row>
    <row r="4" spans="1:32" ht="24" customHeight="1">
      <c r="A4" s="19"/>
      <c r="B4" s="58" t="str">
        <f>IFERROR(VLOOKUP(A:A,'SALDO ATUAL'!$A$3:$E$238,2,0),"")</f>
        <v/>
      </c>
      <c r="C4" s="59" t="str">
        <f>IFERROR(VLOOKUP(A:A,'SALDO ATUAL'!$A$3:$E$238,3,0),"")</f>
        <v/>
      </c>
      <c r="D4" s="59" t="str">
        <f>IFERROR(VLOOKUP(A:A,'SALDO ATUAL'!$A$3:$E$238,4,0),"")</f>
        <v/>
      </c>
      <c r="E4" s="59" t="str">
        <f>IFERROR(VLOOKUP(A:A,'SALDO ATUAL'!$A$3:$E$238,5,0),"")</f>
        <v/>
      </c>
      <c r="F4" s="84" t="str">
        <f>IFERROR(VLOOKUP(A:A,'SALDO ATUAL'!$A$2:$F$238,6,0),"")</f>
        <v/>
      </c>
      <c r="G4" s="85"/>
      <c r="H4" s="59"/>
      <c r="I4" s="86"/>
      <c r="J4" s="87">
        <f ca="1">VALIDADES!$I4-$L$2</f>
        <v>-46126</v>
      </c>
      <c r="K4" s="88"/>
      <c r="L4" s="88"/>
      <c r="M4" s="88"/>
      <c r="N4" s="93">
        <v>60</v>
      </c>
      <c r="O4" s="94" t="s">
        <v>568</v>
      </c>
      <c r="P4" s="95">
        <f ca="1">COUNTIFS(J:J,"&gt;"&amp;N3,J:J,"&lt;="&amp;N4)</f>
        <v>0</v>
      </c>
      <c r="Q4" s="88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</row>
    <row r="5" spans="1:32" ht="24" customHeight="1">
      <c r="A5" s="19"/>
      <c r="B5" s="58" t="str">
        <f>IFERROR(VLOOKUP(A:A,'SALDO ATUAL'!$A$3:$E$238,2,0),"")</f>
        <v/>
      </c>
      <c r="C5" s="59" t="str">
        <f>IFERROR(VLOOKUP(A:A,'SALDO ATUAL'!$A$3:$E$238,3,0),"")</f>
        <v/>
      </c>
      <c r="D5" s="59" t="str">
        <f>IFERROR(VLOOKUP(A:A,'SALDO ATUAL'!$A$3:$E$238,4,0),"")</f>
        <v/>
      </c>
      <c r="E5" s="59" t="str">
        <f>IFERROR(VLOOKUP(A:A,'SALDO ATUAL'!$A$3:$E$238,5,0),"")</f>
        <v/>
      </c>
      <c r="F5" s="84" t="str">
        <f>IFERROR(VLOOKUP(A:A,'SALDO ATUAL'!$A$2:$F$238,6,0),"")</f>
        <v/>
      </c>
      <c r="G5" s="85"/>
      <c r="H5" s="59"/>
      <c r="I5" s="86"/>
      <c r="J5" s="87">
        <f ca="1">VALIDADES!$I5-$L$2</f>
        <v>-46126</v>
      </c>
      <c r="K5" s="88"/>
      <c r="L5" s="88"/>
      <c r="M5" s="88"/>
      <c r="N5" s="88"/>
      <c r="O5" s="88"/>
      <c r="P5" s="88"/>
      <c r="Q5" s="88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</row>
    <row r="6" spans="1:32" ht="24" customHeight="1">
      <c r="A6" s="19"/>
      <c r="B6" s="58" t="str">
        <f>IFERROR(VLOOKUP(A:A,'SALDO ATUAL'!$A$3:$E$238,2,0),"")</f>
        <v/>
      </c>
      <c r="C6" s="59" t="str">
        <f>IFERROR(VLOOKUP(A:A,'SALDO ATUAL'!$A$3:$E$238,3,0),"")</f>
        <v/>
      </c>
      <c r="D6" s="59" t="str">
        <f>IFERROR(VLOOKUP(A:A,'SALDO ATUAL'!$A$3:$E$238,4,0),"")</f>
        <v/>
      </c>
      <c r="E6" s="59" t="str">
        <f>IFERROR(VLOOKUP(A:A,'SALDO ATUAL'!$A$3:$E$238,5,0),"")</f>
        <v/>
      </c>
      <c r="F6" s="84" t="str">
        <f>IFERROR(VLOOKUP(A:A,'SALDO ATUAL'!$A$2:$F$238,6,0),"")</f>
        <v/>
      </c>
      <c r="G6" s="85"/>
      <c r="H6" s="59"/>
      <c r="I6" s="86"/>
      <c r="J6" s="87">
        <f ca="1">VALIDADES!$I6-$L$2</f>
        <v>-46126</v>
      </c>
      <c r="K6" s="88"/>
      <c r="L6" s="88"/>
      <c r="M6" s="88"/>
      <c r="N6" s="88"/>
      <c r="O6" s="88"/>
      <c r="P6" s="88"/>
      <c r="Q6" s="88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</row>
    <row r="7" spans="1:32" ht="24" customHeight="1">
      <c r="A7" s="19"/>
      <c r="B7" s="58" t="str">
        <f>IFERROR(VLOOKUP(A:A,'SALDO ATUAL'!$A$3:$E$238,2,0),"")</f>
        <v/>
      </c>
      <c r="C7" s="59" t="str">
        <f>IFERROR(VLOOKUP(A:A,'SALDO ATUAL'!$A$3:$E$238,3,0),"")</f>
        <v/>
      </c>
      <c r="D7" s="59" t="str">
        <f>IFERROR(VLOOKUP(A:A,'SALDO ATUAL'!$A$3:$E$238,4,0),"")</f>
        <v/>
      </c>
      <c r="E7" s="59" t="str">
        <f>IFERROR(VLOOKUP(A:A,'SALDO ATUAL'!$A$3:$E$238,5,0),"")</f>
        <v/>
      </c>
      <c r="F7" s="84" t="str">
        <f>IFERROR(VLOOKUP(A:A,'SALDO ATUAL'!$A$2:$F$238,6,0),"")</f>
        <v/>
      </c>
      <c r="G7" s="85"/>
      <c r="H7" s="59"/>
      <c r="I7" s="86"/>
      <c r="J7" s="87">
        <f ca="1">VALIDADES!$I7-$L$2</f>
        <v>-46126</v>
      </c>
      <c r="K7" s="88"/>
      <c r="L7" s="88"/>
      <c r="M7" s="88"/>
      <c r="N7" s="88"/>
      <c r="O7" s="88"/>
      <c r="P7" s="88"/>
      <c r="Q7" s="88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</row>
    <row r="8" spans="1:32" ht="24" customHeight="1">
      <c r="A8" s="19"/>
      <c r="B8" s="58" t="str">
        <f>IFERROR(VLOOKUP(A:A,'SALDO ATUAL'!$A$3:$E$238,2,0),"")</f>
        <v/>
      </c>
      <c r="C8" s="59" t="str">
        <f>IFERROR(VLOOKUP(A:A,'SALDO ATUAL'!$A$3:$E$238,3,0),"")</f>
        <v/>
      </c>
      <c r="D8" s="59" t="str">
        <f>IFERROR(VLOOKUP(A:A,'SALDO ATUAL'!$A$3:$E$238,4,0),"")</f>
        <v/>
      </c>
      <c r="E8" s="59" t="str">
        <f>IFERROR(VLOOKUP(A:A,'SALDO ATUAL'!$A$3:$E$238,5,0),"")</f>
        <v/>
      </c>
      <c r="F8" s="84" t="str">
        <f>IFERROR(VLOOKUP(A:A,'SALDO ATUAL'!$A$2:$F$238,6,0),"")</f>
        <v/>
      </c>
      <c r="G8" s="85"/>
      <c r="H8" s="59"/>
      <c r="I8" s="86"/>
      <c r="J8" s="87">
        <f ca="1">VALIDADES!$I8-$L$2</f>
        <v>-46126</v>
      </c>
      <c r="K8" s="88"/>
      <c r="L8" s="88"/>
      <c r="M8" s="88"/>
      <c r="N8" s="88"/>
      <c r="O8" s="88"/>
      <c r="P8" s="88"/>
      <c r="Q8" s="88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</row>
    <row r="9" spans="1:32" ht="24" customHeight="1">
      <c r="A9" s="19"/>
      <c r="B9" s="58" t="str">
        <f>IFERROR(VLOOKUP(A:A,'SALDO ATUAL'!$A$3:$E$238,2,0),"")</f>
        <v/>
      </c>
      <c r="C9" s="59" t="str">
        <f>IFERROR(VLOOKUP(A:A,'SALDO ATUAL'!$A$3:$E$238,3,0),"")</f>
        <v/>
      </c>
      <c r="D9" s="59" t="str">
        <f>IFERROR(VLOOKUP(A:A,'SALDO ATUAL'!$A$3:$E$238,4,0),"")</f>
        <v/>
      </c>
      <c r="E9" s="59" t="str">
        <f>IFERROR(VLOOKUP(A:A,'SALDO ATUAL'!$A$3:$E$238,5,0),"")</f>
        <v/>
      </c>
      <c r="F9" s="84" t="str">
        <f>IFERROR(VLOOKUP(A:A,'SALDO ATUAL'!$A$2:$F$238,6,0),"")</f>
        <v/>
      </c>
      <c r="G9" s="85"/>
      <c r="H9" s="59"/>
      <c r="I9" s="86"/>
      <c r="J9" s="87">
        <f ca="1">VALIDADES!$I9-$L$2</f>
        <v>-46126</v>
      </c>
      <c r="K9" s="88"/>
      <c r="L9" s="88"/>
      <c r="M9" s="88"/>
      <c r="N9" s="88"/>
      <c r="O9" s="88"/>
      <c r="P9" s="88"/>
      <c r="Q9" s="88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</row>
    <row r="10" spans="1:32" ht="24" customHeight="1">
      <c r="A10" s="19"/>
      <c r="B10" s="58" t="str">
        <f>IFERROR(VLOOKUP(A:A,'SALDO ATUAL'!$A$3:$E$238,2,0),"")</f>
        <v/>
      </c>
      <c r="C10" s="59" t="str">
        <f>IFERROR(VLOOKUP(A:A,'SALDO ATUAL'!$A$3:$E$238,3,0),"")</f>
        <v/>
      </c>
      <c r="D10" s="59" t="str">
        <f>IFERROR(VLOOKUP(A:A,'SALDO ATUAL'!$A$3:$E$238,4,0),"")</f>
        <v/>
      </c>
      <c r="E10" s="59" t="str">
        <f>IFERROR(VLOOKUP(A:A,'SALDO ATUAL'!$A$3:$E$238,5,0),"")</f>
        <v/>
      </c>
      <c r="F10" s="84" t="str">
        <f>IFERROR(VLOOKUP(A:A,'SALDO ATUAL'!$A$2:$F$238,6,0),"")</f>
        <v/>
      </c>
      <c r="G10" s="85"/>
      <c r="H10" s="59"/>
      <c r="I10" s="86"/>
      <c r="J10" s="87">
        <f ca="1">VALIDADES!$I10-$L$2</f>
        <v>-46126</v>
      </c>
      <c r="K10" s="88"/>
      <c r="L10" s="88"/>
      <c r="M10" s="88"/>
      <c r="N10" s="88"/>
      <c r="O10" s="88"/>
      <c r="P10" s="88"/>
      <c r="Q10" s="88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</row>
    <row r="11" spans="1:32" ht="24" customHeight="1">
      <c r="A11" s="19"/>
      <c r="B11" s="58" t="str">
        <f>IFERROR(VLOOKUP(A:A,'SALDO ATUAL'!$A$3:$E$238,2,0),"")</f>
        <v/>
      </c>
      <c r="C11" s="59" t="str">
        <f>IFERROR(VLOOKUP(A:A,'SALDO ATUAL'!$A$3:$E$238,3,0),"")</f>
        <v/>
      </c>
      <c r="D11" s="59" t="str">
        <f>IFERROR(VLOOKUP(A:A,'SALDO ATUAL'!$A$3:$E$238,4,0),"")</f>
        <v/>
      </c>
      <c r="E11" s="59" t="str">
        <f>IFERROR(VLOOKUP(A:A,'SALDO ATUAL'!$A$3:$E$238,5,0),"")</f>
        <v/>
      </c>
      <c r="F11" s="84" t="str">
        <f>IFERROR(VLOOKUP(A:A,'SALDO ATUAL'!$A$2:$F$238,6,0),"")</f>
        <v/>
      </c>
      <c r="G11" s="85"/>
      <c r="H11" s="59"/>
      <c r="I11" s="86"/>
      <c r="J11" s="87">
        <f ca="1">VALIDADES!$I11-$L$2</f>
        <v>-46126</v>
      </c>
      <c r="K11" s="88"/>
      <c r="L11" s="88"/>
      <c r="M11" s="88"/>
      <c r="N11" s="88"/>
      <c r="O11" s="88"/>
      <c r="P11" s="88"/>
      <c r="Q11" s="88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</row>
    <row r="12" spans="1:32" ht="24" customHeight="1">
      <c r="A12" s="19"/>
      <c r="B12" s="58" t="str">
        <f>IFERROR(VLOOKUP(A:A,'SALDO ATUAL'!$A$3:$E$238,2,0),"")</f>
        <v/>
      </c>
      <c r="C12" s="59" t="str">
        <f>IFERROR(VLOOKUP(A:A,'SALDO ATUAL'!$A$3:$E$238,3,0),"")</f>
        <v/>
      </c>
      <c r="D12" s="59" t="str">
        <f>IFERROR(VLOOKUP(A:A,'SALDO ATUAL'!$A$3:$E$238,4,0),"")</f>
        <v/>
      </c>
      <c r="E12" s="59" t="str">
        <f>IFERROR(VLOOKUP(A:A,'SALDO ATUAL'!$A$3:$E$238,5,0),"")</f>
        <v/>
      </c>
      <c r="F12" s="84" t="str">
        <f>IFERROR(VLOOKUP(A:A,'SALDO ATUAL'!$A$2:$F$238,6,0),"")</f>
        <v/>
      </c>
      <c r="G12" s="85"/>
      <c r="H12" s="59"/>
      <c r="I12" s="86"/>
      <c r="J12" s="87">
        <f ca="1">VALIDADES!$I12-$L$2</f>
        <v>-46126</v>
      </c>
      <c r="K12" s="88"/>
      <c r="L12" s="88"/>
      <c r="M12" s="88"/>
      <c r="N12" s="88"/>
      <c r="O12" s="88"/>
      <c r="P12" s="88"/>
      <c r="Q12" s="88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</row>
    <row r="13" spans="1:32" ht="24" customHeight="1">
      <c r="A13" s="19"/>
      <c r="B13" s="58" t="str">
        <f>IFERROR(VLOOKUP(A:A,'SALDO ATUAL'!$A$3:$E$238,2,0),"")</f>
        <v/>
      </c>
      <c r="C13" s="59" t="str">
        <f>IFERROR(VLOOKUP(A:A,'SALDO ATUAL'!$A$3:$E$238,3,0),"")</f>
        <v/>
      </c>
      <c r="D13" s="59" t="str">
        <f>IFERROR(VLOOKUP(A:A,'SALDO ATUAL'!$A$3:$E$238,4,0),"")</f>
        <v/>
      </c>
      <c r="E13" s="59" t="str">
        <f>IFERROR(VLOOKUP(A:A,'SALDO ATUAL'!$A$3:$E$238,5,0),"")</f>
        <v/>
      </c>
      <c r="F13" s="84" t="str">
        <f>IFERROR(VLOOKUP(A:A,'SALDO ATUAL'!$A$2:$F$238,6,0),"")</f>
        <v/>
      </c>
      <c r="G13" s="85"/>
      <c r="H13" s="59"/>
      <c r="I13" s="86"/>
      <c r="J13" s="87">
        <f ca="1">VALIDADES!$I13-$L$2</f>
        <v>-46126</v>
      </c>
      <c r="K13" s="88"/>
      <c r="L13" s="88"/>
      <c r="M13" s="88"/>
      <c r="N13" s="88"/>
      <c r="O13" s="88"/>
      <c r="P13" s="88"/>
      <c r="Q13" s="88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</row>
    <row r="14" spans="1:32" ht="24" customHeight="1">
      <c r="A14" s="19"/>
      <c r="B14" s="58" t="str">
        <f>IFERROR(VLOOKUP(A:A,'SALDO ATUAL'!$A$3:$E$238,2,0),"")</f>
        <v/>
      </c>
      <c r="C14" s="59" t="str">
        <f>IFERROR(VLOOKUP(A:A,'SALDO ATUAL'!$A$3:$E$238,3,0),"")</f>
        <v/>
      </c>
      <c r="D14" s="59" t="str">
        <f>IFERROR(VLOOKUP(A:A,'SALDO ATUAL'!$A$3:$E$238,4,0),"")</f>
        <v/>
      </c>
      <c r="E14" s="59" t="str">
        <f>IFERROR(VLOOKUP(A:A,'SALDO ATUAL'!$A$3:$E$238,5,0),"")</f>
        <v/>
      </c>
      <c r="F14" s="84" t="str">
        <f>IFERROR(VLOOKUP(A:A,'SALDO ATUAL'!$A$2:$F$238,6,0),"")</f>
        <v/>
      </c>
      <c r="G14" s="85"/>
      <c r="H14" s="59"/>
      <c r="I14" s="86"/>
      <c r="J14" s="87">
        <f ca="1">VALIDADES!$I14-$L$2</f>
        <v>-46126</v>
      </c>
      <c r="K14" s="88"/>
      <c r="L14" s="88"/>
      <c r="M14" s="88"/>
      <c r="N14" s="88"/>
      <c r="O14" s="88"/>
      <c r="P14" s="88"/>
      <c r="Q14" s="88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</row>
    <row r="15" spans="1:32" ht="24" customHeight="1">
      <c r="A15" s="19"/>
      <c r="B15" s="58" t="str">
        <f>IFERROR(VLOOKUP(A:A,'SALDO ATUAL'!$A$3:$E$238,2,0),"")</f>
        <v/>
      </c>
      <c r="C15" s="59" t="str">
        <f>IFERROR(VLOOKUP(A:A,'SALDO ATUAL'!$A$3:$E$238,3,0),"")</f>
        <v/>
      </c>
      <c r="D15" s="59" t="str">
        <f>IFERROR(VLOOKUP(A:A,'SALDO ATUAL'!$A$3:$E$238,4,0),"")</f>
        <v/>
      </c>
      <c r="E15" s="59" t="str">
        <f>IFERROR(VLOOKUP(A:A,'SALDO ATUAL'!$A$3:$E$238,5,0),"")</f>
        <v/>
      </c>
      <c r="F15" s="84" t="str">
        <f>IFERROR(VLOOKUP(A:A,'SALDO ATUAL'!$A$2:$F$238,6,0),"")</f>
        <v/>
      </c>
      <c r="G15" s="85"/>
      <c r="H15" s="59"/>
      <c r="I15" s="86"/>
      <c r="J15" s="87">
        <f ca="1">VALIDADES!$I15-$L$2</f>
        <v>-46126</v>
      </c>
      <c r="K15" s="88"/>
      <c r="L15" s="88"/>
      <c r="M15" s="88"/>
      <c r="N15" s="88"/>
      <c r="O15" s="88"/>
      <c r="P15" s="88"/>
      <c r="Q15" s="88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</row>
    <row r="16" spans="1:32" ht="24" customHeight="1">
      <c r="A16" s="19"/>
      <c r="B16" s="58" t="str">
        <f>IFERROR(VLOOKUP(A:A,'SALDO ATUAL'!$A$3:$E$238,2,0),"")</f>
        <v/>
      </c>
      <c r="C16" s="59" t="str">
        <f>IFERROR(VLOOKUP(A:A,'SALDO ATUAL'!$A$3:$E$238,3,0),"")</f>
        <v/>
      </c>
      <c r="D16" s="59" t="str">
        <f>IFERROR(VLOOKUP(A:A,'SALDO ATUAL'!$A$3:$E$238,4,0),"")</f>
        <v/>
      </c>
      <c r="E16" s="59" t="str">
        <f>IFERROR(VLOOKUP(A:A,'SALDO ATUAL'!$A$3:$E$238,5,0),"")</f>
        <v/>
      </c>
      <c r="F16" s="84" t="str">
        <f>IFERROR(VLOOKUP(A:A,'SALDO ATUAL'!$A$2:$F$238,6,0),"")</f>
        <v/>
      </c>
      <c r="G16" s="85"/>
      <c r="H16" s="59"/>
      <c r="I16" s="86"/>
      <c r="J16" s="87">
        <f ca="1">VALIDADES!$I16-$L$2</f>
        <v>-46126</v>
      </c>
      <c r="K16" s="88"/>
      <c r="L16" s="88"/>
      <c r="M16" s="88"/>
      <c r="N16" s="88"/>
      <c r="O16" s="88"/>
      <c r="P16" s="88"/>
      <c r="Q16" s="88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</row>
    <row r="17" spans="1:32" ht="24" customHeight="1">
      <c r="A17" s="19"/>
      <c r="B17" s="58" t="str">
        <f>IFERROR(VLOOKUP(A:A,'SALDO ATUAL'!$A$3:$E$238,2,0),"")</f>
        <v/>
      </c>
      <c r="C17" s="59" t="str">
        <f>IFERROR(VLOOKUP(A:A,'SALDO ATUAL'!$A$3:$E$238,3,0),"")</f>
        <v/>
      </c>
      <c r="D17" s="59" t="str">
        <f>IFERROR(VLOOKUP(A:A,'SALDO ATUAL'!$A$3:$E$238,4,0),"")</f>
        <v/>
      </c>
      <c r="E17" s="59" t="str">
        <f>IFERROR(VLOOKUP(A:A,'SALDO ATUAL'!$A$3:$E$238,5,0),"")</f>
        <v/>
      </c>
      <c r="F17" s="84" t="str">
        <f>IFERROR(VLOOKUP(A:A,'SALDO ATUAL'!$A$2:$F$238,6,0),"")</f>
        <v/>
      </c>
      <c r="G17" s="85"/>
      <c r="H17" s="59"/>
      <c r="I17" s="86"/>
      <c r="J17" s="87">
        <f ca="1">VALIDADES!$I17-$L$2</f>
        <v>-46126</v>
      </c>
      <c r="K17" s="88"/>
      <c r="L17" s="88"/>
      <c r="M17" s="88"/>
      <c r="N17" s="88"/>
      <c r="O17" s="88"/>
      <c r="P17" s="88"/>
      <c r="Q17" s="88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</row>
    <row r="18" spans="1:32" ht="24" customHeight="1">
      <c r="A18" s="19"/>
      <c r="B18" s="58" t="str">
        <f>IFERROR(VLOOKUP(A:A,'SALDO ATUAL'!$A$3:$E$238,2,0),"")</f>
        <v/>
      </c>
      <c r="C18" s="59" t="str">
        <f>IFERROR(VLOOKUP(A:A,'SALDO ATUAL'!$A$3:$E$238,3,0),"")</f>
        <v/>
      </c>
      <c r="D18" s="59" t="str">
        <f>IFERROR(VLOOKUP(A:A,'SALDO ATUAL'!$A$3:$E$238,4,0),"")</f>
        <v/>
      </c>
      <c r="E18" s="59" t="str">
        <f>IFERROR(VLOOKUP(A:A,'SALDO ATUAL'!$A$3:$E$238,5,0),"")</f>
        <v/>
      </c>
      <c r="F18" s="84" t="str">
        <f>IFERROR(VLOOKUP(A:A,'SALDO ATUAL'!$A$2:$F$238,6,0),"")</f>
        <v/>
      </c>
      <c r="G18" s="85"/>
      <c r="H18" s="59"/>
      <c r="I18" s="86"/>
      <c r="J18" s="87">
        <f ca="1">VALIDADES!$I18-$L$2</f>
        <v>-46126</v>
      </c>
      <c r="K18" s="88"/>
      <c r="L18" s="88"/>
      <c r="M18" s="88"/>
      <c r="N18" s="88"/>
      <c r="O18" s="88"/>
      <c r="P18" s="88"/>
      <c r="Q18" s="88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</row>
    <row r="19" spans="1:32" ht="24" customHeight="1">
      <c r="A19" s="19"/>
      <c r="B19" s="58" t="str">
        <f>IFERROR(VLOOKUP(A:A,'SALDO ATUAL'!$A$3:$E$238,2,0),"")</f>
        <v/>
      </c>
      <c r="C19" s="59" t="str">
        <f>IFERROR(VLOOKUP(A:A,'SALDO ATUAL'!$A$3:$E$238,3,0),"")</f>
        <v/>
      </c>
      <c r="D19" s="59" t="str">
        <f>IFERROR(VLOOKUP(A:A,'SALDO ATUAL'!$A$3:$E$238,4,0),"")</f>
        <v/>
      </c>
      <c r="E19" s="59" t="str">
        <f>IFERROR(VLOOKUP(A:A,'SALDO ATUAL'!$A$3:$E$238,5,0),"")</f>
        <v/>
      </c>
      <c r="F19" s="84" t="str">
        <f>IFERROR(VLOOKUP(A:A,'SALDO ATUAL'!$A$2:$F$238,6,0),"")</f>
        <v/>
      </c>
      <c r="G19" s="85"/>
      <c r="H19" s="59"/>
      <c r="I19" s="86"/>
      <c r="J19" s="87">
        <f ca="1">VALIDADES!$I19-$L$2</f>
        <v>-46126</v>
      </c>
      <c r="K19" s="88"/>
      <c r="L19" s="88"/>
      <c r="M19" s="88"/>
      <c r="N19" s="88"/>
      <c r="O19" s="88"/>
      <c r="P19" s="88"/>
      <c r="Q19" s="88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</row>
    <row r="20" spans="1:32" ht="24" customHeight="1">
      <c r="A20" s="19"/>
      <c r="B20" s="58" t="str">
        <f>IFERROR(VLOOKUP(A:A,'SALDO ATUAL'!$A$3:$E$238,2,0),"")</f>
        <v/>
      </c>
      <c r="C20" s="59" t="str">
        <f>IFERROR(VLOOKUP(A:A,'SALDO ATUAL'!$A$3:$E$238,3,0),"")</f>
        <v/>
      </c>
      <c r="D20" s="59" t="str">
        <f>IFERROR(VLOOKUP(A:A,'SALDO ATUAL'!$A$3:$E$238,4,0),"")</f>
        <v/>
      </c>
      <c r="E20" s="59" t="str">
        <f>IFERROR(VLOOKUP(A:A,'SALDO ATUAL'!$A$3:$E$238,5,0),"")</f>
        <v/>
      </c>
      <c r="F20" s="84" t="str">
        <f>IFERROR(VLOOKUP(A:A,'SALDO ATUAL'!$A$2:$F$238,6,0),"")</f>
        <v/>
      </c>
      <c r="G20" s="85"/>
      <c r="H20" s="59"/>
      <c r="I20" s="86"/>
      <c r="J20" s="87">
        <f ca="1">VALIDADES!$I20-$L$2</f>
        <v>-46126</v>
      </c>
      <c r="K20" s="88"/>
      <c r="L20" s="88"/>
      <c r="M20" s="88"/>
      <c r="N20" s="88"/>
      <c r="O20" s="88"/>
      <c r="P20" s="88"/>
      <c r="Q20" s="88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</row>
    <row r="21" spans="1:32" ht="24" customHeight="1">
      <c r="A21" s="19"/>
      <c r="B21" s="58" t="str">
        <f>IFERROR(VLOOKUP(A:A,'SALDO ATUAL'!$A$3:$E$238,2,0),"")</f>
        <v/>
      </c>
      <c r="C21" s="59" t="str">
        <f>IFERROR(VLOOKUP(A:A,'SALDO ATUAL'!$A$3:$E$238,3,0),"")</f>
        <v/>
      </c>
      <c r="D21" s="59" t="str">
        <f>IFERROR(VLOOKUP(A:A,'SALDO ATUAL'!$A$3:$E$238,4,0),"")</f>
        <v/>
      </c>
      <c r="E21" s="59" t="str">
        <f>IFERROR(VLOOKUP(A:A,'SALDO ATUAL'!$A$3:$E$238,5,0),"")</f>
        <v/>
      </c>
      <c r="F21" s="84" t="str">
        <f>IFERROR(VLOOKUP(A:A,'SALDO ATUAL'!$A$2:$F$238,6,0),"")</f>
        <v/>
      </c>
      <c r="G21" s="85"/>
      <c r="H21" s="59"/>
      <c r="I21" s="86"/>
      <c r="J21" s="87">
        <f ca="1">VALIDADES!$I21-$L$2</f>
        <v>-46126</v>
      </c>
      <c r="K21" s="88"/>
      <c r="L21" s="88"/>
      <c r="M21" s="88"/>
      <c r="N21" s="88"/>
      <c r="O21" s="88"/>
      <c r="P21" s="88"/>
      <c r="Q21" s="88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</row>
    <row r="22" spans="1:32" ht="24" customHeight="1">
      <c r="A22" s="19"/>
      <c r="B22" s="58" t="str">
        <f>IFERROR(VLOOKUP(A:A,'SALDO ATUAL'!$A$3:$E$238,2,0),"")</f>
        <v/>
      </c>
      <c r="C22" s="59" t="str">
        <f>IFERROR(VLOOKUP(A:A,'SALDO ATUAL'!$A$3:$E$238,3,0),"")</f>
        <v/>
      </c>
      <c r="D22" s="59" t="str">
        <f>IFERROR(VLOOKUP(A:A,'SALDO ATUAL'!$A$3:$E$238,4,0),"")</f>
        <v/>
      </c>
      <c r="E22" s="59" t="str">
        <f>IFERROR(VLOOKUP(A:A,'SALDO ATUAL'!$A$3:$E$238,5,0),"")</f>
        <v/>
      </c>
      <c r="F22" s="84" t="str">
        <f>IFERROR(VLOOKUP(A:A,'SALDO ATUAL'!$A$2:$F$238,6,0),"")</f>
        <v/>
      </c>
      <c r="G22" s="85"/>
      <c r="H22" s="59"/>
      <c r="I22" s="86"/>
      <c r="J22" s="87">
        <f ca="1">VALIDADES!$I22-$L$2</f>
        <v>-46126</v>
      </c>
      <c r="K22" s="88"/>
      <c r="L22" s="88"/>
      <c r="M22" s="88"/>
      <c r="N22" s="88"/>
      <c r="O22" s="88"/>
      <c r="P22" s="88"/>
      <c r="Q22" s="88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</row>
    <row r="23" spans="1:32" ht="24" customHeight="1">
      <c r="A23" s="19"/>
      <c r="B23" s="58" t="str">
        <f>IFERROR(VLOOKUP(A:A,'SALDO ATUAL'!$A$3:$E$238,2,0),"")</f>
        <v/>
      </c>
      <c r="C23" s="59" t="str">
        <f>IFERROR(VLOOKUP(A:A,'SALDO ATUAL'!$A$3:$E$238,3,0),"")</f>
        <v/>
      </c>
      <c r="D23" s="59" t="str">
        <f>IFERROR(VLOOKUP(A:A,'SALDO ATUAL'!$A$3:$E$238,4,0),"")</f>
        <v/>
      </c>
      <c r="E23" s="59" t="str">
        <f>IFERROR(VLOOKUP(A:A,'SALDO ATUAL'!$A$3:$E$238,5,0),"")</f>
        <v/>
      </c>
      <c r="F23" s="84" t="str">
        <f>IFERROR(VLOOKUP(A:A,'SALDO ATUAL'!$A$2:$F$238,6,0),"")</f>
        <v/>
      </c>
      <c r="G23" s="85"/>
      <c r="H23" s="59"/>
      <c r="I23" s="86"/>
      <c r="J23" s="87">
        <f ca="1">VALIDADES!$I23-$L$2</f>
        <v>-46126</v>
      </c>
      <c r="K23" s="88"/>
      <c r="L23" s="88"/>
      <c r="M23" s="88"/>
      <c r="N23" s="88"/>
      <c r="O23" s="88"/>
      <c r="P23" s="88"/>
      <c r="Q23" s="88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</row>
    <row r="24" spans="1:32" ht="24" customHeight="1">
      <c r="A24" s="19"/>
      <c r="B24" s="58" t="str">
        <f>IFERROR(VLOOKUP(A:A,'SALDO ATUAL'!$A$3:$E$238,2,0),"")</f>
        <v/>
      </c>
      <c r="C24" s="59" t="str">
        <f>IFERROR(VLOOKUP(A:A,'SALDO ATUAL'!$A$3:$E$238,3,0),"")</f>
        <v/>
      </c>
      <c r="D24" s="59" t="str">
        <f>IFERROR(VLOOKUP(A:A,'SALDO ATUAL'!$A$3:$E$238,4,0),"")</f>
        <v/>
      </c>
      <c r="E24" s="59" t="str">
        <f>IFERROR(VLOOKUP(A:A,'SALDO ATUAL'!$A$3:$E$238,5,0),"")</f>
        <v/>
      </c>
      <c r="F24" s="84" t="str">
        <f>IFERROR(VLOOKUP(A:A,'SALDO ATUAL'!$A$2:$F$238,6,0),"")</f>
        <v/>
      </c>
      <c r="G24" s="85"/>
      <c r="H24" s="59"/>
      <c r="I24" s="86"/>
      <c r="J24" s="87">
        <f ca="1">VALIDADES!$I24-$L$2</f>
        <v>-46126</v>
      </c>
      <c r="K24" s="88"/>
      <c r="L24" s="88"/>
      <c r="M24" s="88"/>
      <c r="N24" s="88"/>
      <c r="O24" s="88"/>
      <c r="P24" s="88"/>
      <c r="Q24" s="88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</row>
    <row r="25" spans="1:32" ht="24" hidden="1" customHeight="1">
      <c r="A25" s="96">
        <v>24</v>
      </c>
      <c r="B25" s="97">
        <f>IFERROR(VLOOKUP(A:A,'SALDO ATUAL'!$A$3:$E$238,2,0),"")</f>
        <v>0</v>
      </c>
      <c r="C25" s="98" t="str">
        <f>IFERROR(VLOOKUP(A:A,'SALDO ATUAL'!$A$3:$E$238,3,0),"")</f>
        <v>AH BELOTERO BALANCE</v>
      </c>
      <c r="D25" s="98" t="str">
        <f>IFERROR(VLOOKUP(A:A,'SALDO ATUAL'!$A$3:$E$238,4,0),"")</f>
        <v>PREENCHEDOR</v>
      </c>
      <c r="E25" s="98" t="str">
        <f>IFERROR(VLOOKUP(A:A,'SALDO ATUAL'!$A$3:$E$238,5,0),"")</f>
        <v>023 - Mililitro</v>
      </c>
      <c r="F25" s="99" t="str">
        <f>IFERROR(VLOOKUP(A:A,'SALDO ATUAL'!$A$2:$F$238,6,0),"")</f>
        <v>MERZ</v>
      </c>
      <c r="G25" s="100" t="s">
        <v>569</v>
      </c>
      <c r="H25" s="98">
        <v>8</v>
      </c>
      <c r="I25" s="101">
        <v>45808</v>
      </c>
      <c r="J25" s="102">
        <f ca="1">VALIDADES!$I25-$L$2</f>
        <v>-318</v>
      </c>
      <c r="K25" s="70"/>
      <c r="L25" s="70"/>
      <c r="M25" s="70"/>
      <c r="N25" s="70"/>
      <c r="O25" s="70"/>
      <c r="P25" s="70"/>
      <c r="Q25" s="70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</row>
    <row r="26" spans="1:32" ht="24" customHeight="1">
      <c r="A26" s="19"/>
      <c r="B26" s="58" t="str">
        <f>IFERROR(VLOOKUP(A:A,'SALDO ATUAL'!$A$3:$E$238,2,0),"")</f>
        <v/>
      </c>
      <c r="C26" s="59" t="str">
        <f>IFERROR(VLOOKUP(A:A,'SALDO ATUAL'!$A$3:$E$238,3,0),"")</f>
        <v/>
      </c>
      <c r="D26" s="59" t="str">
        <f>IFERROR(VLOOKUP(A:A,'SALDO ATUAL'!$A$3:$E$238,4,0),"")</f>
        <v/>
      </c>
      <c r="E26" s="59" t="str">
        <f>IFERROR(VLOOKUP(A:A,'SALDO ATUAL'!$A$3:$E$238,5,0),"")</f>
        <v/>
      </c>
      <c r="F26" s="84" t="str">
        <f>IFERROR(VLOOKUP(A:A,'SALDO ATUAL'!$A$2:$F$238,6,0),"")</f>
        <v/>
      </c>
      <c r="G26" s="85"/>
      <c r="H26" s="59"/>
      <c r="I26" s="86"/>
      <c r="J26" s="87">
        <f ca="1">VALIDADES!$I26-$L$2</f>
        <v>-46126</v>
      </c>
      <c r="K26" s="88"/>
      <c r="L26" s="88"/>
      <c r="M26" s="88"/>
      <c r="N26" s="88"/>
      <c r="O26" s="88"/>
      <c r="P26" s="88"/>
      <c r="Q26" s="88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</row>
    <row r="27" spans="1:32" ht="24" customHeight="1">
      <c r="A27" s="19"/>
      <c r="B27" s="58" t="str">
        <f>IFERROR(VLOOKUP(A:A,'SALDO ATUAL'!$A$3:$E$238,2,0),"")</f>
        <v/>
      </c>
      <c r="C27" s="59" t="str">
        <f>IFERROR(VLOOKUP(A:A,'SALDO ATUAL'!$A$3:$E$238,3,0),"")</f>
        <v/>
      </c>
      <c r="D27" s="59" t="str">
        <f>IFERROR(VLOOKUP(A:A,'SALDO ATUAL'!$A$3:$E$238,4,0),"")</f>
        <v/>
      </c>
      <c r="E27" s="59" t="str">
        <f>IFERROR(VLOOKUP(A:A,'SALDO ATUAL'!$A$3:$E$238,5,0),"")</f>
        <v/>
      </c>
      <c r="F27" s="84" t="str">
        <f>IFERROR(VLOOKUP(A:A,'SALDO ATUAL'!$A$2:$F$238,6,0),"")</f>
        <v/>
      </c>
      <c r="G27" s="85"/>
      <c r="H27" s="59"/>
      <c r="I27" s="86"/>
      <c r="J27" s="87">
        <f ca="1">VALIDADES!$I27-$L$2</f>
        <v>-46126</v>
      </c>
      <c r="K27" s="88"/>
      <c r="L27" s="88"/>
      <c r="M27" s="88"/>
      <c r="N27" s="88"/>
      <c r="O27" s="88"/>
      <c r="P27" s="88"/>
      <c r="Q27" s="88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</row>
    <row r="28" spans="1:32" ht="24" customHeight="1">
      <c r="A28" s="19"/>
      <c r="B28" s="58" t="str">
        <f>IFERROR(VLOOKUP(A:A,'SALDO ATUAL'!$A$3:$E$238,2,0),"")</f>
        <v/>
      </c>
      <c r="C28" s="59" t="str">
        <f>IFERROR(VLOOKUP(A:A,'SALDO ATUAL'!$A$3:$E$238,3,0),"")</f>
        <v/>
      </c>
      <c r="D28" s="59" t="str">
        <f>IFERROR(VLOOKUP(A:A,'SALDO ATUAL'!$A$3:$E$238,4,0),"")</f>
        <v/>
      </c>
      <c r="E28" s="59" t="str">
        <f>IFERROR(VLOOKUP(A:A,'SALDO ATUAL'!$A$3:$E$238,5,0),"")</f>
        <v/>
      </c>
      <c r="F28" s="84" t="str">
        <f>IFERROR(VLOOKUP(A:A,'SALDO ATUAL'!$A$2:$F$238,6,0),"")</f>
        <v/>
      </c>
      <c r="G28" s="85"/>
      <c r="H28" s="59"/>
      <c r="I28" s="86"/>
      <c r="J28" s="87">
        <f ca="1">VALIDADES!$I28-$L$2</f>
        <v>-46126</v>
      </c>
      <c r="K28" s="88"/>
      <c r="L28" s="88"/>
      <c r="M28" s="88"/>
      <c r="N28" s="88"/>
      <c r="O28" s="88"/>
      <c r="P28" s="88"/>
      <c r="Q28" s="88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</row>
    <row r="29" spans="1:32" ht="24" customHeight="1">
      <c r="A29" s="19"/>
      <c r="B29" s="58" t="str">
        <f>IFERROR(VLOOKUP(A:A,'SALDO ATUAL'!$A$3:$E$238,2,0),"")</f>
        <v/>
      </c>
      <c r="C29" s="59" t="str">
        <f>IFERROR(VLOOKUP(A:A,'SALDO ATUAL'!$A$3:$E$238,3,0),"")</f>
        <v/>
      </c>
      <c r="D29" s="59" t="str">
        <f>IFERROR(VLOOKUP(A:A,'SALDO ATUAL'!$A$3:$E$238,4,0),"")</f>
        <v/>
      </c>
      <c r="E29" s="59" t="str">
        <f>IFERROR(VLOOKUP(A:A,'SALDO ATUAL'!$A$3:$E$238,5,0),"")</f>
        <v/>
      </c>
      <c r="F29" s="84" t="str">
        <f>IFERROR(VLOOKUP(A:A,'SALDO ATUAL'!$A$2:$F$238,6,0),"")</f>
        <v/>
      </c>
      <c r="G29" s="85"/>
      <c r="H29" s="59"/>
      <c r="I29" s="86"/>
      <c r="J29" s="87">
        <f ca="1">VALIDADES!$I29-$L$2</f>
        <v>-46126</v>
      </c>
      <c r="K29" s="88"/>
      <c r="L29" s="88"/>
      <c r="M29" s="88"/>
      <c r="N29" s="88"/>
      <c r="O29" s="88"/>
      <c r="P29" s="88"/>
      <c r="Q29" s="88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</row>
    <row r="30" spans="1:32" ht="24" hidden="1" customHeight="1">
      <c r="A30" s="96">
        <v>168</v>
      </c>
      <c r="B30" s="97" t="str">
        <f>IFERROR(VLOOKUP(A:A,'SALDO ATUAL'!$A$3:$E$238,2,0),"")</f>
        <v/>
      </c>
      <c r="C30" s="98" t="str">
        <f>IFERROR(VLOOKUP(A:A,'SALDO ATUAL'!$A$3:$E$238,3,0),"")</f>
        <v/>
      </c>
      <c r="D30" s="98" t="str">
        <f>IFERROR(VLOOKUP(A:A,'SALDO ATUAL'!$A$3:$E$238,4,0),"")</f>
        <v/>
      </c>
      <c r="E30" s="98" t="str">
        <f>IFERROR(VLOOKUP(A:A,'SALDO ATUAL'!$A$3:$E$238,5,0),"")</f>
        <v/>
      </c>
      <c r="F30" s="99" t="str">
        <f>IFERROR(VLOOKUP(A:A,'SALDO ATUAL'!$A$2:$F$238,6,0),"")</f>
        <v/>
      </c>
      <c r="G30" s="100" t="s">
        <v>570</v>
      </c>
      <c r="H30" s="98">
        <v>4</v>
      </c>
      <c r="I30" s="101">
        <v>45961</v>
      </c>
      <c r="J30" s="102">
        <f ca="1">VALIDADES!$I30-$L$2</f>
        <v>-165</v>
      </c>
      <c r="K30" s="70"/>
      <c r="L30" s="70"/>
      <c r="M30" s="70"/>
      <c r="N30" s="70"/>
      <c r="O30" s="70"/>
      <c r="P30" s="70"/>
      <c r="Q30" s="70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</row>
    <row r="31" spans="1:32" ht="24" customHeight="1">
      <c r="A31" s="19"/>
      <c r="B31" s="58" t="str">
        <f>IFERROR(VLOOKUP(A:A,'SALDO ATUAL'!$A$3:$E$238,2,0),"")</f>
        <v/>
      </c>
      <c r="C31" s="59" t="str">
        <f>IFERROR(VLOOKUP(A:A,'SALDO ATUAL'!$A$3:$E$238,3,0),"")</f>
        <v/>
      </c>
      <c r="D31" s="59" t="str">
        <f>IFERROR(VLOOKUP(A:A,'SALDO ATUAL'!$A$3:$E$238,4,0),"")</f>
        <v/>
      </c>
      <c r="E31" s="59" t="str">
        <f>IFERROR(VLOOKUP(A:A,'SALDO ATUAL'!$A$3:$E$238,5,0),"")</f>
        <v/>
      </c>
      <c r="F31" s="84" t="str">
        <f>IFERROR(VLOOKUP(A:A,'SALDO ATUAL'!$A$2:$F$238,6,0),"")</f>
        <v/>
      </c>
      <c r="G31" s="85"/>
      <c r="H31" s="59"/>
      <c r="I31" s="86"/>
      <c r="J31" s="87">
        <f ca="1">VALIDADES!$I31-$L$2</f>
        <v>-46126</v>
      </c>
      <c r="K31" s="88"/>
      <c r="L31" s="88"/>
      <c r="M31" s="88"/>
      <c r="N31" s="88"/>
      <c r="O31" s="88"/>
      <c r="P31" s="88"/>
      <c r="Q31" s="88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</row>
    <row r="32" spans="1:32" ht="24" customHeight="1">
      <c r="A32" s="19"/>
      <c r="B32" s="58" t="str">
        <f>IFERROR(VLOOKUP(A:A,'SALDO ATUAL'!$A$3:$E$238,2,0),"")</f>
        <v/>
      </c>
      <c r="C32" s="59" t="str">
        <f>IFERROR(VLOOKUP(A:A,'SALDO ATUAL'!$A$3:$E$238,3,0),"")</f>
        <v/>
      </c>
      <c r="D32" s="59" t="str">
        <f>IFERROR(VLOOKUP(A:A,'SALDO ATUAL'!$A$3:$E$238,4,0),"")</f>
        <v/>
      </c>
      <c r="E32" s="59" t="str">
        <f>IFERROR(VLOOKUP(A:A,'SALDO ATUAL'!$A$3:$E$238,5,0),"")</f>
        <v/>
      </c>
      <c r="F32" s="84" t="str">
        <f>IFERROR(VLOOKUP(A:A,'SALDO ATUAL'!$A$2:$F$238,6,0),"")</f>
        <v/>
      </c>
      <c r="G32" s="85"/>
      <c r="H32" s="59"/>
      <c r="I32" s="86"/>
      <c r="J32" s="87">
        <f ca="1">VALIDADES!$I32-$L$2</f>
        <v>-46126</v>
      </c>
      <c r="K32" s="88"/>
      <c r="L32" s="88"/>
      <c r="M32" s="88"/>
      <c r="N32" s="88"/>
      <c r="O32" s="88"/>
      <c r="P32" s="88"/>
      <c r="Q32" s="88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</row>
    <row r="33" spans="1:32" ht="24" customHeight="1">
      <c r="A33" s="19"/>
      <c r="B33" s="58" t="str">
        <f>IFERROR(VLOOKUP(A:A,'SALDO ATUAL'!$A$3:$E$238,2,0),"")</f>
        <v/>
      </c>
      <c r="C33" s="59" t="str">
        <f>IFERROR(VLOOKUP(A:A,'SALDO ATUAL'!$A$3:$E$238,3,0),"")</f>
        <v/>
      </c>
      <c r="D33" s="59" t="str">
        <f>IFERROR(VLOOKUP(A:A,'SALDO ATUAL'!$A$3:$E$238,4,0),"")</f>
        <v/>
      </c>
      <c r="E33" s="59" t="str">
        <f>IFERROR(VLOOKUP(A:A,'SALDO ATUAL'!$A$3:$E$238,5,0),"")</f>
        <v/>
      </c>
      <c r="F33" s="84" t="str">
        <f>IFERROR(VLOOKUP(A:A,'SALDO ATUAL'!$A$2:$F$238,6,0),"")</f>
        <v/>
      </c>
      <c r="G33" s="85"/>
      <c r="H33" s="59"/>
      <c r="I33" s="86"/>
      <c r="J33" s="87">
        <f ca="1">VALIDADES!$I33-$L$2</f>
        <v>-46126</v>
      </c>
      <c r="K33" s="88"/>
      <c r="L33" s="88"/>
      <c r="M33" s="88"/>
      <c r="N33" s="88"/>
      <c r="O33" s="88"/>
      <c r="P33" s="88"/>
      <c r="Q33" s="88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</row>
    <row r="34" spans="1:32" ht="24" customHeight="1">
      <c r="A34" s="19"/>
      <c r="B34" s="58" t="str">
        <f>IFERROR(VLOOKUP(A:A,'SALDO ATUAL'!$A$3:$E$238,2,0),"")</f>
        <v/>
      </c>
      <c r="C34" s="59" t="str">
        <f>IFERROR(VLOOKUP(A:A,'SALDO ATUAL'!$A$3:$E$238,3,0),"")</f>
        <v/>
      </c>
      <c r="D34" s="59" t="str">
        <f>IFERROR(VLOOKUP(A:A,'SALDO ATUAL'!$A$3:$E$238,4,0),"")</f>
        <v/>
      </c>
      <c r="E34" s="59" t="str">
        <f>IFERROR(VLOOKUP(A:A,'SALDO ATUAL'!$A$3:$E$238,5,0),"")</f>
        <v/>
      </c>
      <c r="F34" s="84" t="str">
        <f>IFERROR(VLOOKUP(A:A,'SALDO ATUAL'!$A$2:$F$238,6,0),"")</f>
        <v/>
      </c>
      <c r="G34" s="85"/>
      <c r="H34" s="59"/>
      <c r="I34" s="86"/>
      <c r="J34" s="87">
        <f ca="1">VALIDADES!$I34-$L$2</f>
        <v>-46126</v>
      </c>
      <c r="K34" s="88"/>
      <c r="L34" s="88"/>
      <c r="M34" s="88"/>
      <c r="N34" s="88"/>
      <c r="O34" s="88"/>
      <c r="P34" s="88"/>
      <c r="Q34" s="88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</row>
    <row r="35" spans="1:32" ht="24" customHeight="1">
      <c r="A35" s="19"/>
      <c r="B35" s="58" t="str">
        <f>IFERROR(VLOOKUP(A:A,'SALDO ATUAL'!$A$3:$E$238,2,0),"")</f>
        <v/>
      </c>
      <c r="C35" s="59" t="str">
        <f>IFERROR(VLOOKUP(A:A,'SALDO ATUAL'!$A$3:$E$238,3,0),"")</f>
        <v/>
      </c>
      <c r="D35" s="59" t="str">
        <f>IFERROR(VLOOKUP(A:A,'SALDO ATUAL'!$A$3:$E$238,4,0),"")</f>
        <v/>
      </c>
      <c r="E35" s="59" t="str">
        <f>IFERROR(VLOOKUP(A:A,'SALDO ATUAL'!$A$3:$E$238,5,0),"")</f>
        <v/>
      </c>
      <c r="F35" s="84" t="str">
        <f>IFERROR(VLOOKUP(A:A,'SALDO ATUAL'!$A$2:$F$238,6,0),"")</f>
        <v/>
      </c>
      <c r="G35" s="85"/>
      <c r="H35" s="59"/>
      <c r="I35" s="86"/>
      <c r="J35" s="87">
        <f ca="1">VALIDADES!$I35-$L$2</f>
        <v>-46126</v>
      </c>
      <c r="K35" s="88"/>
      <c r="L35" s="88"/>
      <c r="M35" s="88"/>
      <c r="N35" s="88"/>
      <c r="O35" s="88"/>
      <c r="P35" s="88"/>
      <c r="Q35" s="88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</row>
    <row r="36" spans="1:32" ht="24" customHeight="1">
      <c r="A36" s="19"/>
      <c r="B36" s="58" t="str">
        <f>IFERROR(VLOOKUP(A:A,'SALDO ATUAL'!$A$3:$E$238,2,0),"")</f>
        <v/>
      </c>
      <c r="C36" s="59" t="str">
        <f>IFERROR(VLOOKUP(A:A,'SALDO ATUAL'!$A$3:$E$238,3,0),"")</f>
        <v/>
      </c>
      <c r="D36" s="59" t="str">
        <f>IFERROR(VLOOKUP(A:A,'SALDO ATUAL'!$A$3:$E$238,4,0),"")</f>
        <v/>
      </c>
      <c r="E36" s="59" t="str">
        <f>IFERROR(VLOOKUP(A:A,'SALDO ATUAL'!$A$3:$E$238,5,0),"")</f>
        <v/>
      </c>
      <c r="F36" s="84" t="str">
        <f>IFERROR(VLOOKUP(A:A,'SALDO ATUAL'!$A$2:$F$238,6,0),"")</f>
        <v/>
      </c>
      <c r="G36" s="85"/>
      <c r="H36" s="59"/>
      <c r="I36" s="86"/>
      <c r="J36" s="87">
        <f ca="1">VALIDADES!$I36-$L$2</f>
        <v>-46126</v>
      </c>
      <c r="K36" s="88"/>
      <c r="L36" s="88"/>
      <c r="M36" s="88"/>
      <c r="N36" s="88"/>
      <c r="O36" s="88"/>
      <c r="P36" s="88"/>
      <c r="Q36" s="88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</row>
    <row r="37" spans="1:32" ht="24" customHeight="1">
      <c r="A37" s="19"/>
      <c r="B37" s="58" t="str">
        <f>IFERROR(VLOOKUP(A:A,'SALDO ATUAL'!$A$3:$E$238,2,0),"")</f>
        <v/>
      </c>
      <c r="C37" s="59" t="str">
        <f>IFERROR(VLOOKUP(A:A,'SALDO ATUAL'!$A$3:$E$238,3,0),"")</f>
        <v/>
      </c>
      <c r="D37" s="59" t="str">
        <f>IFERROR(VLOOKUP(A:A,'SALDO ATUAL'!$A$3:$E$238,4,0),"")</f>
        <v/>
      </c>
      <c r="E37" s="59" t="str">
        <f>IFERROR(VLOOKUP(A:A,'SALDO ATUAL'!$A$3:$E$238,5,0),"")</f>
        <v/>
      </c>
      <c r="F37" s="84" t="str">
        <f>IFERROR(VLOOKUP(A:A,'SALDO ATUAL'!$A$2:$F$238,6,0),"")</f>
        <v/>
      </c>
      <c r="G37" s="85"/>
      <c r="H37" s="59"/>
      <c r="I37" s="86"/>
      <c r="J37" s="87">
        <f ca="1">VALIDADES!$I37-$L$2</f>
        <v>-46126</v>
      </c>
      <c r="K37" s="88"/>
      <c r="L37" s="88"/>
      <c r="M37" s="88"/>
      <c r="N37" s="88"/>
      <c r="O37" s="88"/>
      <c r="P37" s="88"/>
      <c r="Q37" s="88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</row>
    <row r="38" spans="1:32" ht="24" customHeight="1">
      <c r="A38" s="19"/>
      <c r="B38" s="58" t="str">
        <f>IFERROR(VLOOKUP(A:A,'SALDO ATUAL'!$A$3:$E$238,2,0),"")</f>
        <v/>
      </c>
      <c r="C38" s="59" t="str">
        <f>IFERROR(VLOOKUP(A:A,'SALDO ATUAL'!$A$3:$E$238,3,0),"")</f>
        <v/>
      </c>
      <c r="D38" s="59" t="str">
        <f>IFERROR(VLOOKUP(A:A,'SALDO ATUAL'!$A$3:$E$238,4,0),"")</f>
        <v/>
      </c>
      <c r="E38" s="59" t="str">
        <f>IFERROR(VLOOKUP(A:A,'SALDO ATUAL'!$A$3:$E$238,5,0),"")</f>
        <v/>
      </c>
      <c r="F38" s="84" t="str">
        <f>IFERROR(VLOOKUP(A:A,'SALDO ATUAL'!$A$2:$F$238,6,0),"")</f>
        <v/>
      </c>
      <c r="G38" s="85"/>
      <c r="H38" s="59"/>
      <c r="I38" s="86"/>
      <c r="J38" s="87">
        <f ca="1">VALIDADES!$I38-$L$2</f>
        <v>-46126</v>
      </c>
      <c r="K38" s="88"/>
      <c r="L38" s="88"/>
      <c r="M38" s="88"/>
      <c r="N38" s="88"/>
      <c r="O38" s="88"/>
      <c r="P38" s="88"/>
      <c r="Q38" s="88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</row>
    <row r="39" spans="1:32" ht="24" hidden="1" customHeight="1">
      <c r="A39" s="96">
        <v>243</v>
      </c>
      <c r="B39" s="97">
        <f>IFERROR(VLOOKUP(A:A,'SALDO ATUAL'!$A$3:$E$238,2,0),"")</f>
        <v>0</v>
      </c>
      <c r="C39" s="98" t="str">
        <f>IFERROR(VLOOKUP(A:A,'SALDO ATUAL'!$A$3:$E$238,3,0),"")</f>
        <v>MINOXIDIL HEALTH TECH</v>
      </c>
      <c r="D39" s="98" t="str">
        <f>IFERROR(VLOOKUP(A:A,'SALDO ATUAL'!$A$3:$E$238,4,0),"")</f>
        <v>ATIVOS</v>
      </c>
      <c r="E39" s="98">
        <f>IFERROR(VLOOKUP(A:A,'SALDO ATUAL'!$A$3:$E$238,5,0),"")</f>
        <v>0</v>
      </c>
      <c r="F39" s="99">
        <f>IFERROR(VLOOKUP(A:A,'SALDO ATUAL'!$A$2:$F$238,6,0),"")</f>
        <v>0</v>
      </c>
      <c r="G39" s="100"/>
      <c r="H39" s="98"/>
      <c r="I39" s="101"/>
      <c r="J39" s="102">
        <f ca="1">VALIDADES!$I39-$L$2</f>
        <v>-46126</v>
      </c>
      <c r="K39" s="70"/>
      <c r="L39" s="70"/>
      <c r="M39" s="70"/>
      <c r="N39" s="70"/>
      <c r="O39" s="70"/>
      <c r="P39" s="70"/>
      <c r="Q39" s="70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</row>
    <row r="40" spans="1:32" ht="24" hidden="1" customHeight="1">
      <c r="A40" s="96">
        <v>244</v>
      </c>
      <c r="B40" s="97">
        <f>IFERROR(VLOOKUP(A:A,'SALDO ATUAL'!$A$3:$E$238,2,0),"")</f>
        <v>0</v>
      </c>
      <c r="C40" s="98" t="str">
        <f>IFERROR(VLOOKUP(A:A,'SALDO ATUAL'!$A$3:$E$238,3,0),"")</f>
        <v>MINOXIDIL VICTA</v>
      </c>
      <c r="D40" s="98" t="str">
        <f>IFERROR(VLOOKUP(A:A,'SALDO ATUAL'!$A$3:$E$238,4,0),"")</f>
        <v>ATIVOS</v>
      </c>
      <c r="E40" s="98">
        <f>IFERROR(VLOOKUP(A:A,'SALDO ATUAL'!$A$3:$E$238,5,0),"")</f>
        <v>0</v>
      </c>
      <c r="F40" s="99">
        <f>IFERROR(VLOOKUP(A:A,'SALDO ATUAL'!$A$2:$F$238,6,0),"")</f>
        <v>0</v>
      </c>
      <c r="G40" s="100"/>
      <c r="H40" s="98"/>
      <c r="I40" s="101"/>
      <c r="J40" s="102">
        <f ca="1">VALIDADES!$I40-$L$2</f>
        <v>-46126</v>
      </c>
      <c r="K40" s="70"/>
      <c r="L40" s="70"/>
      <c r="M40" s="70"/>
      <c r="N40" s="70"/>
      <c r="O40" s="70"/>
      <c r="P40" s="70"/>
      <c r="Q40" s="70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</row>
    <row r="41" spans="1:32" ht="24" hidden="1" customHeight="1">
      <c r="A41" s="96">
        <v>245</v>
      </c>
      <c r="B41" s="97">
        <f>IFERROR(VLOOKUP(A:A,'SALDO ATUAL'!$A$3:$E$238,2,0),"")</f>
        <v>0</v>
      </c>
      <c r="C41" s="98" t="str">
        <f>IFERROR(VLOOKUP(A:A,'SALDO ATUAL'!$A$3:$E$238,3,0),"")</f>
        <v>NCPR/NCTF TOSKANI</v>
      </c>
      <c r="D41" s="98" t="str">
        <f>IFERROR(VLOOKUP(A:A,'SALDO ATUAL'!$A$3:$E$238,4,0),"")</f>
        <v>ATIVOS</v>
      </c>
      <c r="E41" s="98">
        <f>IFERROR(VLOOKUP(A:A,'SALDO ATUAL'!$A$3:$E$238,5,0),"")</f>
        <v>0</v>
      </c>
      <c r="F41" s="99">
        <f>IFERROR(VLOOKUP(A:A,'SALDO ATUAL'!$A$2:$F$238,6,0),"")</f>
        <v>0</v>
      </c>
      <c r="G41" s="100"/>
      <c r="H41" s="98"/>
      <c r="I41" s="101"/>
      <c r="J41" s="102">
        <f ca="1">VALIDADES!$I41-$L$2</f>
        <v>-46126</v>
      </c>
      <c r="K41" s="70"/>
      <c r="L41" s="70"/>
      <c r="M41" s="70"/>
      <c r="N41" s="70"/>
      <c r="O41" s="70"/>
      <c r="P41" s="70"/>
      <c r="Q41" s="70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</row>
    <row r="42" spans="1:32" ht="24" customHeight="1">
      <c r="A42" s="19"/>
      <c r="B42" s="58" t="str">
        <f>IFERROR(VLOOKUP(A:A,'SALDO ATUAL'!$A$3:$E$238,2,0),"")</f>
        <v/>
      </c>
      <c r="C42" s="59" t="str">
        <f>IFERROR(VLOOKUP(A:A,'SALDO ATUAL'!$A$3:$E$238,3,0),"")</f>
        <v/>
      </c>
      <c r="D42" s="59" t="str">
        <f>IFERROR(VLOOKUP(A:A,'SALDO ATUAL'!$A$3:$E$238,4,0),"")</f>
        <v/>
      </c>
      <c r="E42" s="59" t="str">
        <f>IFERROR(VLOOKUP(A:A,'SALDO ATUAL'!$A$3:$E$238,5,0),"")</f>
        <v/>
      </c>
      <c r="F42" s="84" t="str">
        <f>IFERROR(VLOOKUP(A:A,'SALDO ATUAL'!$A$2:$F$238,6,0),"")</f>
        <v/>
      </c>
      <c r="G42" s="85"/>
      <c r="H42" s="59"/>
      <c r="I42" s="86"/>
      <c r="J42" s="87">
        <f ca="1">VALIDADES!$I42-$L$2</f>
        <v>-46126</v>
      </c>
      <c r="K42" s="88"/>
      <c r="L42" s="88"/>
      <c r="M42" s="88"/>
      <c r="N42" s="88"/>
      <c r="O42" s="88"/>
      <c r="P42" s="88"/>
      <c r="Q42" s="88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</row>
    <row r="43" spans="1:32" ht="24" customHeight="1">
      <c r="A43" s="19"/>
      <c r="B43" s="58" t="str">
        <f>IFERROR(VLOOKUP(A:A,'SALDO ATUAL'!$A$3:$E$238,2,0),"")</f>
        <v/>
      </c>
      <c r="C43" s="59" t="str">
        <f>IFERROR(VLOOKUP(A:A,'SALDO ATUAL'!$A$3:$E$238,3,0),"")</f>
        <v/>
      </c>
      <c r="D43" s="59" t="str">
        <f>IFERROR(VLOOKUP(A:A,'SALDO ATUAL'!$A$3:$E$238,4,0),"")</f>
        <v/>
      </c>
      <c r="E43" s="59" t="str">
        <f>IFERROR(VLOOKUP(A:A,'SALDO ATUAL'!$A$3:$E$238,5,0),"")</f>
        <v/>
      </c>
      <c r="F43" s="84" t="str">
        <f>IFERROR(VLOOKUP(A:A,'SALDO ATUAL'!$A$2:$F$238,6,0),"")</f>
        <v/>
      </c>
      <c r="G43" s="85"/>
      <c r="H43" s="59"/>
      <c r="I43" s="86"/>
      <c r="J43" s="87">
        <f ca="1">VALIDADES!$I43-$L$2</f>
        <v>-46126</v>
      </c>
      <c r="K43" s="88"/>
      <c r="L43" s="88"/>
      <c r="M43" s="88"/>
      <c r="N43" s="88"/>
      <c r="O43" s="88"/>
      <c r="P43" s="88"/>
      <c r="Q43" s="88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</row>
    <row r="44" spans="1:32" ht="24" customHeight="1">
      <c r="A44" s="19"/>
      <c r="B44" s="58" t="str">
        <f>IFERROR(VLOOKUP(A:A,'SALDO ATUAL'!$A$3:$E$238,2,0),"")</f>
        <v/>
      </c>
      <c r="C44" s="59" t="str">
        <f>IFERROR(VLOOKUP(A:A,'SALDO ATUAL'!$A$3:$E$238,3,0),"")</f>
        <v/>
      </c>
      <c r="D44" s="59" t="str">
        <f>IFERROR(VLOOKUP(A:A,'SALDO ATUAL'!$A$3:$E$238,4,0),"")</f>
        <v/>
      </c>
      <c r="E44" s="59" t="str">
        <f>IFERROR(VLOOKUP(A:A,'SALDO ATUAL'!$A$3:$E$238,5,0),"")</f>
        <v/>
      </c>
      <c r="F44" s="84" t="str">
        <f>IFERROR(VLOOKUP(A:A,'SALDO ATUAL'!$A$2:$F$238,6,0),"")</f>
        <v/>
      </c>
      <c r="G44" s="85"/>
      <c r="H44" s="59"/>
      <c r="I44" s="86"/>
      <c r="J44" s="87">
        <f ca="1">VALIDADES!$I44-$L$2</f>
        <v>-46126</v>
      </c>
      <c r="K44" s="88"/>
      <c r="L44" s="88"/>
      <c r="M44" s="88"/>
      <c r="N44" s="88"/>
      <c r="O44" s="88"/>
      <c r="P44" s="88"/>
      <c r="Q44" s="88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</row>
    <row r="45" spans="1:32" ht="24" customHeight="1">
      <c r="A45" s="19"/>
      <c r="B45" s="58" t="str">
        <f>IFERROR(VLOOKUP(A:A,'SALDO ATUAL'!$A$3:$E$238,2,0),"")</f>
        <v/>
      </c>
      <c r="C45" s="59" t="str">
        <f>IFERROR(VLOOKUP(A:A,'SALDO ATUAL'!$A$3:$E$238,3,0),"")</f>
        <v/>
      </c>
      <c r="D45" s="59" t="str">
        <f>IFERROR(VLOOKUP(A:A,'SALDO ATUAL'!$A$3:$E$238,4,0),"")</f>
        <v/>
      </c>
      <c r="E45" s="59" t="str">
        <f>IFERROR(VLOOKUP(A:A,'SALDO ATUAL'!$A$3:$E$238,5,0),"")</f>
        <v/>
      </c>
      <c r="F45" s="84" t="str">
        <f>IFERROR(VLOOKUP(A:A,'SALDO ATUAL'!$A$2:$F$238,6,0),"")</f>
        <v/>
      </c>
      <c r="G45" s="85"/>
      <c r="H45" s="59"/>
      <c r="I45" s="86"/>
      <c r="J45" s="87">
        <f ca="1">VALIDADES!$I45-$L$2</f>
        <v>-46126</v>
      </c>
      <c r="K45" s="88"/>
      <c r="L45" s="88"/>
      <c r="M45" s="88"/>
      <c r="N45" s="88"/>
      <c r="O45" s="88"/>
      <c r="P45" s="88"/>
      <c r="Q45" s="88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</row>
    <row r="46" spans="1:32" ht="24" customHeight="1">
      <c r="A46" s="19"/>
      <c r="B46" s="58" t="str">
        <f>IFERROR(VLOOKUP(A:A,'SALDO ATUAL'!$A$3:$E$238,2,0),"")</f>
        <v/>
      </c>
      <c r="C46" s="59" t="str">
        <f>IFERROR(VLOOKUP(A:A,'SALDO ATUAL'!$A$3:$E$238,3,0),"")</f>
        <v/>
      </c>
      <c r="D46" s="59" t="str">
        <f>IFERROR(VLOOKUP(A:A,'SALDO ATUAL'!$A$3:$E$238,4,0),"")</f>
        <v/>
      </c>
      <c r="E46" s="59" t="str">
        <f>IFERROR(VLOOKUP(A:A,'SALDO ATUAL'!$A$3:$E$238,5,0),"")</f>
        <v/>
      </c>
      <c r="F46" s="84" t="str">
        <f>IFERROR(VLOOKUP(A:A,'SALDO ATUAL'!$A$2:$F$238,6,0),"")</f>
        <v/>
      </c>
      <c r="G46" s="85"/>
      <c r="H46" s="59"/>
      <c r="I46" s="86"/>
      <c r="J46" s="87">
        <f ca="1">VALIDADES!$I46-$L$2</f>
        <v>-46126</v>
      </c>
      <c r="K46" s="88"/>
      <c r="L46" s="88"/>
      <c r="M46" s="88"/>
      <c r="N46" s="88"/>
      <c r="O46" s="88"/>
      <c r="P46" s="88"/>
      <c r="Q46" s="88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</row>
    <row r="47" spans="1:32" ht="24" customHeight="1">
      <c r="A47" s="19"/>
      <c r="B47" s="58" t="str">
        <f>IFERROR(VLOOKUP(A:A,'SALDO ATUAL'!$A$3:$E$238,2,0),"")</f>
        <v/>
      </c>
      <c r="C47" s="59" t="str">
        <f>IFERROR(VLOOKUP(A:A,'SALDO ATUAL'!$A$3:$E$238,3,0),"")</f>
        <v/>
      </c>
      <c r="D47" s="59" t="str">
        <f>IFERROR(VLOOKUP(A:A,'SALDO ATUAL'!$A$3:$E$238,4,0),"")</f>
        <v/>
      </c>
      <c r="E47" s="59" t="str">
        <f>IFERROR(VLOOKUP(A:A,'SALDO ATUAL'!$A$3:$E$238,5,0),"")</f>
        <v/>
      </c>
      <c r="F47" s="84" t="str">
        <f>IFERROR(VLOOKUP(A:A,'SALDO ATUAL'!$A$2:$F$238,6,0),"")</f>
        <v/>
      </c>
      <c r="G47" s="85"/>
      <c r="H47" s="59"/>
      <c r="I47" s="86"/>
      <c r="J47" s="87">
        <f ca="1">VALIDADES!$I47-$L$2</f>
        <v>-46126</v>
      </c>
      <c r="K47" s="88"/>
      <c r="L47" s="88"/>
      <c r="M47" s="88"/>
      <c r="N47" s="88"/>
      <c r="O47" s="88"/>
      <c r="P47" s="88"/>
      <c r="Q47" s="88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</row>
    <row r="48" spans="1:32" ht="24" customHeight="1">
      <c r="A48" s="19"/>
      <c r="B48" s="58" t="str">
        <f>IFERROR(VLOOKUP(A:A,'SALDO ATUAL'!$A$3:$E$238,2,0),"")</f>
        <v/>
      </c>
      <c r="C48" s="59" t="str">
        <f>IFERROR(VLOOKUP(A:A,'SALDO ATUAL'!$A$3:$E$238,3,0),"")</f>
        <v/>
      </c>
      <c r="D48" s="59" t="str">
        <f>IFERROR(VLOOKUP(A:A,'SALDO ATUAL'!$A$3:$E$238,4,0),"")</f>
        <v/>
      </c>
      <c r="E48" s="59" t="str">
        <f>IFERROR(VLOOKUP(A:A,'SALDO ATUAL'!$A$3:$E$238,5,0),"")</f>
        <v/>
      </c>
      <c r="F48" s="84" t="str">
        <f>IFERROR(VLOOKUP(A:A,'SALDO ATUAL'!$A$2:$F$238,6,0),"")</f>
        <v/>
      </c>
      <c r="G48" s="85"/>
      <c r="H48" s="59"/>
      <c r="I48" s="86"/>
      <c r="J48" s="87">
        <f ca="1">VALIDADES!$I48-$L$2</f>
        <v>-46126</v>
      </c>
      <c r="K48" s="88"/>
      <c r="L48" s="88"/>
      <c r="M48" s="88"/>
      <c r="N48" s="88"/>
      <c r="O48" s="88"/>
      <c r="P48" s="88"/>
      <c r="Q48" s="88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</row>
    <row r="49" spans="1:32" ht="24" customHeight="1">
      <c r="A49" s="19"/>
      <c r="B49" s="58" t="str">
        <f>IFERROR(VLOOKUP(A:A,'SALDO ATUAL'!$A$3:$E$238,2,0),"")</f>
        <v/>
      </c>
      <c r="C49" s="59" t="str">
        <f>IFERROR(VLOOKUP(A:A,'SALDO ATUAL'!$A$3:$E$238,3,0),"")</f>
        <v/>
      </c>
      <c r="D49" s="59" t="str">
        <f>IFERROR(VLOOKUP(A:A,'SALDO ATUAL'!$A$3:$E$238,4,0),"")</f>
        <v/>
      </c>
      <c r="E49" s="59" t="str">
        <f>IFERROR(VLOOKUP(A:A,'SALDO ATUAL'!$A$3:$E$238,5,0),"")</f>
        <v/>
      </c>
      <c r="F49" s="84" t="str">
        <f>IFERROR(VLOOKUP(A:A,'SALDO ATUAL'!$A$2:$F$238,6,0),"")</f>
        <v/>
      </c>
      <c r="G49" s="85"/>
      <c r="H49" s="59"/>
      <c r="I49" s="86"/>
      <c r="J49" s="87">
        <f ca="1">VALIDADES!$I49-$L$2</f>
        <v>-46126</v>
      </c>
      <c r="K49" s="88"/>
      <c r="L49" s="88"/>
      <c r="M49" s="88"/>
      <c r="N49" s="88"/>
      <c r="O49" s="88"/>
      <c r="P49" s="88"/>
      <c r="Q49" s="88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</row>
    <row r="50" spans="1:32" ht="24" hidden="1" customHeight="1">
      <c r="A50" s="96">
        <v>225</v>
      </c>
      <c r="B50" s="97">
        <f>IFERROR(VLOOKUP(A:A,'SALDO ATUAL'!$A$3:$E$238,2,0),"")</f>
        <v>0</v>
      </c>
      <c r="C50" s="98" t="str">
        <f>IFERROR(VLOOKUP(A:A,'SALDO ATUAL'!$A$3:$E$238,3,0),"")</f>
        <v>MÁSCARA C/ ELÁSTICO BRANCA SPK</v>
      </c>
      <c r="D50" s="98" t="str">
        <f>IFERROR(VLOOKUP(A:A,'SALDO ATUAL'!$A$3:$E$238,4,0),"")</f>
        <v>MATERIAIS DESCARTÁVEIS E APOIO</v>
      </c>
      <c r="E50" s="98">
        <f>IFERROR(VLOOKUP(A:A,'SALDO ATUAL'!$A$3:$E$238,5,0),"")</f>
        <v>0</v>
      </c>
      <c r="F50" s="99">
        <f>IFERROR(VLOOKUP(A:A,'SALDO ATUAL'!$A$2:$F$238,6,0),"")</f>
        <v>0</v>
      </c>
      <c r="G50" s="100"/>
      <c r="H50" s="98"/>
      <c r="I50" s="101">
        <v>45565</v>
      </c>
      <c r="J50" s="102">
        <f ca="1">VALIDADES!$I50-$L$2</f>
        <v>-561</v>
      </c>
      <c r="K50" s="70"/>
      <c r="L50" s="70"/>
      <c r="M50" s="70"/>
      <c r="N50" s="70"/>
      <c r="O50" s="70"/>
      <c r="P50" s="70"/>
      <c r="Q50" s="70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</row>
    <row r="51" spans="1:32" ht="24" customHeight="1">
      <c r="A51" s="19"/>
      <c r="B51" s="58" t="str">
        <f>IFERROR(VLOOKUP(A:A,'SALDO ATUAL'!$A$3:$E$238,2,0),"")</f>
        <v/>
      </c>
      <c r="C51" s="59" t="str">
        <f>IFERROR(VLOOKUP(A:A,'SALDO ATUAL'!$A$3:$E$238,3,0),"")</f>
        <v/>
      </c>
      <c r="D51" s="59" t="str">
        <f>IFERROR(VLOOKUP(A:A,'SALDO ATUAL'!$A$3:$E$238,4,0),"")</f>
        <v/>
      </c>
      <c r="E51" s="59" t="str">
        <f>IFERROR(VLOOKUP(A:A,'SALDO ATUAL'!$A$3:$E$238,5,0),"")</f>
        <v/>
      </c>
      <c r="F51" s="84" t="str">
        <f>IFERROR(VLOOKUP(A:A,'SALDO ATUAL'!$A$2:$F$238,6,0),"")</f>
        <v/>
      </c>
      <c r="G51" s="85"/>
      <c r="H51" s="59"/>
      <c r="I51" s="86"/>
      <c r="J51" s="87">
        <f ca="1">VALIDADES!$I51-$L$2</f>
        <v>-46126</v>
      </c>
      <c r="K51" s="88"/>
      <c r="L51" s="88"/>
      <c r="M51" s="88"/>
      <c r="N51" s="88"/>
      <c r="O51" s="88"/>
      <c r="P51" s="88"/>
      <c r="Q51" s="88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</row>
    <row r="52" spans="1:32" ht="24" customHeight="1">
      <c r="A52" s="19"/>
      <c r="B52" s="58" t="str">
        <f>IFERROR(VLOOKUP(A:A,'SALDO ATUAL'!$A$3:$E$238,2,0),"")</f>
        <v/>
      </c>
      <c r="C52" s="59" t="str">
        <f>IFERROR(VLOOKUP(A:A,'SALDO ATUAL'!$A$3:$E$238,3,0),"")</f>
        <v/>
      </c>
      <c r="D52" s="59" t="str">
        <f>IFERROR(VLOOKUP(A:A,'SALDO ATUAL'!$A$3:$E$238,4,0),"")</f>
        <v/>
      </c>
      <c r="E52" s="59" t="str">
        <f>IFERROR(VLOOKUP(A:A,'SALDO ATUAL'!$A$3:$E$238,5,0),"")</f>
        <v/>
      </c>
      <c r="F52" s="84" t="str">
        <f>IFERROR(VLOOKUP(A:A,'SALDO ATUAL'!$A$2:$F$238,6,0),"")</f>
        <v/>
      </c>
      <c r="G52" s="85"/>
      <c r="H52" s="103"/>
      <c r="I52" s="86"/>
      <c r="J52" s="87">
        <f ca="1">VALIDADES!$I52-$L$2</f>
        <v>-46126</v>
      </c>
      <c r="K52" s="88"/>
      <c r="L52" s="88"/>
      <c r="M52" s="88"/>
      <c r="N52" s="88"/>
      <c r="O52" s="88"/>
      <c r="P52" s="88"/>
      <c r="Q52" s="88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</row>
    <row r="53" spans="1:32" ht="24" customHeight="1">
      <c r="A53" s="19"/>
      <c r="B53" s="58" t="str">
        <f>IFERROR(VLOOKUP(A:A,'SALDO ATUAL'!$A$3:$E$238,2,0),"")</f>
        <v/>
      </c>
      <c r="C53" s="59" t="str">
        <f>IFERROR(VLOOKUP(A:A,'SALDO ATUAL'!$A$3:$E$238,3,0),"")</f>
        <v/>
      </c>
      <c r="D53" s="59" t="str">
        <f>IFERROR(VLOOKUP(A:A,'SALDO ATUAL'!$A$3:$E$238,4,0),"")</f>
        <v/>
      </c>
      <c r="E53" s="59" t="str">
        <f>IFERROR(VLOOKUP(A:A,'SALDO ATUAL'!$A$3:$E$238,5,0),"")</f>
        <v/>
      </c>
      <c r="F53" s="84" t="str">
        <f>IFERROR(VLOOKUP(A:A,'SALDO ATUAL'!$A$2:$F$238,6,0),"")</f>
        <v/>
      </c>
      <c r="G53" s="85"/>
      <c r="H53" s="59"/>
      <c r="I53" s="86"/>
      <c r="J53" s="87">
        <f ca="1">VALIDADES!$I53-$L$2</f>
        <v>-46126</v>
      </c>
      <c r="K53" s="88"/>
      <c r="L53" s="88"/>
      <c r="M53" s="88"/>
      <c r="N53" s="88"/>
      <c r="O53" s="88"/>
      <c r="P53" s="88"/>
      <c r="Q53" s="88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</row>
    <row r="54" spans="1:32" ht="24" hidden="1" customHeight="1">
      <c r="A54" s="96">
        <v>356</v>
      </c>
      <c r="B54" s="97" t="str">
        <f>IFERROR(VLOOKUP(A:A,'SALDO ATUAL'!$A$3:$E$238,2,0),"")</f>
        <v/>
      </c>
      <c r="C54" s="98" t="str">
        <f>IFERROR(VLOOKUP(A:A,'SALDO ATUAL'!$A$3:$E$238,3,0),"")</f>
        <v/>
      </c>
      <c r="D54" s="98" t="str">
        <f>IFERROR(VLOOKUP(A:A,'SALDO ATUAL'!$A$3:$E$238,4,0),"")</f>
        <v/>
      </c>
      <c r="E54" s="98" t="str">
        <f>IFERROR(VLOOKUP(A:A,'SALDO ATUAL'!$A$3:$E$238,5,0),"")</f>
        <v/>
      </c>
      <c r="F54" s="99" t="str">
        <f>IFERROR(VLOOKUP(A:A,'SALDO ATUAL'!$A$2:$F$238,6,0),"")</f>
        <v/>
      </c>
      <c r="G54" s="100">
        <v>1155</v>
      </c>
      <c r="H54" s="98">
        <v>40</v>
      </c>
      <c r="I54" s="101">
        <v>45838</v>
      </c>
      <c r="J54" s="102">
        <f ca="1">VALIDADES!$I54-$L$2</f>
        <v>-288</v>
      </c>
      <c r="K54" s="70"/>
      <c r="L54" s="70"/>
      <c r="M54" s="70"/>
      <c r="N54" s="70"/>
      <c r="O54" s="70"/>
      <c r="P54" s="70"/>
      <c r="Q54" s="70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</row>
    <row r="55" spans="1:32" ht="24" customHeight="1">
      <c r="A55" s="19"/>
      <c r="B55" s="58" t="str">
        <f>IFERROR(VLOOKUP(A:A,'SALDO ATUAL'!$A$3:$E$238,2,0),"")</f>
        <v/>
      </c>
      <c r="C55" s="59" t="str">
        <f>IFERROR(VLOOKUP(A:A,'SALDO ATUAL'!$A$3:$E$238,3,0),"")</f>
        <v/>
      </c>
      <c r="D55" s="59" t="str">
        <f>IFERROR(VLOOKUP(A:A,'SALDO ATUAL'!$A$3:$E$238,4,0),"")</f>
        <v/>
      </c>
      <c r="E55" s="59" t="str">
        <f>IFERROR(VLOOKUP(A:A,'SALDO ATUAL'!$A$3:$E$238,5,0),"")</f>
        <v/>
      </c>
      <c r="F55" s="84" t="str">
        <f>IFERROR(VLOOKUP(A:A,'SALDO ATUAL'!$A$2:$F$238,6,0),"")</f>
        <v/>
      </c>
      <c r="G55" s="85"/>
      <c r="H55" s="59"/>
      <c r="I55" s="86"/>
      <c r="J55" s="87">
        <f ca="1">VALIDADES!$I55-$L$2</f>
        <v>-46126</v>
      </c>
      <c r="K55" s="88"/>
      <c r="L55" s="88"/>
      <c r="M55" s="88"/>
      <c r="N55" s="88"/>
      <c r="O55" s="88"/>
      <c r="P55" s="88"/>
      <c r="Q55" s="88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</row>
    <row r="56" spans="1:32" ht="24" customHeight="1">
      <c r="A56" s="19"/>
      <c r="B56" s="58" t="str">
        <f>IFERROR(VLOOKUP(A:A,'SALDO ATUAL'!$A$3:$E$238,2,0),"")</f>
        <v/>
      </c>
      <c r="C56" s="59" t="str">
        <f>IFERROR(VLOOKUP(A:A,'SALDO ATUAL'!$A$3:$E$238,3,0),"")</f>
        <v/>
      </c>
      <c r="D56" s="59" t="str">
        <f>IFERROR(VLOOKUP(A:A,'SALDO ATUAL'!$A$3:$E$238,4,0),"")</f>
        <v/>
      </c>
      <c r="E56" s="59" t="str">
        <f>IFERROR(VLOOKUP(A:A,'SALDO ATUAL'!$A$3:$E$238,5,0),"")</f>
        <v/>
      </c>
      <c r="F56" s="84" t="str">
        <f>IFERROR(VLOOKUP(A:A,'SALDO ATUAL'!$A$2:$F$238,6,0),"")</f>
        <v/>
      </c>
      <c r="G56" s="85"/>
      <c r="H56" s="59"/>
      <c r="I56" s="86"/>
      <c r="J56" s="87">
        <f ca="1">VALIDADES!$I56-$L$2</f>
        <v>-46126</v>
      </c>
      <c r="K56" s="88"/>
      <c r="L56" s="88"/>
      <c r="M56" s="88"/>
      <c r="N56" s="88"/>
      <c r="O56" s="88"/>
      <c r="P56" s="88"/>
      <c r="Q56" s="88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</row>
    <row r="57" spans="1:32" ht="24" customHeight="1">
      <c r="A57" s="19"/>
      <c r="B57" s="58" t="str">
        <f>IFERROR(VLOOKUP(A:A,'SALDO ATUAL'!$A$3:$E$238,2,0),"")</f>
        <v/>
      </c>
      <c r="C57" s="59" t="str">
        <f>IFERROR(VLOOKUP(A:A,'SALDO ATUAL'!$A$3:$E$238,3,0),"")</f>
        <v/>
      </c>
      <c r="D57" s="59" t="str">
        <f>IFERROR(VLOOKUP(A:A,'SALDO ATUAL'!$A$3:$E$238,4,0),"")</f>
        <v/>
      </c>
      <c r="E57" s="59" t="str">
        <f>IFERROR(VLOOKUP(A:A,'SALDO ATUAL'!$A$3:$E$238,5,0),"")</f>
        <v/>
      </c>
      <c r="F57" s="84" t="str">
        <f>IFERROR(VLOOKUP(A:A,'SALDO ATUAL'!$A$2:$F$238,6,0),"")</f>
        <v/>
      </c>
      <c r="G57" s="85"/>
      <c r="H57" s="59"/>
      <c r="I57" s="86"/>
      <c r="J57" s="87">
        <f ca="1">VALIDADES!$I57-$L$2</f>
        <v>-46126</v>
      </c>
      <c r="K57" s="88"/>
      <c r="L57" s="88"/>
      <c r="M57" s="88"/>
      <c r="N57" s="88"/>
      <c r="O57" s="88"/>
      <c r="P57" s="88"/>
      <c r="Q57" s="88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</row>
    <row r="58" spans="1:32" ht="24" customHeight="1">
      <c r="A58" s="19"/>
      <c r="B58" s="58" t="str">
        <f>IFERROR(VLOOKUP(A:A,'SALDO ATUAL'!$A$3:$E$238,2,0),"")</f>
        <v/>
      </c>
      <c r="C58" s="59" t="str">
        <f>IFERROR(VLOOKUP(A:A,'SALDO ATUAL'!$A$3:$E$238,3,0),"")</f>
        <v/>
      </c>
      <c r="D58" s="59" t="str">
        <f>IFERROR(VLOOKUP(A:A,'SALDO ATUAL'!$A$3:$E$238,4,0),"")</f>
        <v/>
      </c>
      <c r="E58" s="59" t="str">
        <f>IFERROR(VLOOKUP(A:A,'SALDO ATUAL'!$A$3:$E$238,5,0),"")</f>
        <v/>
      </c>
      <c r="F58" s="84" t="str">
        <f>IFERROR(VLOOKUP(A:A,'SALDO ATUAL'!$A$2:$F$238,6,0),"")</f>
        <v/>
      </c>
      <c r="G58" s="85"/>
      <c r="H58" s="59"/>
      <c r="I58" s="86"/>
      <c r="J58" s="87">
        <f ca="1">VALIDADES!$I58-$L$2</f>
        <v>-46126</v>
      </c>
      <c r="K58" s="88"/>
      <c r="L58" s="88"/>
      <c r="M58" s="88"/>
      <c r="N58" s="88"/>
      <c r="O58" s="88"/>
      <c r="P58" s="88"/>
      <c r="Q58" s="88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</row>
    <row r="59" spans="1:32" ht="24" hidden="1" customHeight="1">
      <c r="A59" s="96">
        <v>353</v>
      </c>
      <c r="B59" s="97" t="str">
        <f>IFERROR(VLOOKUP(A:A,'SALDO ATUAL'!$A$3:$E$238,2,0),"")</f>
        <v/>
      </c>
      <c r="C59" s="98" t="str">
        <f>IFERROR(VLOOKUP(A:A,'SALDO ATUAL'!$A$3:$E$238,3,0),"")</f>
        <v/>
      </c>
      <c r="D59" s="98" t="str">
        <f>IFERROR(VLOOKUP(A:A,'SALDO ATUAL'!$A$3:$E$238,4,0),"")</f>
        <v/>
      </c>
      <c r="E59" s="98" t="str">
        <f>IFERROR(VLOOKUP(A:A,'SALDO ATUAL'!$A$3:$E$238,5,0),"")</f>
        <v/>
      </c>
      <c r="F59" s="99" t="str">
        <f>IFERROR(VLOOKUP(A:A,'SALDO ATUAL'!$A$2:$F$238,6,0),"")</f>
        <v/>
      </c>
      <c r="G59" s="100">
        <v>1151</v>
      </c>
      <c r="H59" s="98">
        <v>15</v>
      </c>
      <c r="I59" s="101">
        <v>45838</v>
      </c>
      <c r="J59" s="102">
        <f ca="1">VALIDADES!$I59-$L$2</f>
        <v>-288</v>
      </c>
      <c r="K59" s="70"/>
      <c r="L59" s="70"/>
      <c r="M59" s="70"/>
      <c r="N59" s="70"/>
      <c r="O59" s="70"/>
      <c r="P59" s="70"/>
      <c r="Q59" s="70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</row>
    <row r="60" spans="1:32" ht="24" customHeight="1">
      <c r="A60" s="19"/>
      <c r="B60" s="58" t="str">
        <f>IFERROR(VLOOKUP(A:A,'SALDO ATUAL'!$A$3:$E$238,2,0),"")</f>
        <v/>
      </c>
      <c r="C60" s="59" t="str">
        <f>IFERROR(VLOOKUP(A:A,'SALDO ATUAL'!$A$3:$E$238,3,0),"")</f>
        <v/>
      </c>
      <c r="D60" s="59" t="str">
        <f>IFERROR(VLOOKUP(A:A,'SALDO ATUAL'!$A$3:$E$238,4,0),"")</f>
        <v/>
      </c>
      <c r="E60" s="59" t="str">
        <f>IFERROR(VLOOKUP(A:A,'SALDO ATUAL'!$A$3:$E$238,5,0),"")</f>
        <v/>
      </c>
      <c r="F60" s="84" t="str">
        <f>IFERROR(VLOOKUP(A:A,'SALDO ATUAL'!$A$2:$F$238,6,0),"")</f>
        <v/>
      </c>
      <c r="G60" s="85"/>
      <c r="H60" s="59"/>
      <c r="I60" s="86"/>
      <c r="J60" s="87">
        <f ca="1">VALIDADES!$I60-$L$2</f>
        <v>-46126</v>
      </c>
      <c r="K60" s="88"/>
      <c r="L60" s="88"/>
      <c r="M60" s="88"/>
      <c r="N60" s="88"/>
      <c r="O60" s="88"/>
      <c r="P60" s="88"/>
      <c r="Q60" s="88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</row>
    <row r="61" spans="1:32" ht="24" customHeight="1">
      <c r="A61" s="19"/>
      <c r="B61" s="58" t="str">
        <f>IFERROR(VLOOKUP(A:A,'SALDO ATUAL'!$A$3:$E$238,2,0),"")</f>
        <v/>
      </c>
      <c r="C61" s="59" t="str">
        <f>IFERROR(VLOOKUP(A:A,'SALDO ATUAL'!$A$3:$E$238,3,0),"")</f>
        <v/>
      </c>
      <c r="D61" s="59" t="str">
        <f>IFERROR(VLOOKUP(A:A,'SALDO ATUAL'!$A$3:$E$238,4,0),"")</f>
        <v/>
      </c>
      <c r="E61" s="59" t="str">
        <f>IFERROR(VLOOKUP(A:A,'SALDO ATUAL'!$A$3:$E$238,5,0),"")</f>
        <v/>
      </c>
      <c r="F61" s="84" t="str">
        <f>IFERROR(VLOOKUP(A:A,'SALDO ATUAL'!$A$2:$F$238,6,0),"")</f>
        <v/>
      </c>
      <c r="G61" s="85"/>
      <c r="H61" s="59"/>
      <c r="I61" s="86"/>
      <c r="J61" s="87">
        <f ca="1">VALIDADES!$I61-$L$2</f>
        <v>-46126</v>
      </c>
      <c r="K61" s="88"/>
      <c r="L61" s="88"/>
      <c r="M61" s="88"/>
      <c r="N61" s="88"/>
      <c r="O61" s="88"/>
      <c r="P61" s="88"/>
      <c r="Q61" s="88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</row>
    <row r="62" spans="1:32" ht="24" customHeight="1">
      <c r="A62" s="19"/>
      <c r="B62" s="58" t="str">
        <f>IFERROR(VLOOKUP(A:A,'SALDO ATUAL'!$A$3:$E$238,2,0),"")</f>
        <v/>
      </c>
      <c r="C62" s="59" t="str">
        <f>IFERROR(VLOOKUP(A:A,'SALDO ATUAL'!$A$3:$E$238,3,0),"")</f>
        <v/>
      </c>
      <c r="D62" s="59" t="str">
        <f>IFERROR(VLOOKUP(A:A,'SALDO ATUAL'!$A$3:$E$238,4,0),"")</f>
        <v/>
      </c>
      <c r="E62" s="59" t="str">
        <f>IFERROR(VLOOKUP(A:A,'SALDO ATUAL'!$A$3:$E$238,5,0),"")</f>
        <v/>
      </c>
      <c r="F62" s="84" t="str">
        <f>IFERROR(VLOOKUP(A:A,'SALDO ATUAL'!$A$2:$F$238,6,0),"")</f>
        <v/>
      </c>
      <c r="G62" s="85"/>
      <c r="H62" s="59"/>
      <c r="I62" s="86"/>
      <c r="J62" s="87">
        <f ca="1">VALIDADES!$I62-$L$2</f>
        <v>-46126</v>
      </c>
      <c r="K62" s="88"/>
      <c r="L62" s="88"/>
      <c r="M62" s="88"/>
      <c r="N62" s="88"/>
      <c r="O62" s="88"/>
      <c r="P62" s="88"/>
      <c r="Q62" s="88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</row>
    <row r="63" spans="1:32" ht="24" customHeight="1">
      <c r="A63" s="19"/>
      <c r="B63" s="58" t="str">
        <f>IFERROR(VLOOKUP(A:A,'SALDO ATUAL'!$A$3:$E$238,2,0),"")</f>
        <v/>
      </c>
      <c r="C63" s="59" t="str">
        <f>IFERROR(VLOOKUP(A:A,'SALDO ATUAL'!$A$3:$E$238,3,0),"")</f>
        <v/>
      </c>
      <c r="D63" s="59" t="str">
        <f>IFERROR(VLOOKUP(A:A,'SALDO ATUAL'!$A$3:$E$238,4,0),"")</f>
        <v/>
      </c>
      <c r="E63" s="59" t="str">
        <f>IFERROR(VLOOKUP(A:A,'SALDO ATUAL'!$A$3:$E$238,5,0),"")</f>
        <v/>
      </c>
      <c r="F63" s="84" t="str">
        <f>IFERROR(VLOOKUP(A:A,'SALDO ATUAL'!$A$2:$F$238,6,0),"")</f>
        <v/>
      </c>
      <c r="G63" s="85"/>
      <c r="H63" s="59"/>
      <c r="I63" s="86"/>
      <c r="J63" s="87">
        <f ca="1">VALIDADES!$I63-$L$2</f>
        <v>-46126</v>
      </c>
      <c r="K63" s="88"/>
      <c r="L63" s="88"/>
      <c r="M63" s="88"/>
      <c r="N63" s="88"/>
      <c r="O63" s="88"/>
      <c r="P63" s="88"/>
      <c r="Q63" s="88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</row>
    <row r="64" spans="1:32" ht="24" customHeight="1">
      <c r="A64" s="19"/>
      <c r="B64" s="58" t="str">
        <f>IFERROR(VLOOKUP(A:A,'SALDO ATUAL'!$A$3:$E$238,2,0),"")</f>
        <v/>
      </c>
      <c r="C64" s="59" t="str">
        <f>IFERROR(VLOOKUP(A:A,'SALDO ATUAL'!$A$3:$E$238,3,0),"")</f>
        <v/>
      </c>
      <c r="D64" s="59" t="str">
        <f>IFERROR(VLOOKUP(A:A,'SALDO ATUAL'!$A$3:$E$238,4,0),"")</f>
        <v/>
      </c>
      <c r="E64" s="59" t="str">
        <f>IFERROR(VLOOKUP(A:A,'SALDO ATUAL'!$A$3:$E$238,5,0),"")</f>
        <v/>
      </c>
      <c r="F64" s="84" t="str">
        <f>IFERROR(VLOOKUP(A:A,'SALDO ATUAL'!$A$2:$F$238,6,0),"")</f>
        <v/>
      </c>
      <c r="G64" s="85"/>
      <c r="H64" s="59"/>
      <c r="I64" s="86"/>
      <c r="J64" s="87">
        <f ca="1">VALIDADES!$I64-$L$2</f>
        <v>-46126</v>
      </c>
      <c r="K64" s="88"/>
      <c r="L64" s="88"/>
      <c r="M64" s="88"/>
      <c r="N64" s="88"/>
      <c r="O64" s="88"/>
      <c r="P64" s="88"/>
      <c r="Q64" s="88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</row>
    <row r="65" spans="1:32" ht="24" customHeight="1">
      <c r="A65" s="19"/>
      <c r="B65" s="58" t="str">
        <f>IFERROR(VLOOKUP(A:A,'SALDO ATUAL'!$A$3:$E$238,2,0),"")</f>
        <v/>
      </c>
      <c r="C65" s="59" t="str">
        <f>IFERROR(VLOOKUP(A:A,'SALDO ATUAL'!$A$3:$E$238,3,0),"")</f>
        <v/>
      </c>
      <c r="D65" s="59" t="str">
        <f>IFERROR(VLOOKUP(A:A,'SALDO ATUAL'!$A$3:$E$238,4,0),"")</f>
        <v/>
      </c>
      <c r="E65" s="59" t="str">
        <f>IFERROR(VLOOKUP(A:A,'SALDO ATUAL'!$A$3:$E$238,5,0),"")</f>
        <v/>
      </c>
      <c r="F65" s="84" t="str">
        <f>IFERROR(VLOOKUP(A:A,'SALDO ATUAL'!$A$2:$F$238,6,0),"")</f>
        <v/>
      </c>
      <c r="G65" s="85"/>
      <c r="H65" s="59"/>
      <c r="I65" s="86"/>
      <c r="J65" s="87">
        <f ca="1">VALIDADES!$I65-$L$2</f>
        <v>-46126</v>
      </c>
      <c r="K65" s="88"/>
      <c r="L65" s="88"/>
      <c r="M65" s="88"/>
      <c r="N65" s="88"/>
      <c r="O65" s="88"/>
      <c r="P65" s="88"/>
      <c r="Q65" s="88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</row>
    <row r="66" spans="1:32" ht="24" customHeight="1">
      <c r="A66" s="19"/>
      <c r="B66" s="58" t="str">
        <f>IFERROR(VLOOKUP(A:A,'SALDO ATUAL'!$A$3:$E$238,2,0),"")</f>
        <v/>
      </c>
      <c r="C66" s="59" t="str">
        <f>IFERROR(VLOOKUP(A:A,'SALDO ATUAL'!$A$3:$E$238,3,0),"")</f>
        <v/>
      </c>
      <c r="D66" s="59" t="str">
        <f>IFERROR(VLOOKUP(A:A,'SALDO ATUAL'!$A$3:$E$238,4,0),"")</f>
        <v/>
      </c>
      <c r="E66" s="59" t="str">
        <f>IFERROR(VLOOKUP(A:A,'SALDO ATUAL'!$A$3:$E$238,5,0),"")</f>
        <v/>
      </c>
      <c r="F66" s="84" t="str">
        <f>IFERROR(VLOOKUP(A:A,'SALDO ATUAL'!$A$2:$F$238,6,0),"")</f>
        <v/>
      </c>
      <c r="G66" s="85"/>
      <c r="H66" s="59"/>
      <c r="I66" s="86"/>
      <c r="J66" s="87">
        <f ca="1">VALIDADES!$I66-$L$2</f>
        <v>-46126</v>
      </c>
      <c r="K66" s="88"/>
      <c r="L66" s="88"/>
      <c r="M66" s="88"/>
      <c r="N66" s="88"/>
      <c r="O66" s="88"/>
      <c r="P66" s="88"/>
      <c r="Q66" s="88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</row>
    <row r="67" spans="1:32" ht="24" customHeight="1">
      <c r="A67" s="19"/>
      <c r="B67" s="58" t="str">
        <f>IFERROR(VLOOKUP(A:A,'SALDO ATUAL'!$A$3:$E$238,2,0),"")</f>
        <v/>
      </c>
      <c r="C67" s="59" t="str">
        <f>IFERROR(VLOOKUP(A:A,'SALDO ATUAL'!$A$3:$E$238,3,0),"")</f>
        <v/>
      </c>
      <c r="D67" s="59" t="str">
        <f>IFERROR(VLOOKUP(A:A,'SALDO ATUAL'!$A$3:$E$238,4,0),"")</f>
        <v/>
      </c>
      <c r="E67" s="59" t="str">
        <f>IFERROR(VLOOKUP(A:A,'SALDO ATUAL'!$A$3:$E$238,5,0),"")</f>
        <v/>
      </c>
      <c r="F67" s="84" t="str">
        <f>IFERROR(VLOOKUP(A:A,'SALDO ATUAL'!$A$2:$F$238,6,0),"")</f>
        <v/>
      </c>
      <c r="G67" s="85"/>
      <c r="H67" s="59"/>
      <c r="I67" s="86"/>
      <c r="J67" s="87">
        <f ca="1">VALIDADES!$I67-$L$2</f>
        <v>-46126</v>
      </c>
      <c r="K67" s="88"/>
      <c r="L67" s="88"/>
      <c r="M67" s="88"/>
      <c r="N67" s="88"/>
      <c r="O67" s="88"/>
      <c r="P67" s="88"/>
      <c r="Q67" s="88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</row>
    <row r="68" spans="1:32" ht="24" customHeight="1">
      <c r="A68" s="19"/>
      <c r="B68" s="58" t="str">
        <f>IFERROR(VLOOKUP(A:A,'SALDO ATUAL'!$A$3:$E$238,2,0),"")</f>
        <v/>
      </c>
      <c r="C68" s="59" t="str">
        <f>IFERROR(VLOOKUP(A:A,'SALDO ATUAL'!$A$3:$E$238,3,0),"")</f>
        <v/>
      </c>
      <c r="D68" s="59" t="str">
        <f>IFERROR(VLOOKUP(A:A,'SALDO ATUAL'!$A$3:$E$238,4,0),"")</f>
        <v/>
      </c>
      <c r="E68" s="59" t="str">
        <f>IFERROR(VLOOKUP(A:A,'SALDO ATUAL'!$A$3:$E$238,5,0),"")</f>
        <v/>
      </c>
      <c r="F68" s="84" t="str">
        <f>IFERROR(VLOOKUP(A:A,'SALDO ATUAL'!$A$2:$F$238,6,0),"")</f>
        <v/>
      </c>
      <c r="G68" s="85"/>
      <c r="H68" s="59"/>
      <c r="I68" s="86"/>
      <c r="J68" s="87">
        <f ca="1">VALIDADES!$I68-$L$2</f>
        <v>-46126</v>
      </c>
      <c r="K68" s="88"/>
      <c r="L68" s="88"/>
      <c r="M68" s="88"/>
      <c r="N68" s="88"/>
      <c r="O68" s="88"/>
      <c r="P68" s="88"/>
      <c r="Q68" s="88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</row>
    <row r="69" spans="1:32" ht="24" customHeight="1">
      <c r="A69" s="19"/>
      <c r="B69" s="58" t="str">
        <f>IFERROR(VLOOKUP(A:A,'SALDO ATUAL'!$A$3:$E$238,2,0),"")</f>
        <v/>
      </c>
      <c r="C69" s="59" t="str">
        <f>IFERROR(VLOOKUP(A:A,'SALDO ATUAL'!$A$3:$E$238,3,0),"")</f>
        <v/>
      </c>
      <c r="D69" s="59" t="str">
        <f>IFERROR(VLOOKUP(A:A,'SALDO ATUAL'!$A$3:$E$238,4,0),"")</f>
        <v/>
      </c>
      <c r="E69" s="59" t="str">
        <f>IFERROR(VLOOKUP(A:A,'SALDO ATUAL'!$A$3:$E$238,5,0),"")</f>
        <v/>
      </c>
      <c r="F69" s="84" t="str">
        <f>IFERROR(VLOOKUP(A:A,'SALDO ATUAL'!$A$2:$F$238,6,0),"")</f>
        <v/>
      </c>
      <c r="G69" s="85"/>
      <c r="H69" s="59"/>
      <c r="I69" s="86"/>
      <c r="J69" s="87">
        <f ca="1">VALIDADES!$I69-$L$2</f>
        <v>-46126</v>
      </c>
      <c r="K69" s="88"/>
      <c r="L69" s="88"/>
      <c r="M69" s="88"/>
      <c r="N69" s="88"/>
      <c r="O69" s="88"/>
      <c r="P69" s="88"/>
      <c r="Q69" s="88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</row>
    <row r="70" spans="1:32" ht="24" customHeight="1">
      <c r="A70" s="19"/>
      <c r="B70" s="58" t="str">
        <f>IFERROR(VLOOKUP(A:A,'SALDO ATUAL'!$A$3:$E$238,2,0),"")</f>
        <v/>
      </c>
      <c r="C70" s="59" t="str">
        <f>IFERROR(VLOOKUP(A:A,'SALDO ATUAL'!$A$3:$E$238,3,0),"")</f>
        <v/>
      </c>
      <c r="D70" s="59" t="str">
        <f>IFERROR(VLOOKUP(A:A,'SALDO ATUAL'!$A$3:$E$238,4,0),"")</f>
        <v/>
      </c>
      <c r="E70" s="59" t="str">
        <f>IFERROR(VLOOKUP(A:A,'SALDO ATUAL'!$A$3:$E$238,5,0),"")</f>
        <v/>
      </c>
      <c r="F70" s="84" t="str">
        <f>IFERROR(VLOOKUP(A:A,'SALDO ATUAL'!$A$2:$F$238,6,0),"")</f>
        <v/>
      </c>
      <c r="G70" s="85"/>
      <c r="H70" s="59"/>
      <c r="I70" s="86"/>
      <c r="J70" s="87">
        <f ca="1">VALIDADES!$I70-$L$2</f>
        <v>-46126</v>
      </c>
      <c r="K70" s="88"/>
      <c r="L70" s="88"/>
      <c r="M70" s="88"/>
      <c r="N70" s="88"/>
      <c r="O70" s="88"/>
      <c r="P70" s="88"/>
      <c r="Q70" s="88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</row>
    <row r="71" spans="1:32" ht="24" customHeight="1">
      <c r="A71" s="19"/>
      <c r="B71" s="58" t="str">
        <f>IFERROR(VLOOKUP(A:A,'SALDO ATUAL'!$A$3:$E$238,2,0),"")</f>
        <v/>
      </c>
      <c r="C71" s="59" t="str">
        <f>IFERROR(VLOOKUP(A:A,'SALDO ATUAL'!$A$3:$E$238,3,0),"")</f>
        <v/>
      </c>
      <c r="D71" s="59" t="str">
        <f>IFERROR(VLOOKUP(A:A,'SALDO ATUAL'!$A$3:$E$238,4,0),"")</f>
        <v/>
      </c>
      <c r="E71" s="59" t="str">
        <f>IFERROR(VLOOKUP(A:A,'SALDO ATUAL'!$A$3:$E$238,5,0),"")</f>
        <v/>
      </c>
      <c r="F71" s="84" t="str">
        <f>IFERROR(VLOOKUP(A:A,'SALDO ATUAL'!$A$2:$F$238,6,0),"")</f>
        <v/>
      </c>
      <c r="G71" s="85"/>
      <c r="H71" s="59"/>
      <c r="I71" s="86"/>
      <c r="J71" s="87">
        <f ca="1">VALIDADES!$I71-$L$2</f>
        <v>-46126</v>
      </c>
      <c r="K71" s="88"/>
      <c r="L71" s="88"/>
      <c r="M71" s="88"/>
      <c r="N71" s="88"/>
      <c r="O71" s="88"/>
      <c r="P71" s="88"/>
      <c r="Q71" s="88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</row>
    <row r="72" spans="1:32" ht="24" customHeight="1">
      <c r="A72" s="19"/>
      <c r="B72" s="58" t="str">
        <f>IFERROR(VLOOKUP(A:A,'SALDO ATUAL'!$A$3:$E$238,2,0),"")</f>
        <v/>
      </c>
      <c r="C72" s="59" t="str">
        <f>IFERROR(VLOOKUP(A:A,'SALDO ATUAL'!$A$3:$E$238,3,0),"")</f>
        <v/>
      </c>
      <c r="D72" s="59" t="str">
        <f>IFERROR(VLOOKUP(A:A,'SALDO ATUAL'!$A$3:$E$238,4,0),"")</f>
        <v/>
      </c>
      <c r="E72" s="59" t="str">
        <f>IFERROR(VLOOKUP(A:A,'SALDO ATUAL'!$A$3:$E$238,5,0),"")</f>
        <v/>
      </c>
      <c r="F72" s="84" t="str">
        <f>IFERROR(VLOOKUP(A:A,'SALDO ATUAL'!$A$2:$F$238,6,0),"")</f>
        <v/>
      </c>
      <c r="G72" s="85"/>
      <c r="H72" s="59"/>
      <c r="I72" s="86"/>
      <c r="J72" s="87">
        <f ca="1">VALIDADES!$I72-$L$2</f>
        <v>-46126</v>
      </c>
      <c r="K72" s="88"/>
      <c r="L72" s="88"/>
      <c r="M72" s="88"/>
      <c r="N72" s="88"/>
      <c r="O72" s="88"/>
      <c r="P72" s="88"/>
      <c r="Q72" s="88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</row>
    <row r="73" spans="1:32" ht="24" hidden="1" customHeight="1">
      <c r="A73" s="96">
        <v>168</v>
      </c>
      <c r="B73" s="97" t="str">
        <f>IFERROR(VLOOKUP(A:A,'SALDO ATUAL'!$A$3:$E$238,2,0),"")</f>
        <v/>
      </c>
      <c r="C73" s="98" t="str">
        <f>IFERROR(VLOOKUP(A:A,'SALDO ATUAL'!$A$3:$E$238,3,0),"")</f>
        <v/>
      </c>
      <c r="D73" s="98" t="str">
        <f>IFERROR(VLOOKUP(A:A,'SALDO ATUAL'!$A$3:$E$238,4,0),"")</f>
        <v/>
      </c>
      <c r="E73" s="98" t="str">
        <f>IFERROR(VLOOKUP(A:A,'SALDO ATUAL'!$A$3:$E$238,5,0),"")</f>
        <v/>
      </c>
      <c r="F73" s="99" t="str">
        <f>IFERROR(VLOOKUP(A:A,'SALDO ATUAL'!$A$2:$F$238,6,0),"")</f>
        <v/>
      </c>
      <c r="G73" s="100" t="s">
        <v>571</v>
      </c>
      <c r="H73" s="98">
        <v>3</v>
      </c>
      <c r="I73" s="101">
        <v>45716</v>
      </c>
      <c r="J73" s="102">
        <f ca="1">VALIDADES!$I73-$L$2</f>
        <v>-410</v>
      </c>
      <c r="K73" s="70"/>
      <c r="L73" s="70"/>
      <c r="M73" s="70"/>
      <c r="N73" s="70"/>
      <c r="O73" s="70"/>
      <c r="P73" s="70"/>
      <c r="Q73" s="70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</row>
    <row r="74" spans="1:32" ht="24" customHeight="1">
      <c r="A74" s="19"/>
      <c r="B74" s="58" t="str">
        <f>IFERROR(VLOOKUP(A:A,'SALDO ATUAL'!$A$3:$E$238,2,0),"")</f>
        <v/>
      </c>
      <c r="C74" s="59" t="str">
        <f>IFERROR(VLOOKUP(A:A,'SALDO ATUAL'!$A$3:$E$238,3,0),"")</f>
        <v/>
      </c>
      <c r="D74" s="59" t="str">
        <f>IFERROR(VLOOKUP(A:A,'SALDO ATUAL'!$A$3:$E$238,4,0),"")</f>
        <v/>
      </c>
      <c r="E74" s="59" t="str">
        <f>IFERROR(VLOOKUP(A:A,'SALDO ATUAL'!$A$3:$E$238,5,0),"")</f>
        <v/>
      </c>
      <c r="F74" s="84" t="str">
        <f>IFERROR(VLOOKUP(A:A,'SALDO ATUAL'!$A$2:$F$238,6,0),"")</f>
        <v/>
      </c>
      <c r="G74" s="85"/>
      <c r="H74" s="59"/>
      <c r="I74" s="86"/>
      <c r="J74" s="87">
        <f ca="1">VALIDADES!$I74-$L$2</f>
        <v>-46126</v>
      </c>
      <c r="K74" s="88"/>
      <c r="L74" s="88"/>
      <c r="M74" s="88"/>
      <c r="N74" s="88"/>
      <c r="O74" s="88"/>
      <c r="P74" s="88"/>
      <c r="Q74" s="88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</row>
    <row r="75" spans="1:32" ht="24" customHeight="1">
      <c r="A75" s="19"/>
      <c r="B75" s="58" t="str">
        <f>IFERROR(VLOOKUP(A:A,'SALDO ATUAL'!$A$3:$E$238,2,0),"")</f>
        <v/>
      </c>
      <c r="C75" s="59" t="str">
        <f>IFERROR(VLOOKUP(A:A,'SALDO ATUAL'!$A$3:$E$238,3,0),"")</f>
        <v/>
      </c>
      <c r="D75" s="59" t="str">
        <f>IFERROR(VLOOKUP(A:A,'SALDO ATUAL'!$A$3:$E$238,4,0),"")</f>
        <v/>
      </c>
      <c r="E75" s="59" t="str">
        <f>IFERROR(VLOOKUP(A:A,'SALDO ATUAL'!$A$3:$E$238,5,0),"")</f>
        <v/>
      </c>
      <c r="F75" s="84" t="str">
        <f>IFERROR(VLOOKUP(A:A,'SALDO ATUAL'!$A$2:$F$238,6,0),"")</f>
        <v/>
      </c>
      <c r="G75" s="85"/>
      <c r="H75" s="59"/>
      <c r="I75" s="86"/>
      <c r="J75" s="87">
        <f ca="1">VALIDADES!$I75-$L$2</f>
        <v>-46126</v>
      </c>
      <c r="K75" s="88"/>
      <c r="L75" s="88"/>
      <c r="M75" s="88"/>
      <c r="N75" s="88"/>
      <c r="O75" s="88"/>
      <c r="P75" s="88"/>
      <c r="Q75" s="88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</row>
    <row r="76" spans="1:32" ht="24" customHeight="1">
      <c r="A76" s="19"/>
      <c r="B76" s="58" t="str">
        <f>IFERROR(VLOOKUP(A:A,'SALDO ATUAL'!$A$3:$E$238,2,0),"")</f>
        <v/>
      </c>
      <c r="C76" s="59" t="str">
        <f>IFERROR(VLOOKUP(A:A,'SALDO ATUAL'!$A$3:$E$238,3,0),"")</f>
        <v/>
      </c>
      <c r="D76" s="59" t="str">
        <f>IFERROR(VLOOKUP(A:A,'SALDO ATUAL'!$A$3:$E$238,4,0),"")</f>
        <v/>
      </c>
      <c r="E76" s="59" t="str">
        <f>IFERROR(VLOOKUP(A:A,'SALDO ATUAL'!$A$3:$E$238,5,0),"")</f>
        <v/>
      </c>
      <c r="F76" s="84" t="str">
        <f>IFERROR(VLOOKUP(A:A,'SALDO ATUAL'!$A$2:$F$238,6,0),"")</f>
        <v/>
      </c>
      <c r="G76" s="85"/>
      <c r="H76" s="59"/>
      <c r="I76" s="86"/>
      <c r="J76" s="87">
        <f ca="1">VALIDADES!$I76-$L$2</f>
        <v>-46126</v>
      </c>
      <c r="K76" s="88"/>
      <c r="L76" s="88"/>
      <c r="M76" s="88"/>
      <c r="N76" s="88"/>
      <c r="O76" s="88"/>
      <c r="P76" s="88"/>
      <c r="Q76" s="88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</row>
    <row r="77" spans="1:32" ht="24" customHeight="1">
      <c r="A77" s="19"/>
      <c r="B77" s="58" t="str">
        <f>IFERROR(VLOOKUP(A:A,'SALDO ATUAL'!$A$3:$E$238,2,0),"")</f>
        <v/>
      </c>
      <c r="C77" s="59" t="str">
        <f>IFERROR(VLOOKUP(A:A,'SALDO ATUAL'!$A$3:$E$238,3,0),"")</f>
        <v/>
      </c>
      <c r="D77" s="59" t="str">
        <f>IFERROR(VLOOKUP(A:A,'SALDO ATUAL'!$A$3:$E$238,4,0),"")</f>
        <v/>
      </c>
      <c r="E77" s="59" t="str">
        <f>IFERROR(VLOOKUP(A:A,'SALDO ATUAL'!$A$3:$E$238,5,0),"")</f>
        <v/>
      </c>
      <c r="F77" s="84" t="str">
        <f>IFERROR(VLOOKUP(A:A,'SALDO ATUAL'!$A$2:$F$238,6,0),"")</f>
        <v/>
      </c>
      <c r="G77" s="85"/>
      <c r="H77" s="59"/>
      <c r="I77" s="86"/>
      <c r="J77" s="87">
        <f ca="1">VALIDADES!$I77-$L$2</f>
        <v>-46126</v>
      </c>
      <c r="K77" s="88"/>
      <c r="L77" s="88"/>
      <c r="M77" s="88"/>
      <c r="N77" s="88"/>
      <c r="O77" s="88"/>
      <c r="P77" s="88"/>
      <c r="Q77" s="88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</row>
    <row r="78" spans="1:32" ht="24" customHeight="1">
      <c r="A78" s="19"/>
      <c r="B78" s="58" t="str">
        <f>IFERROR(VLOOKUP(A:A,'SALDO ATUAL'!$A$3:$E$238,2,0),"")</f>
        <v/>
      </c>
      <c r="C78" s="59" t="str">
        <f>IFERROR(VLOOKUP(A:A,'SALDO ATUAL'!$A$3:$E$238,3,0),"")</f>
        <v/>
      </c>
      <c r="D78" s="59" t="str">
        <f>IFERROR(VLOOKUP(A:A,'SALDO ATUAL'!$A$3:$E$238,4,0),"")</f>
        <v/>
      </c>
      <c r="E78" s="59" t="str">
        <f>IFERROR(VLOOKUP(A:A,'SALDO ATUAL'!$A$3:$E$238,5,0),"")</f>
        <v/>
      </c>
      <c r="F78" s="84" t="str">
        <f>IFERROR(VLOOKUP(A:A,'SALDO ATUAL'!$A$2:$F$238,6,0),"")</f>
        <v/>
      </c>
      <c r="G78" s="85"/>
      <c r="H78" s="59"/>
      <c r="I78" s="86"/>
      <c r="J78" s="87">
        <f ca="1">VALIDADES!$I78-$L$2</f>
        <v>-46126</v>
      </c>
      <c r="K78" s="88"/>
      <c r="L78" s="88"/>
      <c r="M78" s="88"/>
      <c r="N78" s="88"/>
      <c r="O78" s="88"/>
      <c r="P78" s="88"/>
      <c r="Q78" s="88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</row>
    <row r="79" spans="1:32" ht="24" customHeight="1">
      <c r="A79" s="19"/>
      <c r="B79" s="58" t="str">
        <f>IFERROR(VLOOKUP(A:A,'SALDO ATUAL'!$A$3:$E$238,2,0),"")</f>
        <v/>
      </c>
      <c r="C79" s="59" t="str">
        <f>IFERROR(VLOOKUP(A:A,'SALDO ATUAL'!$A$3:$E$238,3,0),"")</f>
        <v/>
      </c>
      <c r="D79" s="59" t="str">
        <f>IFERROR(VLOOKUP(A:A,'SALDO ATUAL'!$A$3:$E$238,4,0),"")</f>
        <v/>
      </c>
      <c r="E79" s="59" t="str">
        <f>IFERROR(VLOOKUP(A:A,'SALDO ATUAL'!$A$3:$E$238,5,0),"")</f>
        <v/>
      </c>
      <c r="F79" s="84" t="str">
        <f>IFERROR(VLOOKUP(A:A,'SALDO ATUAL'!$A$2:$F$238,6,0),"")</f>
        <v/>
      </c>
      <c r="G79" s="85"/>
      <c r="H79" s="59"/>
      <c r="I79" s="86"/>
      <c r="J79" s="87">
        <f ca="1">VALIDADES!$I79-$L$2</f>
        <v>-46126</v>
      </c>
      <c r="K79" s="88"/>
      <c r="L79" s="88"/>
      <c r="M79" s="88"/>
      <c r="N79" s="88"/>
      <c r="O79" s="88"/>
      <c r="P79" s="88"/>
      <c r="Q79" s="88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</row>
    <row r="80" spans="1:32" ht="24" customHeight="1">
      <c r="A80" s="19"/>
      <c r="B80" s="58" t="str">
        <f>IFERROR(VLOOKUP(A:A,'SALDO ATUAL'!$A$3:$E$238,2,0),"")</f>
        <v/>
      </c>
      <c r="C80" s="59" t="str">
        <f>IFERROR(VLOOKUP(A:A,'SALDO ATUAL'!$A$3:$E$238,3,0),"")</f>
        <v/>
      </c>
      <c r="D80" s="59" t="str">
        <f>IFERROR(VLOOKUP(A:A,'SALDO ATUAL'!$A$3:$E$238,4,0),"")</f>
        <v/>
      </c>
      <c r="E80" s="59" t="str">
        <f>IFERROR(VLOOKUP(A:A,'SALDO ATUAL'!$A$3:$E$238,5,0),"")</f>
        <v/>
      </c>
      <c r="F80" s="84" t="str">
        <f>IFERROR(VLOOKUP(A:A,'SALDO ATUAL'!$A$2:$F$238,6,0),"")</f>
        <v/>
      </c>
      <c r="G80" s="85"/>
      <c r="H80" s="59"/>
      <c r="I80" s="86"/>
      <c r="J80" s="87">
        <f ca="1">VALIDADES!$I80-$L$2</f>
        <v>-46126</v>
      </c>
      <c r="K80" s="88"/>
      <c r="L80" s="88"/>
      <c r="M80" s="88"/>
      <c r="N80" s="88"/>
      <c r="O80" s="88"/>
      <c r="P80" s="88"/>
      <c r="Q80" s="88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</row>
    <row r="81" spans="1:32" ht="24" customHeight="1">
      <c r="A81" s="19"/>
      <c r="B81" s="58" t="str">
        <f>IFERROR(VLOOKUP(A:A,'SALDO ATUAL'!$A$3:$E$238,2,0),"")</f>
        <v/>
      </c>
      <c r="C81" s="59" t="str">
        <f>IFERROR(VLOOKUP(A:A,'SALDO ATUAL'!$A$3:$E$238,3,0),"")</f>
        <v/>
      </c>
      <c r="D81" s="59" t="str">
        <f>IFERROR(VLOOKUP(A:A,'SALDO ATUAL'!$A$3:$E$238,4,0),"")</f>
        <v/>
      </c>
      <c r="E81" s="59" t="str">
        <f>IFERROR(VLOOKUP(A:A,'SALDO ATUAL'!$A$3:$E$238,5,0),"")</f>
        <v/>
      </c>
      <c r="F81" s="84" t="str">
        <f>IFERROR(VLOOKUP(A:A,'SALDO ATUAL'!$A$2:$F$238,6,0),"")</f>
        <v/>
      </c>
      <c r="G81" s="85"/>
      <c r="H81" s="59"/>
      <c r="I81" s="86"/>
      <c r="J81" s="87">
        <f ca="1">VALIDADES!$I81-$L$2</f>
        <v>-46126</v>
      </c>
      <c r="K81" s="88"/>
      <c r="L81" s="88"/>
      <c r="M81" s="88"/>
      <c r="N81" s="88"/>
      <c r="O81" s="88"/>
      <c r="P81" s="88"/>
      <c r="Q81" s="88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</row>
    <row r="82" spans="1:32" ht="24" customHeight="1">
      <c r="A82" s="19"/>
      <c r="B82" s="58" t="str">
        <f>IFERROR(VLOOKUP(A:A,'SALDO ATUAL'!$A$3:$E$238,2,0),"")</f>
        <v/>
      </c>
      <c r="C82" s="59" t="str">
        <f>IFERROR(VLOOKUP(A:A,'SALDO ATUAL'!$A$3:$E$238,3,0),"")</f>
        <v/>
      </c>
      <c r="D82" s="59" t="str">
        <f>IFERROR(VLOOKUP(A:A,'SALDO ATUAL'!$A$3:$E$238,4,0),"")</f>
        <v/>
      </c>
      <c r="E82" s="59" t="str">
        <f>IFERROR(VLOOKUP(A:A,'SALDO ATUAL'!$A$3:$E$238,5,0),"")</f>
        <v/>
      </c>
      <c r="F82" s="84" t="str">
        <f>IFERROR(VLOOKUP(A:A,'SALDO ATUAL'!$A$2:$F$238,6,0),"")</f>
        <v/>
      </c>
      <c r="G82" s="85"/>
      <c r="H82" s="59"/>
      <c r="I82" s="86"/>
      <c r="J82" s="87">
        <f ca="1">VALIDADES!$I82-$L$2</f>
        <v>-46126</v>
      </c>
      <c r="K82" s="88"/>
      <c r="L82" s="88"/>
      <c r="M82" s="88"/>
      <c r="N82" s="88"/>
      <c r="O82" s="88"/>
      <c r="P82" s="88"/>
      <c r="Q82" s="88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</row>
    <row r="83" spans="1:32" ht="24" customHeight="1">
      <c r="A83" s="19"/>
      <c r="B83" s="58" t="str">
        <f>IFERROR(VLOOKUP(A:A,'SALDO ATUAL'!$A$3:$E$238,2,0),"")</f>
        <v/>
      </c>
      <c r="C83" s="59" t="str">
        <f>IFERROR(VLOOKUP(A:A,'SALDO ATUAL'!$A$3:$E$238,3,0),"")</f>
        <v/>
      </c>
      <c r="D83" s="59" t="str">
        <f>IFERROR(VLOOKUP(A:A,'SALDO ATUAL'!$A$3:$E$238,4,0),"")</f>
        <v/>
      </c>
      <c r="E83" s="59" t="str">
        <f>IFERROR(VLOOKUP(A:A,'SALDO ATUAL'!$A$3:$E$238,5,0),"")</f>
        <v/>
      </c>
      <c r="F83" s="84" t="str">
        <f>IFERROR(VLOOKUP(A:A,'SALDO ATUAL'!$A$2:$F$238,6,0),"")</f>
        <v/>
      </c>
      <c r="G83" s="85"/>
      <c r="H83" s="59"/>
      <c r="I83" s="86"/>
      <c r="J83" s="87">
        <f ca="1">VALIDADES!$I83-$L$2</f>
        <v>-46126</v>
      </c>
      <c r="K83" s="88"/>
      <c r="L83" s="88"/>
      <c r="M83" s="88"/>
      <c r="N83" s="88"/>
      <c r="O83" s="88"/>
      <c r="P83" s="88"/>
      <c r="Q83" s="88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</row>
    <row r="84" spans="1:32" ht="24" customHeight="1">
      <c r="A84" s="19"/>
      <c r="B84" s="58" t="str">
        <f>IFERROR(VLOOKUP(A:A,'SALDO ATUAL'!$A$3:$E$238,2,0),"")</f>
        <v/>
      </c>
      <c r="C84" s="59" t="str">
        <f>IFERROR(VLOOKUP(A:A,'SALDO ATUAL'!$A$3:$E$238,3,0),"")</f>
        <v/>
      </c>
      <c r="D84" s="59" t="str">
        <f>IFERROR(VLOOKUP(A:A,'SALDO ATUAL'!$A$3:$E$238,4,0),"")</f>
        <v/>
      </c>
      <c r="E84" s="59" t="str">
        <f>IFERROR(VLOOKUP(A:A,'SALDO ATUAL'!$A$3:$E$238,5,0),"")</f>
        <v/>
      </c>
      <c r="F84" s="84" t="str">
        <f>IFERROR(VLOOKUP(A:A,'SALDO ATUAL'!$A$2:$F$238,6,0),"")</f>
        <v/>
      </c>
      <c r="G84" s="85"/>
      <c r="H84" s="59"/>
      <c r="I84" s="86"/>
      <c r="J84" s="87">
        <f ca="1">VALIDADES!$I84-$L$2</f>
        <v>-46126</v>
      </c>
      <c r="K84" s="88"/>
      <c r="L84" s="88"/>
      <c r="M84" s="88"/>
      <c r="N84" s="88"/>
      <c r="O84" s="88"/>
      <c r="P84" s="88"/>
      <c r="Q84" s="88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</row>
    <row r="85" spans="1:32" ht="24" customHeight="1">
      <c r="A85" s="19"/>
      <c r="B85" s="58" t="str">
        <f>IFERROR(VLOOKUP(A:A,'SALDO ATUAL'!$A$3:$E$238,2,0),"")</f>
        <v/>
      </c>
      <c r="C85" s="59" t="str">
        <f>IFERROR(VLOOKUP(A:A,'SALDO ATUAL'!$A$3:$E$238,3,0),"")</f>
        <v/>
      </c>
      <c r="D85" s="59" t="str">
        <f>IFERROR(VLOOKUP(A:A,'SALDO ATUAL'!$A$3:$E$238,4,0),"")</f>
        <v/>
      </c>
      <c r="E85" s="59" t="str">
        <f>IFERROR(VLOOKUP(A:A,'SALDO ATUAL'!$A$3:$E$238,5,0),"")</f>
        <v/>
      </c>
      <c r="F85" s="84" t="str">
        <f>IFERROR(VLOOKUP(A:A,'SALDO ATUAL'!$A$2:$F$238,6,0),"")</f>
        <v/>
      </c>
      <c r="G85" s="85"/>
      <c r="H85" s="59"/>
      <c r="I85" s="86"/>
      <c r="J85" s="87">
        <f ca="1">VALIDADES!$I85-$L$2</f>
        <v>-46126</v>
      </c>
      <c r="K85" s="88"/>
      <c r="L85" s="88"/>
      <c r="M85" s="88"/>
      <c r="N85" s="88"/>
      <c r="O85" s="88"/>
      <c r="P85" s="88"/>
      <c r="Q85" s="88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</row>
    <row r="86" spans="1:32" ht="24" customHeight="1">
      <c r="A86" s="19"/>
      <c r="B86" s="58" t="str">
        <f>IFERROR(VLOOKUP(A:A,'SALDO ATUAL'!$A$3:$E$238,2,0),"")</f>
        <v/>
      </c>
      <c r="C86" s="59" t="str">
        <f>IFERROR(VLOOKUP(A:A,'SALDO ATUAL'!$A$3:$E$238,3,0),"")</f>
        <v/>
      </c>
      <c r="D86" s="59" t="str">
        <f>IFERROR(VLOOKUP(A:A,'SALDO ATUAL'!$A$3:$E$238,4,0),"")</f>
        <v/>
      </c>
      <c r="E86" s="59" t="str">
        <f>IFERROR(VLOOKUP(A:A,'SALDO ATUAL'!$A$3:$E$238,5,0),"")</f>
        <v/>
      </c>
      <c r="F86" s="84" t="str">
        <f>IFERROR(VLOOKUP(A:A,'SALDO ATUAL'!$A$2:$F$238,6,0),"")</f>
        <v/>
      </c>
      <c r="G86" s="85"/>
      <c r="H86" s="59"/>
      <c r="I86" s="86"/>
      <c r="J86" s="87">
        <f ca="1">VALIDADES!$I86-$L$2</f>
        <v>-46126</v>
      </c>
      <c r="K86" s="88"/>
      <c r="L86" s="88"/>
      <c r="M86" s="88"/>
      <c r="N86" s="88"/>
      <c r="O86" s="88"/>
      <c r="P86" s="88"/>
      <c r="Q86" s="88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</row>
    <row r="87" spans="1:32" ht="24" hidden="1" customHeight="1">
      <c r="A87" s="96">
        <v>22</v>
      </c>
      <c r="B87" s="97" t="str">
        <f>IFERROR(VLOOKUP(A:A,'SALDO ATUAL'!$A$3:$E$238,2,0),"")</f>
        <v/>
      </c>
      <c r="C87" s="98" t="str">
        <f>IFERROR(VLOOKUP(A:A,'SALDO ATUAL'!$A$3:$E$238,3,0),"")</f>
        <v/>
      </c>
      <c r="D87" s="98" t="str">
        <f>IFERROR(VLOOKUP(A:A,'SALDO ATUAL'!$A$3:$E$238,4,0),"")</f>
        <v/>
      </c>
      <c r="E87" s="98" t="str">
        <f>IFERROR(VLOOKUP(A:A,'SALDO ATUAL'!$A$3:$E$238,5,0),"")</f>
        <v/>
      </c>
      <c r="F87" s="99" t="str">
        <f>IFERROR(VLOOKUP(A:A,'SALDO ATUAL'!$A$2:$F$238,6,0),"")</f>
        <v/>
      </c>
      <c r="G87" s="100" t="s">
        <v>572</v>
      </c>
      <c r="H87" s="98">
        <v>8</v>
      </c>
      <c r="I87" s="101">
        <v>45838</v>
      </c>
      <c r="J87" s="102">
        <f ca="1">VALIDADES!$I87-$L$2</f>
        <v>-288</v>
      </c>
      <c r="K87" s="70"/>
      <c r="L87" s="70"/>
      <c r="M87" s="70"/>
      <c r="N87" s="70"/>
      <c r="O87" s="70"/>
      <c r="P87" s="70"/>
      <c r="Q87" s="70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</row>
    <row r="88" spans="1:32" ht="24" customHeight="1">
      <c r="A88" s="19"/>
      <c r="B88" s="58" t="str">
        <f>IFERROR(VLOOKUP(A:A,'SALDO ATUAL'!$A$3:$E$238,2,0),"")</f>
        <v/>
      </c>
      <c r="C88" s="59" t="str">
        <f>IFERROR(VLOOKUP(A:A,'SALDO ATUAL'!$A$3:$E$238,3,0),"")</f>
        <v/>
      </c>
      <c r="D88" s="59" t="str">
        <f>IFERROR(VLOOKUP(A:A,'SALDO ATUAL'!$A$3:$E$238,4,0),"")</f>
        <v/>
      </c>
      <c r="E88" s="59" t="str">
        <f>IFERROR(VLOOKUP(A:A,'SALDO ATUAL'!$A$3:$E$238,5,0),"")</f>
        <v/>
      </c>
      <c r="F88" s="84" t="str">
        <f>IFERROR(VLOOKUP(A:A,'SALDO ATUAL'!$A$2:$F$238,6,0),"")</f>
        <v/>
      </c>
      <c r="G88" s="85"/>
      <c r="H88" s="59"/>
      <c r="I88" s="86"/>
      <c r="J88" s="87">
        <f ca="1">VALIDADES!$I88-$L$2</f>
        <v>-46126</v>
      </c>
      <c r="K88" s="88"/>
      <c r="L88" s="88"/>
      <c r="M88" s="88"/>
      <c r="N88" s="88"/>
      <c r="O88" s="88"/>
      <c r="P88" s="88"/>
      <c r="Q88" s="88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</row>
    <row r="89" spans="1:32" ht="24" customHeight="1">
      <c r="A89" s="19"/>
      <c r="B89" s="58" t="str">
        <f>IFERROR(VLOOKUP(A:A,'SALDO ATUAL'!$A$3:$E$238,2,0),"")</f>
        <v/>
      </c>
      <c r="C89" s="59" t="str">
        <f>IFERROR(VLOOKUP(A:A,'SALDO ATUAL'!$A$3:$E$238,3,0),"")</f>
        <v/>
      </c>
      <c r="D89" s="59" t="str">
        <f>IFERROR(VLOOKUP(A:A,'SALDO ATUAL'!$A$3:$E$238,4,0),"")</f>
        <v/>
      </c>
      <c r="E89" s="59" t="str">
        <f>IFERROR(VLOOKUP(A:A,'SALDO ATUAL'!$A$3:$E$238,5,0),"")</f>
        <v/>
      </c>
      <c r="F89" s="84" t="str">
        <f>IFERROR(VLOOKUP(A:A,'SALDO ATUAL'!$A$2:$F$238,6,0),"")</f>
        <v/>
      </c>
      <c r="G89" s="85"/>
      <c r="H89" s="59"/>
      <c r="I89" s="86"/>
      <c r="J89" s="87">
        <f ca="1">VALIDADES!$I89-$L$2</f>
        <v>-46126</v>
      </c>
      <c r="K89" s="88"/>
      <c r="L89" s="88"/>
      <c r="M89" s="88"/>
      <c r="N89" s="88"/>
      <c r="O89" s="88"/>
      <c r="P89" s="88"/>
      <c r="Q89" s="88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</row>
    <row r="90" spans="1:32" ht="24" customHeight="1">
      <c r="A90" s="19"/>
      <c r="B90" s="58" t="str">
        <f>IFERROR(VLOOKUP(A:A,'SALDO ATUAL'!$A$3:$E$238,2,0),"")</f>
        <v/>
      </c>
      <c r="C90" s="59" t="str">
        <f>IFERROR(VLOOKUP(A:A,'SALDO ATUAL'!$A$3:$E$238,3,0),"")</f>
        <v/>
      </c>
      <c r="D90" s="59" t="str">
        <f>IFERROR(VLOOKUP(A:A,'SALDO ATUAL'!$A$3:$E$238,4,0),"")</f>
        <v/>
      </c>
      <c r="E90" s="59" t="str">
        <f>IFERROR(VLOOKUP(A:A,'SALDO ATUAL'!$A$3:$E$238,5,0),"")</f>
        <v/>
      </c>
      <c r="F90" s="84" t="str">
        <f>IFERROR(VLOOKUP(A:A,'SALDO ATUAL'!$A$2:$F$238,6,0),"")</f>
        <v/>
      </c>
      <c r="G90" s="85"/>
      <c r="H90" s="59"/>
      <c r="I90" s="86"/>
      <c r="J90" s="87">
        <f ca="1">VALIDADES!$I90-$L$2</f>
        <v>-46126</v>
      </c>
      <c r="K90" s="88"/>
      <c r="L90" s="88"/>
      <c r="M90" s="88"/>
      <c r="N90" s="88"/>
      <c r="O90" s="88"/>
      <c r="P90" s="88"/>
      <c r="Q90" s="88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</row>
    <row r="91" spans="1:32" ht="24" customHeight="1">
      <c r="A91" s="104"/>
      <c r="B91" s="58" t="str">
        <f>IFERROR(VLOOKUP(A:A,'SALDO ATUAL'!$A$3:$E$238,2,0),"")</f>
        <v/>
      </c>
      <c r="C91" s="59" t="str">
        <f>IFERROR(VLOOKUP(A:A,'SALDO ATUAL'!$A$3:$E$238,3,0),"")</f>
        <v/>
      </c>
      <c r="D91" s="59" t="str">
        <f>IFERROR(VLOOKUP(A:A,'SALDO ATUAL'!$A$3:$E$238,4,0),"")</f>
        <v/>
      </c>
      <c r="E91" s="59" t="str">
        <f>IFERROR(VLOOKUP(A:A,'SALDO ATUAL'!$A$3:$E$238,5,0),"")</f>
        <v/>
      </c>
      <c r="F91" s="84" t="str">
        <f>IFERROR(VLOOKUP(A:A,'SALDO ATUAL'!$A$2:$F$238,6,0),"")</f>
        <v/>
      </c>
      <c r="G91" s="85"/>
      <c r="H91" s="59"/>
      <c r="I91" s="86"/>
      <c r="J91" s="87">
        <f ca="1">VALIDADES!$I91-$L$2</f>
        <v>-46126</v>
      </c>
      <c r="K91" s="88"/>
      <c r="L91" s="88"/>
      <c r="M91" s="88"/>
      <c r="N91" s="88"/>
      <c r="O91" s="88"/>
      <c r="P91" s="88"/>
      <c r="Q91" s="88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</row>
    <row r="92" spans="1:32" ht="24" customHeight="1">
      <c r="A92" s="104"/>
      <c r="B92" s="58" t="str">
        <f>IFERROR(VLOOKUP(A:A,'SALDO ATUAL'!$A$3:$E$238,2,0),"")</f>
        <v/>
      </c>
      <c r="C92" s="59" t="str">
        <f>IFERROR(VLOOKUP(A:A,'SALDO ATUAL'!$A$3:$E$238,3,0),"")</f>
        <v/>
      </c>
      <c r="D92" s="59" t="str">
        <f>IFERROR(VLOOKUP(A:A,'SALDO ATUAL'!$A$3:$E$238,4,0),"")</f>
        <v/>
      </c>
      <c r="E92" s="59" t="str">
        <f>IFERROR(VLOOKUP(A:A,'SALDO ATUAL'!$A$3:$E$238,5,0),"")</f>
        <v/>
      </c>
      <c r="F92" s="84" t="str">
        <f>IFERROR(VLOOKUP(A:A,'SALDO ATUAL'!$A$2:$F$238,6,0),"")</f>
        <v/>
      </c>
      <c r="G92" s="85"/>
      <c r="H92" s="59"/>
      <c r="I92" s="86"/>
      <c r="J92" s="87">
        <f ca="1">VALIDADES!$I92-$L$2</f>
        <v>-46126</v>
      </c>
      <c r="K92" s="88"/>
      <c r="L92" s="88"/>
      <c r="M92" s="88"/>
      <c r="N92" s="88"/>
      <c r="O92" s="88"/>
      <c r="P92" s="88"/>
      <c r="Q92" s="88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</row>
    <row r="93" spans="1:32" ht="24" customHeight="1">
      <c r="A93" s="104"/>
      <c r="B93" s="58" t="str">
        <f>IFERROR(VLOOKUP(A:A,'SALDO ATUAL'!$A$3:$E$238,2,0),"")</f>
        <v/>
      </c>
      <c r="C93" s="59" t="str">
        <f>IFERROR(VLOOKUP(A:A,'SALDO ATUAL'!$A$3:$E$238,3,0),"")</f>
        <v/>
      </c>
      <c r="D93" s="59" t="str">
        <f>IFERROR(VLOOKUP(A:A,'SALDO ATUAL'!$A$3:$E$238,4,0),"")</f>
        <v/>
      </c>
      <c r="E93" s="59" t="str">
        <f>IFERROR(VLOOKUP(A:A,'SALDO ATUAL'!$A$3:$E$238,5,0),"")</f>
        <v/>
      </c>
      <c r="F93" s="84" t="str">
        <f>IFERROR(VLOOKUP(A:A,'SALDO ATUAL'!$A$2:$F$238,6,0),"")</f>
        <v/>
      </c>
      <c r="G93" s="85"/>
      <c r="H93" s="59"/>
      <c r="I93" s="86"/>
      <c r="J93" s="87">
        <f ca="1">VALIDADES!$I93-$L$2</f>
        <v>-46126</v>
      </c>
      <c r="K93" s="88"/>
      <c r="L93" s="88"/>
      <c r="M93" s="88"/>
      <c r="N93" s="88"/>
      <c r="O93" s="88"/>
      <c r="P93" s="88"/>
      <c r="Q93" s="88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</row>
    <row r="94" spans="1:32" ht="24" customHeight="1">
      <c r="A94" s="104"/>
      <c r="B94" s="58" t="str">
        <f>IFERROR(VLOOKUP(A:A,'SALDO ATUAL'!$A$3:$E$238,2,0),"")</f>
        <v/>
      </c>
      <c r="C94" s="59" t="str">
        <f>IFERROR(VLOOKUP(A:A,'SALDO ATUAL'!$A$3:$E$238,3,0),"")</f>
        <v/>
      </c>
      <c r="D94" s="59" t="str">
        <f>IFERROR(VLOOKUP(A:A,'SALDO ATUAL'!$A$3:$E$238,4,0),"")</f>
        <v/>
      </c>
      <c r="E94" s="59" t="str">
        <f>IFERROR(VLOOKUP(A:A,'SALDO ATUAL'!$A$3:$E$238,5,0),"")</f>
        <v/>
      </c>
      <c r="F94" s="84" t="str">
        <f>IFERROR(VLOOKUP(A:A,'SALDO ATUAL'!$A$2:$F$238,6,0),"")</f>
        <v/>
      </c>
      <c r="G94" s="85"/>
      <c r="H94" s="59"/>
      <c r="I94" s="86"/>
      <c r="J94" s="87">
        <f ca="1">VALIDADES!$I94-$L$2</f>
        <v>-46126</v>
      </c>
      <c r="K94" s="88"/>
      <c r="L94" s="88"/>
      <c r="M94" s="88"/>
      <c r="N94" s="88"/>
      <c r="O94" s="88"/>
      <c r="P94" s="88"/>
      <c r="Q94" s="88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</row>
    <row r="95" spans="1:32" ht="24" customHeight="1">
      <c r="A95" s="104"/>
      <c r="B95" s="58" t="str">
        <f>IFERROR(VLOOKUP(A:A,'SALDO ATUAL'!$A$3:$E$238,2,0),"")</f>
        <v/>
      </c>
      <c r="C95" s="59" t="str">
        <f>IFERROR(VLOOKUP(A:A,'SALDO ATUAL'!$A$3:$E$238,3,0),"")</f>
        <v/>
      </c>
      <c r="D95" s="59" t="str">
        <f>IFERROR(VLOOKUP(A:A,'SALDO ATUAL'!$A$3:$E$238,4,0),"")</f>
        <v/>
      </c>
      <c r="E95" s="59" t="str">
        <f>IFERROR(VLOOKUP(A:A,'SALDO ATUAL'!$A$3:$E$238,5,0),"")</f>
        <v/>
      </c>
      <c r="F95" s="84" t="str">
        <f>IFERROR(VLOOKUP(A:A,'SALDO ATUAL'!$A$2:$F$238,6,0),"")</f>
        <v/>
      </c>
      <c r="G95" s="85"/>
      <c r="H95" s="59"/>
      <c r="I95" s="86"/>
      <c r="J95" s="87">
        <f ca="1">VALIDADES!$I95-$L$2</f>
        <v>-46126</v>
      </c>
      <c r="K95" s="88"/>
      <c r="L95" s="88"/>
      <c r="M95" s="88"/>
      <c r="N95" s="88"/>
      <c r="O95" s="88"/>
      <c r="P95" s="88"/>
      <c r="Q95" s="88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</row>
    <row r="96" spans="1:32" ht="24" customHeight="1">
      <c r="A96" s="104"/>
      <c r="B96" s="58" t="str">
        <f>IFERROR(VLOOKUP(A:A,'SALDO ATUAL'!$A$3:$E$238,2,0),"")</f>
        <v/>
      </c>
      <c r="C96" s="59" t="str">
        <f>IFERROR(VLOOKUP(A:A,'SALDO ATUAL'!$A$3:$E$238,3,0),"")</f>
        <v/>
      </c>
      <c r="D96" s="59" t="str">
        <f>IFERROR(VLOOKUP(A:A,'SALDO ATUAL'!$A$3:$E$238,4,0),"")</f>
        <v/>
      </c>
      <c r="E96" s="59" t="str">
        <f>IFERROR(VLOOKUP(A:A,'SALDO ATUAL'!$A$3:$E$238,5,0),"")</f>
        <v/>
      </c>
      <c r="F96" s="84" t="str">
        <f>IFERROR(VLOOKUP(A:A,'SALDO ATUAL'!$A$2:$F$238,6,0),"")</f>
        <v/>
      </c>
      <c r="G96" s="85"/>
      <c r="H96" s="59"/>
      <c r="I96" s="86"/>
      <c r="J96" s="87">
        <f ca="1">VALIDADES!$I96-$L$2</f>
        <v>-46126</v>
      </c>
      <c r="K96" s="88"/>
      <c r="L96" s="88"/>
      <c r="M96" s="88"/>
      <c r="N96" s="88"/>
      <c r="O96" s="88"/>
      <c r="P96" s="88"/>
      <c r="Q96" s="88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</row>
    <row r="97" spans="1:32" ht="24" customHeight="1">
      <c r="A97" s="104"/>
      <c r="B97" s="58" t="str">
        <f>IFERROR(VLOOKUP(A:A,'SALDO ATUAL'!$A$3:$E$238,2,0),"")</f>
        <v/>
      </c>
      <c r="C97" s="59" t="str">
        <f>IFERROR(VLOOKUP(A:A,'SALDO ATUAL'!$A$3:$E$238,3,0),"")</f>
        <v/>
      </c>
      <c r="D97" s="59" t="str">
        <f>IFERROR(VLOOKUP(A:A,'SALDO ATUAL'!$A$3:$E$238,4,0),"")</f>
        <v/>
      </c>
      <c r="E97" s="59" t="str">
        <f>IFERROR(VLOOKUP(A:A,'SALDO ATUAL'!$A$3:$E$238,5,0),"")</f>
        <v/>
      </c>
      <c r="F97" s="84" t="str">
        <f>IFERROR(VLOOKUP(A:A,'SALDO ATUAL'!$A$2:$F$238,6,0),"")</f>
        <v/>
      </c>
      <c r="G97" s="85"/>
      <c r="H97" s="59"/>
      <c r="I97" s="86"/>
      <c r="J97" s="87">
        <f ca="1">VALIDADES!$I97-$L$2</f>
        <v>-46126</v>
      </c>
      <c r="K97" s="88"/>
      <c r="L97" s="88"/>
      <c r="M97" s="88"/>
      <c r="N97" s="88"/>
      <c r="O97" s="88"/>
      <c r="P97" s="88"/>
      <c r="Q97" s="88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</row>
    <row r="98" spans="1:32" ht="24" customHeight="1">
      <c r="A98" s="104"/>
      <c r="B98" s="58" t="str">
        <f>IFERROR(VLOOKUP(A:A,'SALDO ATUAL'!$A$3:$E$238,2,0),"")</f>
        <v/>
      </c>
      <c r="C98" s="59" t="str">
        <f>IFERROR(VLOOKUP(A:A,'SALDO ATUAL'!$A$3:$E$238,3,0),"")</f>
        <v/>
      </c>
      <c r="D98" s="59" t="str">
        <f>IFERROR(VLOOKUP(A:A,'SALDO ATUAL'!$A$3:$E$238,4,0),"")</f>
        <v/>
      </c>
      <c r="E98" s="59" t="str">
        <f>IFERROR(VLOOKUP(A:A,'SALDO ATUAL'!$A$3:$E$238,5,0),"")</f>
        <v/>
      </c>
      <c r="F98" s="84" t="str">
        <f>IFERROR(VLOOKUP(A:A,'SALDO ATUAL'!$A$2:$F$238,6,0),"")</f>
        <v/>
      </c>
      <c r="G98" s="85"/>
      <c r="H98" s="59"/>
      <c r="I98" s="86"/>
      <c r="J98" s="87">
        <f ca="1">VALIDADES!$I98-$L$2</f>
        <v>-46126</v>
      </c>
      <c r="K98" s="88"/>
      <c r="L98" s="88"/>
      <c r="M98" s="88"/>
      <c r="N98" s="88"/>
      <c r="O98" s="88"/>
      <c r="P98" s="88"/>
      <c r="Q98" s="88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</row>
    <row r="99" spans="1:32" ht="24" customHeight="1">
      <c r="A99" s="104"/>
      <c r="B99" s="58" t="str">
        <f>IFERROR(VLOOKUP(A:A,'SALDO ATUAL'!$A$3:$E$238,2,0),"")</f>
        <v/>
      </c>
      <c r="C99" s="59" t="str">
        <f>IFERROR(VLOOKUP(A:A,'SALDO ATUAL'!$A$3:$E$238,3,0),"")</f>
        <v/>
      </c>
      <c r="D99" s="59" t="str">
        <f>IFERROR(VLOOKUP(A:A,'SALDO ATUAL'!$A$3:$E$238,4,0),"")</f>
        <v/>
      </c>
      <c r="E99" s="59" t="str">
        <f>IFERROR(VLOOKUP(A:A,'SALDO ATUAL'!$A$3:$E$238,5,0),"")</f>
        <v/>
      </c>
      <c r="F99" s="84" t="str">
        <f>IFERROR(VLOOKUP(A:A,'SALDO ATUAL'!$A$2:$F$238,6,0),"")</f>
        <v/>
      </c>
      <c r="G99" s="85"/>
      <c r="H99" s="59"/>
      <c r="I99" s="86"/>
      <c r="J99" s="87">
        <f ca="1">VALIDADES!$I99-$L$2</f>
        <v>-46126</v>
      </c>
      <c r="K99" s="88"/>
      <c r="L99" s="88"/>
      <c r="M99" s="88"/>
      <c r="N99" s="88"/>
      <c r="O99" s="88"/>
      <c r="P99" s="88"/>
      <c r="Q99" s="88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</row>
    <row r="100" spans="1:32" ht="24" customHeight="1">
      <c r="A100" s="104"/>
      <c r="B100" s="58" t="str">
        <f>IFERROR(VLOOKUP(A:A,'SALDO ATUAL'!$A$3:$E$238,2,0),"")</f>
        <v/>
      </c>
      <c r="C100" s="59" t="str">
        <f>IFERROR(VLOOKUP(A:A,'SALDO ATUAL'!$A$3:$E$238,3,0),"")</f>
        <v/>
      </c>
      <c r="D100" s="59" t="str">
        <f>IFERROR(VLOOKUP(A:A,'SALDO ATUAL'!$A$3:$E$238,4,0),"")</f>
        <v/>
      </c>
      <c r="E100" s="59" t="str">
        <f>IFERROR(VLOOKUP(A:A,'SALDO ATUAL'!$A$3:$E$238,5,0),"")</f>
        <v/>
      </c>
      <c r="F100" s="84" t="str">
        <f>IFERROR(VLOOKUP(A:A,'SALDO ATUAL'!$A$2:$F$238,6,0),"")</f>
        <v/>
      </c>
      <c r="G100" s="85"/>
      <c r="H100" s="59"/>
      <c r="I100" s="86"/>
      <c r="J100" s="87">
        <f ca="1">VALIDADES!$I100-$L$2</f>
        <v>-46126</v>
      </c>
      <c r="K100" s="88"/>
      <c r="L100" s="88"/>
      <c r="M100" s="88"/>
      <c r="N100" s="88"/>
      <c r="O100" s="88"/>
      <c r="P100" s="88"/>
      <c r="Q100" s="88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</row>
    <row r="101" spans="1:32" ht="24" customHeight="1">
      <c r="A101" s="104"/>
      <c r="B101" s="58" t="str">
        <f>IFERROR(VLOOKUP(A:A,'SALDO ATUAL'!$A$3:$E$238,2,0),"")</f>
        <v/>
      </c>
      <c r="C101" s="59" t="str">
        <f>IFERROR(VLOOKUP(A:A,'SALDO ATUAL'!$A$3:$E$238,3,0),"")</f>
        <v/>
      </c>
      <c r="D101" s="59" t="str">
        <f>IFERROR(VLOOKUP(A:A,'SALDO ATUAL'!$A$3:$E$238,4,0),"")</f>
        <v/>
      </c>
      <c r="E101" s="59" t="str">
        <f>IFERROR(VLOOKUP(A:A,'SALDO ATUAL'!$A$3:$E$238,5,0),"")</f>
        <v/>
      </c>
      <c r="F101" s="84" t="str">
        <f>IFERROR(VLOOKUP(A:A,'SALDO ATUAL'!$A$2:$F$238,6,0),"")</f>
        <v/>
      </c>
      <c r="G101" s="85"/>
      <c r="H101" s="59"/>
      <c r="I101" s="86"/>
      <c r="J101" s="87">
        <f ca="1">VALIDADES!$I101-$L$2</f>
        <v>-46126</v>
      </c>
      <c r="K101" s="88"/>
      <c r="L101" s="88"/>
      <c r="M101" s="88"/>
      <c r="N101" s="88"/>
      <c r="O101" s="88"/>
      <c r="P101" s="88"/>
      <c r="Q101" s="88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</row>
    <row r="102" spans="1:32" ht="24" customHeight="1">
      <c r="A102" s="104"/>
      <c r="B102" s="58" t="str">
        <f>IFERROR(VLOOKUP(A:A,'SALDO ATUAL'!$A$3:$E$238,2,0),"")</f>
        <v/>
      </c>
      <c r="C102" s="59" t="str">
        <f>IFERROR(VLOOKUP(A:A,'SALDO ATUAL'!$A$3:$E$238,3,0),"")</f>
        <v/>
      </c>
      <c r="D102" s="59" t="str">
        <f>IFERROR(VLOOKUP(A:A,'SALDO ATUAL'!$A$3:$E$238,4,0),"")</f>
        <v/>
      </c>
      <c r="E102" s="59" t="str">
        <f>IFERROR(VLOOKUP(A:A,'SALDO ATUAL'!$A$3:$E$238,5,0),"")</f>
        <v/>
      </c>
      <c r="F102" s="84" t="str">
        <f>IFERROR(VLOOKUP(A:A,'SALDO ATUAL'!$A$2:$F$238,6,0),"")</f>
        <v/>
      </c>
      <c r="G102" s="85"/>
      <c r="H102" s="59"/>
      <c r="I102" s="86"/>
      <c r="J102" s="87">
        <f ca="1">VALIDADES!$I102-$L$2</f>
        <v>-46126</v>
      </c>
      <c r="K102" s="88"/>
      <c r="L102" s="88"/>
      <c r="M102" s="88"/>
      <c r="N102" s="88"/>
      <c r="O102" s="88"/>
      <c r="P102" s="88"/>
      <c r="Q102" s="88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</row>
    <row r="103" spans="1:32" ht="24" hidden="1" customHeight="1">
      <c r="A103" s="96">
        <v>230</v>
      </c>
      <c r="B103" s="97">
        <f>IFERROR(VLOOKUP(A:A,'SALDO ATUAL'!$A$3:$E$238,2,0),"")</f>
        <v>0</v>
      </c>
      <c r="C103" s="98" t="str">
        <f>IFERROR(VLOOKUP(A:A,'SALDO ATUAL'!$A$3:$E$238,3,0),"")</f>
        <v>MÁSCARA EGYPTIAN ROSE</v>
      </c>
      <c r="D103" s="98" t="str">
        <f>IFERROR(VLOOKUP(A:A,'SALDO ATUAL'!$A$3:$E$238,4,0),"")</f>
        <v>DERMOCOSMÉTICO E COSMÉTICO</v>
      </c>
      <c r="E103" s="98">
        <f>IFERROR(VLOOKUP(A:A,'SALDO ATUAL'!$A$3:$E$238,5,0),"")</f>
        <v>0</v>
      </c>
      <c r="F103" s="99">
        <f>IFERROR(VLOOKUP(A:A,'SALDO ATUAL'!$A$2:$F$238,6,0),"")</f>
        <v>0</v>
      </c>
      <c r="G103" s="100" t="s">
        <v>573</v>
      </c>
      <c r="H103" s="98">
        <v>5</v>
      </c>
      <c r="I103" s="101">
        <v>45747</v>
      </c>
      <c r="J103" s="102">
        <f ca="1">VALIDADES!$I103-$L$2</f>
        <v>-379</v>
      </c>
      <c r="K103" s="70"/>
      <c r="L103" s="70"/>
      <c r="M103" s="70"/>
      <c r="N103" s="70"/>
      <c r="O103" s="70"/>
      <c r="P103" s="70"/>
      <c r="Q103" s="70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</row>
    <row r="104" spans="1:32" ht="24" customHeight="1">
      <c r="A104" s="104"/>
      <c r="B104" s="58" t="str">
        <f>IFERROR(VLOOKUP(A:A,'SALDO ATUAL'!$A$3:$E$238,2,0),"")</f>
        <v/>
      </c>
      <c r="C104" s="59" t="str">
        <f>IFERROR(VLOOKUP(A:A,'SALDO ATUAL'!$A$3:$E$238,3,0),"")</f>
        <v/>
      </c>
      <c r="D104" s="59" t="str">
        <f>IFERROR(VLOOKUP(A:A,'SALDO ATUAL'!$A$3:$E$238,4,0),"")</f>
        <v/>
      </c>
      <c r="E104" s="59" t="str">
        <f>IFERROR(VLOOKUP(A:A,'SALDO ATUAL'!$A$3:$E$238,5,0),"")</f>
        <v/>
      </c>
      <c r="F104" s="84" t="str">
        <f>IFERROR(VLOOKUP(A:A,'SALDO ATUAL'!$A$2:$F$238,6,0),"")</f>
        <v/>
      </c>
      <c r="G104" s="85"/>
      <c r="H104" s="59"/>
      <c r="I104" s="86"/>
      <c r="J104" s="87">
        <f ca="1">VALIDADES!$I104-$L$2</f>
        <v>-46126</v>
      </c>
      <c r="K104" s="88"/>
      <c r="L104" s="88"/>
      <c r="M104" s="88"/>
      <c r="N104" s="88"/>
      <c r="O104" s="88"/>
      <c r="P104" s="88"/>
      <c r="Q104" s="88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</row>
    <row r="105" spans="1:32" ht="24" hidden="1" customHeight="1">
      <c r="A105" s="96">
        <v>19</v>
      </c>
      <c r="B105" s="97" t="s">
        <v>574</v>
      </c>
      <c r="C105" s="98" t="str">
        <f>IFERROR(VLOOKUP(A:A,'SALDO ATUAL'!$A$3:$E$238,3,0),"")</f>
        <v>AH SOFIDERM 10ML</v>
      </c>
      <c r="D105" s="98" t="str">
        <f>IFERROR(VLOOKUP(A:A,'SALDO ATUAL'!$A$3:$E$238,4,0),"")</f>
        <v>PREENCHEDOR</v>
      </c>
      <c r="E105" s="98" t="str">
        <f>IFERROR(VLOOKUP(A:A,'SALDO ATUAL'!$A$3:$E$238,5,0),"")</f>
        <v>023 - Mililitro</v>
      </c>
      <c r="F105" s="99" t="str">
        <f>IFERROR(VLOOKUP(A:A,'SALDO ATUAL'!$A$2:$F$238,6,0),"")</f>
        <v>AESKINS</v>
      </c>
      <c r="G105" s="100" t="s">
        <v>575</v>
      </c>
      <c r="H105" s="98">
        <v>1</v>
      </c>
      <c r="I105" s="101">
        <v>45961</v>
      </c>
      <c r="J105" s="102">
        <f ca="1">VALIDADES!$I105-$L$2</f>
        <v>-165</v>
      </c>
      <c r="K105" s="70"/>
      <c r="L105" s="70"/>
      <c r="M105" s="70"/>
      <c r="N105" s="70"/>
      <c r="O105" s="70"/>
      <c r="P105" s="70"/>
      <c r="Q105" s="70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</row>
    <row r="106" spans="1:32" ht="24" customHeight="1">
      <c r="A106" s="104"/>
      <c r="B106" s="58" t="str">
        <f>IFERROR(VLOOKUP(A:A,'SALDO ATUAL'!$A$3:$E$238,2,0),"")</f>
        <v/>
      </c>
      <c r="C106" s="59" t="str">
        <f>IFERROR(VLOOKUP(A:A,'SALDO ATUAL'!$A$3:$E$238,3,0),"")</f>
        <v/>
      </c>
      <c r="D106" s="59" t="str">
        <f>IFERROR(VLOOKUP(A:A,'SALDO ATUAL'!$A$3:$E$238,4,0),"")</f>
        <v/>
      </c>
      <c r="E106" s="59" t="str">
        <f>IFERROR(VLOOKUP(A:A,'SALDO ATUAL'!$A$3:$E$238,5,0),"")</f>
        <v/>
      </c>
      <c r="F106" s="84" t="str">
        <f>IFERROR(VLOOKUP(A:A,'SALDO ATUAL'!$A$2:$F$238,6,0),"")</f>
        <v/>
      </c>
      <c r="G106" s="85"/>
      <c r="H106" s="59"/>
      <c r="I106" s="86"/>
      <c r="J106" s="87">
        <f ca="1">VALIDADES!$I106-$L$2</f>
        <v>-46126</v>
      </c>
      <c r="K106" s="88"/>
      <c r="L106" s="88"/>
      <c r="M106" s="88"/>
      <c r="N106" s="88"/>
      <c r="O106" s="88"/>
      <c r="P106" s="88"/>
      <c r="Q106" s="88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</row>
    <row r="107" spans="1:32" ht="24" customHeight="1">
      <c r="A107" s="104"/>
      <c r="B107" s="58" t="str">
        <f>IFERROR(VLOOKUP(A:A,'SALDO ATUAL'!$A$3:$E$238,2,0),"")</f>
        <v/>
      </c>
      <c r="C107" s="59" t="str">
        <f>IFERROR(VLOOKUP(A:A,'SALDO ATUAL'!$A$3:$E$238,3,0),"")</f>
        <v/>
      </c>
      <c r="D107" s="59" t="str">
        <f>IFERROR(VLOOKUP(A:A,'SALDO ATUAL'!$A$3:$E$238,4,0),"")</f>
        <v/>
      </c>
      <c r="E107" s="59" t="str">
        <f>IFERROR(VLOOKUP(A:A,'SALDO ATUAL'!$A$3:$E$238,5,0),"")</f>
        <v/>
      </c>
      <c r="F107" s="84" t="str">
        <f>IFERROR(VLOOKUP(A:A,'SALDO ATUAL'!$A$2:$F$238,6,0),"")</f>
        <v/>
      </c>
      <c r="G107" s="85"/>
      <c r="H107" s="59"/>
      <c r="I107" s="86"/>
      <c r="J107" s="87">
        <f ca="1">VALIDADES!$I107-$L$2</f>
        <v>-46126</v>
      </c>
      <c r="K107" s="88"/>
      <c r="L107" s="88"/>
      <c r="M107" s="88"/>
      <c r="N107" s="88"/>
      <c r="O107" s="88"/>
      <c r="P107" s="88"/>
      <c r="Q107" s="88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</row>
    <row r="108" spans="1:32" ht="24" customHeight="1">
      <c r="A108" s="19"/>
      <c r="B108" s="58" t="str">
        <f>IFERROR(VLOOKUP(A:A,'SALDO ATUAL'!$A$3:$E$238,2,0),"")</f>
        <v/>
      </c>
      <c r="C108" s="59" t="str">
        <f>IFERROR(VLOOKUP(A:A,'SALDO ATUAL'!$A$3:$E$238,3,0),"")</f>
        <v/>
      </c>
      <c r="D108" s="59" t="str">
        <f>IFERROR(VLOOKUP(A:A,'SALDO ATUAL'!$A$3:$E$238,4,0),"")</f>
        <v/>
      </c>
      <c r="E108" s="59" t="str">
        <f>IFERROR(VLOOKUP(A:A,'SALDO ATUAL'!$A$3:$E$238,5,0),"")</f>
        <v/>
      </c>
      <c r="F108" s="84" t="str">
        <f>IFERROR(VLOOKUP(A:A,'SALDO ATUAL'!$A$2:$F$238,6,0),"")</f>
        <v/>
      </c>
      <c r="G108" s="85"/>
      <c r="H108" s="59"/>
      <c r="I108" s="86"/>
      <c r="J108" s="87">
        <f ca="1">VALIDADES!$I108-$L$2</f>
        <v>-46126</v>
      </c>
      <c r="K108" s="88"/>
      <c r="L108" s="88"/>
      <c r="M108" s="88"/>
      <c r="N108" s="88"/>
      <c r="O108" s="88"/>
      <c r="P108" s="88"/>
      <c r="Q108" s="88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</row>
    <row r="109" spans="1:32" ht="24" hidden="1" customHeight="1">
      <c r="A109" s="96"/>
      <c r="B109" s="97" t="str">
        <f>IFERROR(VLOOKUP(A:A,'SALDO ATUAL'!$A$3:$E$238,2,0),"")</f>
        <v/>
      </c>
      <c r="C109" s="98" t="str">
        <f>IFERROR(VLOOKUP(A:A,'SALDO ATUAL'!$A$3:$E$238,3,0),"")</f>
        <v/>
      </c>
      <c r="D109" s="98" t="str">
        <f>IFERROR(VLOOKUP(A:A,'SALDO ATUAL'!$A$3:$E$238,4,0),"")</f>
        <v/>
      </c>
      <c r="E109" s="98" t="str">
        <f>IFERROR(VLOOKUP(A:A,'SALDO ATUAL'!$A$3:$E$238,5,0),"")</f>
        <v/>
      </c>
      <c r="F109" s="99" t="str">
        <f>IFERROR(VLOOKUP(A:A,'SALDO ATUAL'!$A$2:$F$238,6,0),"")</f>
        <v/>
      </c>
      <c r="G109" s="100"/>
      <c r="H109" s="98"/>
      <c r="I109" s="101"/>
      <c r="J109" s="102">
        <f ca="1">VALIDADES!$I109-$L$2</f>
        <v>-46126</v>
      </c>
      <c r="K109" s="70"/>
      <c r="L109" s="70"/>
      <c r="M109" s="70"/>
      <c r="N109" s="70"/>
      <c r="O109" s="70"/>
      <c r="P109" s="70"/>
      <c r="Q109" s="70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</row>
    <row r="110" spans="1:32" ht="24" customHeight="1">
      <c r="A110" s="19"/>
      <c r="B110" s="58" t="str">
        <f>IFERROR(VLOOKUP(A:A,'SALDO ATUAL'!$A$3:$E$238,2,0),"")</f>
        <v/>
      </c>
      <c r="C110" s="59" t="str">
        <f>IFERROR(VLOOKUP(A:A,'SALDO ATUAL'!$A$3:$E$238,3,0),"")</f>
        <v/>
      </c>
      <c r="D110" s="59" t="str">
        <f>IFERROR(VLOOKUP(A:A,'SALDO ATUAL'!$A$3:$E$238,4,0),"")</f>
        <v/>
      </c>
      <c r="E110" s="59" t="str">
        <f>IFERROR(VLOOKUP(A:A,'SALDO ATUAL'!$A$3:$E$238,5,0),"")</f>
        <v/>
      </c>
      <c r="F110" s="84" t="str">
        <f>IFERROR(VLOOKUP(A:A,'SALDO ATUAL'!$A$2:$F$238,6,0),"")</f>
        <v/>
      </c>
      <c r="G110" s="85"/>
      <c r="H110" s="59"/>
      <c r="I110" s="86"/>
      <c r="J110" s="87">
        <f ca="1">VALIDADES!$I110-$L$2</f>
        <v>-46126</v>
      </c>
      <c r="K110" s="88"/>
      <c r="L110" s="88"/>
      <c r="M110" s="88"/>
      <c r="N110" s="88"/>
      <c r="O110" s="88"/>
      <c r="P110" s="88"/>
      <c r="Q110" s="88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</row>
    <row r="111" spans="1:32" ht="24" customHeight="1">
      <c r="A111" s="104"/>
      <c r="B111" s="58" t="str">
        <f>IFERROR(VLOOKUP(A:A,'SALDO ATUAL'!$A$3:$E$238,2,0),"")</f>
        <v/>
      </c>
      <c r="C111" s="59" t="str">
        <f>IFERROR(VLOOKUP(A:A,'SALDO ATUAL'!$A$3:$E$238,3,0),"")</f>
        <v/>
      </c>
      <c r="D111" s="59" t="str">
        <f>IFERROR(VLOOKUP(A:A,'SALDO ATUAL'!$A$3:$E$238,4,0),"")</f>
        <v/>
      </c>
      <c r="E111" s="59" t="str">
        <f>IFERROR(VLOOKUP(A:A,'SALDO ATUAL'!$A$3:$E$238,5,0),"")</f>
        <v/>
      </c>
      <c r="F111" s="84" t="str">
        <f>IFERROR(VLOOKUP(A:A,'SALDO ATUAL'!$A$2:$F$238,6,0),"")</f>
        <v/>
      </c>
      <c r="G111" s="85"/>
      <c r="H111" s="59"/>
      <c r="I111" s="86"/>
      <c r="J111" s="87">
        <f ca="1">VALIDADES!$I111-$L$2</f>
        <v>-46126</v>
      </c>
      <c r="K111" s="88"/>
      <c r="L111" s="88"/>
      <c r="M111" s="88"/>
      <c r="N111" s="88"/>
      <c r="O111" s="88"/>
      <c r="P111" s="88"/>
      <c r="Q111" s="88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</row>
    <row r="112" spans="1:32" ht="24" customHeight="1">
      <c r="A112" s="104"/>
      <c r="B112" s="58" t="str">
        <f>IFERROR(VLOOKUP(A:A,'SALDO ATUAL'!$A$3:$E$238,2,0),"")</f>
        <v/>
      </c>
      <c r="C112" s="59" t="str">
        <f>IFERROR(VLOOKUP(A:A,'SALDO ATUAL'!$A$3:$E$238,3,0),"")</f>
        <v/>
      </c>
      <c r="D112" s="59" t="str">
        <f>IFERROR(VLOOKUP(A:A,'SALDO ATUAL'!$A$3:$E$238,4,0),"")</f>
        <v/>
      </c>
      <c r="E112" s="59" t="str">
        <f>IFERROR(VLOOKUP(A:A,'SALDO ATUAL'!$A$3:$E$238,5,0),"")</f>
        <v/>
      </c>
      <c r="F112" s="84" t="str">
        <f>IFERROR(VLOOKUP(A:A,'SALDO ATUAL'!$A$2:$F$238,6,0),"")</f>
        <v/>
      </c>
      <c r="G112" s="85"/>
      <c r="H112" s="59"/>
      <c r="I112" s="86"/>
      <c r="J112" s="87">
        <f ca="1">VALIDADES!$I112-$L$2</f>
        <v>-46126</v>
      </c>
      <c r="K112" s="88"/>
      <c r="L112" s="88"/>
      <c r="M112" s="88"/>
      <c r="N112" s="88"/>
      <c r="O112" s="88"/>
      <c r="P112" s="88"/>
      <c r="Q112" s="88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</row>
    <row r="113" spans="1:32" ht="24" customHeight="1">
      <c r="A113" s="104"/>
      <c r="B113" s="58" t="str">
        <f>IFERROR(VLOOKUP(A:A,'SALDO ATUAL'!$A$3:$E$238,2,0),"")</f>
        <v/>
      </c>
      <c r="C113" s="59" t="str">
        <f>IFERROR(VLOOKUP(A:A,'SALDO ATUAL'!$A$3:$E$238,3,0),"")</f>
        <v/>
      </c>
      <c r="D113" s="59" t="str">
        <f>IFERROR(VLOOKUP(A:A,'SALDO ATUAL'!$A$3:$E$238,4,0),"")</f>
        <v/>
      </c>
      <c r="E113" s="59" t="str">
        <f>IFERROR(VLOOKUP(A:A,'SALDO ATUAL'!$A$3:$E$238,5,0),"")</f>
        <v/>
      </c>
      <c r="F113" s="84" t="str">
        <f>IFERROR(VLOOKUP(A:A,'SALDO ATUAL'!$A$2:$F$238,6,0),"")</f>
        <v/>
      </c>
      <c r="G113" s="85"/>
      <c r="H113" s="59"/>
      <c r="I113" s="86"/>
      <c r="J113" s="87">
        <f ca="1">VALIDADES!$I113-$L$2</f>
        <v>-46126</v>
      </c>
      <c r="K113" s="88"/>
      <c r="L113" s="88"/>
      <c r="M113" s="88"/>
      <c r="N113" s="88"/>
      <c r="O113" s="88"/>
      <c r="P113" s="88"/>
      <c r="Q113" s="88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</row>
    <row r="114" spans="1:32" ht="24" customHeight="1">
      <c r="A114" s="104"/>
      <c r="B114" s="58" t="str">
        <f>IFERROR(VLOOKUP(A:A,'SALDO ATUAL'!$A$3:$E$238,2,0),"")</f>
        <v/>
      </c>
      <c r="C114" s="59" t="str">
        <f>IFERROR(VLOOKUP(A:A,'SALDO ATUAL'!$A$3:$E$238,3,0),"")</f>
        <v/>
      </c>
      <c r="D114" s="59" t="str">
        <f>IFERROR(VLOOKUP(A:A,'SALDO ATUAL'!$A$3:$E$238,4,0),"")</f>
        <v/>
      </c>
      <c r="E114" s="59" t="str">
        <f>IFERROR(VLOOKUP(A:A,'SALDO ATUAL'!$A$3:$E$238,5,0),"")</f>
        <v/>
      </c>
      <c r="F114" s="84" t="str">
        <f>IFERROR(VLOOKUP(A:A,'SALDO ATUAL'!$A$2:$F$238,6,0),"")</f>
        <v/>
      </c>
      <c r="G114" s="85"/>
      <c r="H114" s="59"/>
      <c r="I114" s="86"/>
      <c r="J114" s="87">
        <f ca="1">VALIDADES!$I114-$L$2</f>
        <v>-46126</v>
      </c>
      <c r="K114" s="88"/>
      <c r="L114" s="88"/>
      <c r="M114" s="88"/>
      <c r="N114" s="88"/>
      <c r="O114" s="88"/>
      <c r="P114" s="88"/>
      <c r="Q114" s="88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</row>
    <row r="115" spans="1:32" ht="24" customHeight="1">
      <c r="A115" s="104"/>
      <c r="B115" s="58" t="str">
        <f>IFERROR(VLOOKUP(A:A,'SALDO ATUAL'!$A$3:$E$238,2,0),"")</f>
        <v/>
      </c>
      <c r="C115" s="59" t="str">
        <f>IFERROR(VLOOKUP(A:A,'SALDO ATUAL'!$A$3:$E$238,3,0),"")</f>
        <v/>
      </c>
      <c r="D115" s="59" t="str">
        <f>IFERROR(VLOOKUP(A:A,'SALDO ATUAL'!$A$3:$E$238,4,0),"")</f>
        <v/>
      </c>
      <c r="E115" s="59" t="str">
        <f>IFERROR(VLOOKUP(A:A,'SALDO ATUAL'!$A$3:$E$238,5,0),"")</f>
        <v/>
      </c>
      <c r="F115" s="84" t="str">
        <f>IFERROR(VLOOKUP(A:A,'SALDO ATUAL'!$A$2:$F$238,6,0),"")</f>
        <v/>
      </c>
      <c r="G115" s="85"/>
      <c r="H115" s="59"/>
      <c r="I115" s="86"/>
      <c r="J115" s="87">
        <f ca="1">VALIDADES!$I115-$L$2</f>
        <v>-46126</v>
      </c>
      <c r="K115" s="88"/>
      <c r="L115" s="88"/>
      <c r="M115" s="88"/>
      <c r="N115" s="88"/>
      <c r="O115" s="88"/>
      <c r="P115" s="88"/>
      <c r="Q115" s="88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</row>
    <row r="116" spans="1:32" ht="24" customHeight="1">
      <c r="A116" s="104"/>
      <c r="B116" s="58" t="str">
        <f>IFERROR(VLOOKUP(A:A,'SALDO ATUAL'!$A$3:$E$238,2,0),"")</f>
        <v/>
      </c>
      <c r="C116" s="59" t="str">
        <f>IFERROR(VLOOKUP(A:A,'SALDO ATUAL'!$A$3:$E$238,3,0),"")</f>
        <v/>
      </c>
      <c r="D116" s="59" t="str">
        <f>IFERROR(VLOOKUP(A:A,'SALDO ATUAL'!$A$3:$E$238,4,0),"")</f>
        <v/>
      </c>
      <c r="E116" s="59" t="str">
        <f>IFERROR(VLOOKUP(A:A,'SALDO ATUAL'!$A$3:$E$238,5,0),"")</f>
        <v/>
      </c>
      <c r="F116" s="84" t="str">
        <f>IFERROR(VLOOKUP(A:A,'SALDO ATUAL'!$A$2:$F$238,6,0),"")</f>
        <v/>
      </c>
      <c r="G116" s="85"/>
      <c r="H116" s="59"/>
      <c r="I116" s="86"/>
      <c r="J116" s="87">
        <f ca="1">VALIDADES!$I116-$L$2</f>
        <v>-46126</v>
      </c>
      <c r="K116" s="88"/>
      <c r="L116" s="88"/>
      <c r="M116" s="88"/>
      <c r="N116" s="88"/>
      <c r="O116" s="88"/>
      <c r="P116" s="88"/>
      <c r="Q116" s="88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</row>
    <row r="117" spans="1:32" ht="24" customHeight="1">
      <c r="A117" s="19"/>
      <c r="B117" s="58" t="str">
        <f>IFERROR(VLOOKUP(A:A,'SALDO ATUAL'!$A$3:$E$238,2,0),"")</f>
        <v/>
      </c>
      <c r="C117" s="59" t="str">
        <f>IFERROR(VLOOKUP(A:A,'SALDO ATUAL'!$A$3:$E$238,3,0),"")</f>
        <v/>
      </c>
      <c r="D117" s="59" t="str">
        <f>IFERROR(VLOOKUP(A:A,'SALDO ATUAL'!$A$3:$E$238,4,0),"")</f>
        <v/>
      </c>
      <c r="E117" s="59" t="str">
        <f>IFERROR(VLOOKUP(A:A,'SALDO ATUAL'!$A$3:$E$238,5,0),"")</f>
        <v/>
      </c>
      <c r="F117" s="84" t="str">
        <f>IFERROR(VLOOKUP(A:A,'SALDO ATUAL'!$A$2:$F$238,6,0),"")</f>
        <v/>
      </c>
      <c r="G117" s="85"/>
      <c r="H117" s="59"/>
      <c r="I117" s="86"/>
      <c r="J117" s="87">
        <f ca="1">VALIDADES!$I117-$L$2</f>
        <v>-46126</v>
      </c>
      <c r="K117" s="88"/>
      <c r="L117" s="88"/>
      <c r="M117" s="88"/>
      <c r="N117" s="88"/>
      <c r="O117" s="88"/>
      <c r="P117" s="88"/>
      <c r="Q117" s="88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</row>
    <row r="118" spans="1:32" ht="24" customHeight="1">
      <c r="A118" s="19"/>
      <c r="B118" s="58" t="str">
        <f>IFERROR(VLOOKUP(A:A,'SALDO ATUAL'!$A$3:$E$238,2,0),"")</f>
        <v/>
      </c>
      <c r="C118" s="59" t="str">
        <f>IFERROR(VLOOKUP(A:A,'SALDO ATUAL'!$A$3:$E$238,3,0),"")</f>
        <v/>
      </c>
      <c r="D118" s="59" t="str">
        <f>IFERROR(VLOOKUP(A:A,'SALDO ATUAL'!$A$3:$E$238,4,0),"")</f>
        <v/>
      </c>
      <c r="E118" s="59" t="str">
        <f>IFERROR(VLOOKUP(A:A,'SALDO ATUAL'!$A$3:$E$238,5,0),"")</f>
        <v/>
      </c>
      <c r="F118" s="84" t="str">
        <f>IFERROR(VLOOKUP(A:A,'SALDO ATUAL'!$A$2:$F$238,6,0),"")</f>
        <v/>
      </c>
      <c r="G118" s="85"/>
      <c r="H118" s="59"/>
      <c r="I118" s="86"/>
      <c r="J118" s="87">
        <f ca="1">VALIDADES!$I118-$L$2</f>
        <v>-46126</v>
      </c>
      <c r="K118" s="88"/>
      <c r="L118" s="88"/>
      <c r="M118" s="88"/>
      <c r="N118" s="88"/>
      <c r="O118" s="88"/>
      <c r="P118" s="88"/>
      <c r="Q118" s="88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</row>
    <row r="119" spans="1:32" ht="24" customHeight="1">
      <c r="A119" s="19"/>
      <c r="B119" s="58" t="str">
        <f>IFERROR(VLOOKUP(A:A,'SALDO ATUAL'!$A$3:$E$238,2,0),"")</f>
        <v/>
      </c>
      <c r="C119" s="59" t="str">
        <f>IFERROR(VLOOKUP(A:A,'SALDO ATUAL'!$A$3:$E$238,3,0),"")</f>
        <v/>
      </c>
      <c r="D119" s="59" t="str">
        <f>IFERROR(VLOOKUP(A:A,'SALDO ATUAL'!$A$3:$E$238,4,0),"")</f>
        <v/>
      </c>
      <c r="E119" s="59" t="str">
        <f>IFERROR(VLOOKUP(A:A,'SALDO ATUAL'!$A$3:$E$238,5,0),"")</f>
        <v/>
      </c>
      <c r="F119" s="84" t="str">
        <f>IFERROR(VLOOKUP(A:A,'SALDO ATUAL'!$A$2:$F$238,6,0),"")</f>
        <v/>
      </c>
      <c r="G119" s="85"/>
      <c r="H119" s="59"/>
      <c r="I119" s="86"/>
      <c r="J119" s="87">
        <f ca="1">VALIDADES!$I119-$L$2</f>
        <v>-46126</v>
      </c>
      <c r="K119" s="88"/>
      <c r="L119" s="88"/>
      <c r="M119" s="88"/>
      <c r="N119" s="88"/>
      <c r="O119" s="88"/>
      <c r="P119" s="88"/>
      <c r="Q119" s="88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</row>
    <row r="120" spans="1:32" ht="24" customHeight="1">
      <c r="A120" s="19"/>
      <c r="B120" s="58" t="str">
        <f>IFERROR(VLOOKUP(A:A,'SALDO ATUAL'!$A$3:$E$238,2,0),"")</f>
        <v/>
      </c>
      <c r="C120" s="59" t="str">
        <f>IFERROR(VLOOKUP(A:A,'SALDO ATUAL'!$A$3:$E$238,3,0),"")</f>
        <v/>
      </c>
      <c r="D120" s="59" t="str">
        <f>IFERROR(VLOOKUP(A:A,'SALDO ATUAL'!$A$3:$E$238,4,0),"")</f>
        <v/>
      </c>
      <c r="E120" s="59" t="str">
        <f>IFERROR(VLOOKUP(A:A,'SALDO ATUAL'!$A$3:$E$238,5,0),"")</f>
        <v/>
      </c>
      <c r="F120" s="84" t="str">
        <f>IFERROR(VLOOKUP(A:A,'SALDO ATUAL'!$A$2:$F$238,6,0),"")</f>
        <v/>
      </c>
      <c r="G120" s="85"/>
      <c r="H120" s="59"/>
      <c r="I120" s="86"/>
      <c r="J120" s="87">
        <f ca="1">VALIDADES!$I120-$L$2</f>
        <v>-46126</v>
      </c>
      <c r="K120" s="88"/>
      <c r="L120" s="88"/>
      <c r="M120" s="88"/>
      <c r="N120" s="88"/>
      <c r="O120" s="88"/>
      <c r="P120" s="88"/>
      <c r="Q120" s="88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</row>
    <row r="121" spans="1:32" ht="24" customHeight="1">
      <c r="A121" s="19"/>
      <c r="B121" s="58" t="str">
        <f>IFERROR(VLOOKUP(A:A,'SALDO ATUAL'!$A$3:$E$238,2,0),"")</f>
        <v/>
      </c>
      <c r="C121" s="59" t="str">
        <f>IFERROR(VLOOKUP(A:A,'SALDO ATUAL'!$A$3:$E$238,3,0),"")</f>
        <v/>
      </c>
      <c r="D121" s="59" t="str">
        <f>IFERROR(VLOOKUP(A:A,'SALDO ATUAL'!$A$3:$E$238,4,0),"")</f>
        <v/>
      </c>
      <c r="E121" s="59" t="str">
        <f>IFERROR(VLOOKUP(A:A,'SALDO ATUAL'!$A$3:$E$238,5,0),"")</f>
        <v/>
      </c>
      <c r="F121" s="84" t="str">
        <f>IFERROR(VLOOKUP(A:A,'SALDO ATUAL'!$A$2:$F$238,6,0),"")</f>
        <v/>
      </c>
      <c r="G121" s="85"/>
      <c r="H121" s="59"/>
      <c r="I121" s="86"/>
      <c r="J121" s="87">
        <f ca="1">VALIDADES!$I121-$L$2</f>
        <v>-46126</v>
      </c>
      <c r="K121" s="88"/>
      <c r="L121" s="88"/>
      <c r="M121" s="88"/>
      <c r="N121" s="88"/>
      <c r="O121" s="88"/>
      <c r="P121" s="88"/>
      <c r="Q121" s="88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</row>
    <row r="122" spans="1:32" ht="24" customHeight="1">
      <c r="A122" s="19"/>
      <c r="B122" s="58" t="str">
        <f>IFERROR(VLOOKUP(A:A,'SALDO ATUAL'!$A$3:$E$238,2,0),"")</f>
        <v/>
      </c>
      <c r="C122" s="59" t="str">
        <f>IFERROR(VLOOKUP(A:A,'SALDO ATUAL'!$A$3:$E$238,3,0),"")</f>
        <v/>
      </c>
      <c r="D122" s="59" t="str">
        <f>IFERROR(VLOOKUP(A:A,'SALDO ATUAL'!$A$3:$E$238,4,0),"")</f>
        <v/>
      </c>
      <c r="E122" s="59" t="str">
        <f>IFERROR(VLOOKUP(A:A,'SALDO ATUAL'!$A$3:$E$238,5,0),"")</f>
        <v/>
      </c>
      <c r="F122" s="84" t="str">
        <f>IFERROR(VLOOKUP(A:A,'SALDO ATUAL'!$A$2:$F$238,6,0),"")</f>
        <v/>
      </c>
      <c r="G122" s="85"/>
      <c r="H122" s="59"/>
      <c r="I122" s="86"/>
      <c r="J122" s="87">
        <f ca="1">VALIDADES!$I122-$L$2</f>
        <v>-46126</v>
      </c>
      <c r="K122" s="88"/>
      <c r="L122" s="88"/>
      <c r="M122" s="88"/>
      <c r="N122" s="88"/>
      <c r="O122" s="88"/>
      <c r="P122" s="88"/>
      <c r="Q122" s="88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</row>
    <row r="123" spans="1:32" ht="24" customHeight="1">
      <c r="A123" s="19"/>
      <c r="B123" s="58" t="str">
        <f>IFERROR(VLOOKUP(A:A,'SALDO ATUAL'!$A$3:$E$238,2,0),"")</f>
        <v/>
      </c>
      <c r="C123" s="59" t="str">
        <f>IFERROR(VLOOKUP(A:A,'SALDO ATUAL'!$A$3:$E$238,3,0),"")</f>
        <v/>
      </c>
      <c r="D123" s="59" t="str">
        <f>IFERROR(VLOOKUP(A:A,'SALDO ATUAL'!$A$3:$E$238,4,0),"")</f>
        <v/>
      </c>
      <c r="E123" s="59" t="str">
        <f>IFERROR(VLOOKUP(A:A,'SALDO ATUAL'!$A$3:$E$238,5,0),"")</f>
        <v/>
      </c>
      <c r="F123" s="84" t="str">
        <f>IFERROR(VLOOKUP(A:A,'SALDO ATUAL'!$A$2:$F$238,6,0),"")</f>
        <v/>
      </c>
      <c r="G123" s="85"/>
      <c r="H123" s="59"/>
      <c r="I123" s="86"/>
      <c r="J123" s="87">
        <f ca="1">VALIDADES!$I123-$L$2</f>
        <v>-46126</v>
      </c>
      <c r="K123" s="88"/>
      <c r="L123" s="88"/>
      <c r="M123" s="88"/>
      <c r="N123" s="88"/>
      <c r="O123" s="88"/>
      <c r="P123" s="88"/>
      <c r="Q123" s="88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</row>
    <row r="124" spans="1:32" ht="24" customHeight="1">
      <c r="A124" s="19"/>
      <c r="B124" s="58" t="str">
        <f>IFERROR(VLOOKUP(A:A,'SALDO ATUAL'!$A$3:$E$238,2,0),"")</f>
        <v/>
      </c>
      <c r="C124" s="59" t="str">
        <f>IFERROR(VLOOKUP(A:A,'SALDO ATUAL'!$A$3:$E$238,3,0),"")</f>
        <v/>
      </c>
      <c r="D124" s="59" t="str">
        <f>IFERROR(VLOOKUP(A:A,'SALDO ATUAL'!$A$3:$E$238,4,0),"")</f>
        <v/>
      </c>
      <c r="E124" s="59" t="str">
        <f>IFERROR(VLOOKUP(A:A,'SALDO ATUAL'!$A$3:$E$238,5,0),"")</f>
        <v/>
      </c>
      <c r="F124" s="84" t="str">
        <f>IFERROR(VLOOKUP(A:A,'SALDO ATUAL'!$A$2:$F$238,6,0),"")</f>
        <v/>
      </c>
      <c r="G124" s="85"/>
      <c r="H124" s="59"/>
      <c r="I124" s="86"/>
      <c r="J124" s="87">
        <f ca="1">VALIDADES!$I124-$L$2</f>
        <v>-46126</v>
      </c>
      <c r="K124" s="88"/>
      <c r="L124" s="88"/>
      <c r="M124" s="88"/>
      <c r="N124" s="88"/>
      <c r="O124" s="88"/>
      <c r="P124" s="88"/>
      <c r="Q124" s="88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</row>
    <row r="125" spans="1:32" ht="24" customHeight="1">
      <c r="A125" s="19"/>
      <c r="B125" s="58" t="str">
        <f>IFERROR(VLOOKUP(A:A,'SALDO ATUAL'!$A$3:$E$238,2,0),"")</f>
        <v/>
      </c>
      <c r="C125" s="59" t="str">
        <f>IFERROR(VLOOKUP(A:A,'SALDO ATUAL'!$A$3:$E$238,3,0),"")</f>
        <v/>
      </c>
      <c r="D125" s="59" t="str">
        <f>IFERROR(VLOOKUP(A:A,'SALDO ATUAL'!$A$3:$E$238,4,0),"")</f>
        <v/>
      </c>
      <c r="E125" s="59" t="str">
        <f>IFERROR(VLOOKUP(A:A,'SALDO ATUAL'!$A$3:$E$238,5,0),"")</f>
        <v/>
      </c>
      <c r="F125" s="84" t="str">
        <f>IFERROR(VLOOKUP(A:A,'SALDO ATUAL'!$A$2:$F$238,6,0),"")</f>
        <v/>
      </c>
      <c r="G125" s="85"/>
      <c r="H125" s="59"/>
      <c r="I125" s="86"/>
      <c r="J125" s="87">
        <f ca="1">VALIDADES!$I125-$L$2</f>
        <v>-46126</v>
      </c>
      <c r="K125" s="88"/>
      <c r="L125" s="88"/>
      <c r="M125" s="88"/>
      <c r="N125" s="88"/>
      <c r="O125" s="88"/>
      <c r="P125" s="88"/>
      <c r="Q125" s="88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</row>
    <row r="126" spans="1:32" ht="24" customHeight="1">
      <c r="A126" s="19"/>
      <c r="B126" s="58" t="str">
        <f>IFERROR(VLOOKUP(A:A,'SALDO ATUAL'!$A$3:$E$238,2,0),"")</f>
        <v/>
      </c>
      <c r="C126" s="59" t="str">
        <f>IFERROR(VLOOKUP(A:A,'SALDO ATUAL'!$A$3:$E$238,3,0),"")</f>
        <v/>
      </c>
      <c r="D126" s="59" t="str">
        <f>IFERROR(VLOOKUP(A:A,'SALDO ATUAL'!$A$3:$E$238,4,0),"")</f>
        <v/>
      </c>
      <c r="E126" s="59" t="str">
        <f>IFERROR(VLOOKUP(A:A,'SALDO ATUAL'!$A$3:$E$238,5,0),"")</f>
        <v/>
      </c>
      <c r="F126" s="84" t="str">
        <f>IFERROR(VLOOKUP(A:A,'SALDO ATUAL'!$A$2:$F$238,6,0),"")</f>
        <v/>
      </c>
      <c r="G126" s="85"/>
      <c r="H126" s="59"/>
      <c r="I126" s="86"/>
      <c r="J126" s="87">
        <f ca="1">VALIDADES!$I126-$L$2</f>
        <v>-46126</v>
      </c>
      <c r="K126" s="88"/>
      <c r="L126" s="88"/>
      <c r="M126" s="88"/>
      <c r="N126" s="88"/>
      <c r="O126" s="88"/>
      <c r="P126" s="88"/>
      <c r="Q126" s="88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</row>
    <row r="127" spans="1:32" ht="24" customHeight="1">
      <c r="A127" s="19"/>
      <c r="B127" s="58" t="str">
        <f>IFERROR(VLOOKUP(A:A,'SALDO ATUAL'!$A$3:$E$238,2,0),"")</f>
        <v/>
      </c>
      <c r="C127" s="59" t="str">
        <f>IFERROR(VLOOKUP(A:A,'SALDO ATUAL'!$A$3:$E$238,3,0),"")</f>
        <v/>
      </c>
      <c r="D127" s="59" t="str">
        <f>IFERROR(VLOOKUP(A:A,'SALDO ATUAL'!$A$3:$E$238,4,0),"")</f>
        <v/>
      </c>
      <c r="E127" s="59" t="str">
        <f>IFERROR(VLOOKUP(A:A,'SALDO ATUAL'!$A$3:$E$238,5,0),"")</f>
        <v/>
      </c>
      <c r="F127" s="84" t="str">
        <f>IFERROR(VLOOKUP(A:A,'SALDO ATUAL'!$A$2:$F$238,6,0),"")</f>
        <v/>
      </c>
      <c r="G127" s="85"/>
      <c r="H127" s="59"/>
      <c r="I127" s="86"/>
      <c r="J127" s="87">
        <f ca="1">VALIDADES!$I127-$L$2</f>
        <v>-46126</v>
      </c>
      <c r="K127" s="88"/>
      <c r="L127" s="88"/>
      <c r="M127" s="88"/>
      <c r="N127" s="88"/>
      <c r="O127" s="88"/>
      <c r="P127" s="88"/>
      <c r="Q127" s="88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</row>
    <row r="128" spans="1:32" ht="24" customHeight="1">
      <c r="A128" s="19"/>
      <c r="B128" s="58" t="str">
        <f>IFERROR(VLOOKUP(A:A,'SALDO ATUAL'!$A$3:$E$238,2,0),"")</f>
        <v/>
      </c>
      <c r="C128" s="59" t="str">
        <f>IFERROR(VLOOKUP(A:A,'SALDO ATUAL'!$A$3:$E$238,3,0),"")</f>
        <v/>
      </c>
      <c r="D128" s="59" t="str">
        <f>IFERROR(VLOOKUP(A:A,'SALDO ATUAL'!$A$3:$E$238,4,0),"")</f>
        <v/>
      </c>
      <c r="E128" s="59" t="str">
        <f>IFERROR(VLOOKUP(A:A,'SALDO ATUAL'!$A$3:$E$238,5,0),"")</f>
        <v/>
      </c>
      <c r="F128" s="84" t="str">
        <f>IFERROR(VLOOKUP(A:A,'SALDO ATUAL'!$A$2:$F$238,6,0),"")</f>
        <v/>
      </c>
      <c r="G128" s="85"/>
      <c r="H128" s="59"/>
      <c r="I128" s="86"/>
      <c r="J128" s="87">
        <f ca="1">VALIDADES!$I128-$L$2</f>
        <v>-46126</v>
      </c>
      <c r="K128" s="88"/>
      <c r="L128" s="88"/>
      <c r="M128" s="88"/>
      <c r="N128" s="88"/>
      <c r="O128" s="88"/>
      <c r="P128" s="88"/>
      <c r="Q128" s="88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</row>
    <row r="129" spans="1:32" ht="24" customHeight="1">
      <c r="A129" s="19"/>
      <c r="B129" s="58" t="str">
        <f>IFERROR(VLOOKUP(A:A,'SALDO ATUAL'!$A$3:$E$238,2,0),"")</f>
        <v/>
      </c>
      <c r="C129" s="59" t="str">
        <f>IFERROR(VLOOKUP(A:A,'SALDO ATUAL'!$A$3:$E$238,3,0),"")</f>
        <v/>
      </c>
      <c r="D129" s="59" t="str">
        <f>IFERROR(VLOOKUP(A:A,'SALDO ATUAL'!$A$3:$E$238,4,0),"")</f>
        <v/>
      </c>
      <c r="E129" s="59" t="str">
        <f>IFERROR(VLOOKUP(A:A,'SALDO ATUAL'!$A$3:$E$238,5,0),"")</f>
        <v/>
      </c>
      <c r="F129" s="84" t="str">
        <f>IFERROR(VLOOKUP(A:A,'SALDO ATUAL'!$A$2:$F$238,6,0),"")</f>
        <v/>
      </c>
      <c r="G129" s="85"/>
      <c r="H129" s="59"/>
      <c r="I129" s="86"/>
      <c r="J129" s="87">
        <f ca="1">VALIDADES!$I129-$L$2</f>
        <v>-46126</v>
      </c>
      <c r="K129" s="88"/>
      <c r="L129" s="88"/>
      <c r="M129" s="88"/>
      <c r="N129" s="88"/>
      <c r="O129" s="88"/>
      <c r="P129" s="88"/>
      <c r="Q129" s="88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</row>
    <row r="130" spans="1:32" ht="24" customHeight="1">
      <c r="A130" s="19"/>
      <c r="B130" s="58" t="str">
        <f>IFERROR(VLOOKUP(A:A,'SALDO ATUAL'!$A$3:$E$238,2,0),"")</f>
        <v/>
      </c>
      <c r="C130" s="59" t="str">
        <f>IFERROR(VLOOKUP(A:A,'SALDO ATUAL'!$A$3:$E$238,3,0),"")</f>
        <v/>
      </c>
      <c r="D130" s="59" t="str">
        <f>IFERROR(VLOOKUP(A:A,'SALDO ATUAL'!$A$3:$E$238,4,0),"")</f>
        <v/>
      </c>
      <c r="E130" s="59" t="str">
        <f>IFERROR(VLOOKUP(A:A,'SALDO ATUAL'!$A$3:$E$238,5,0),"")</f>
        <v/>
      </c>
      <c r="F130" s="84" t="str">
        <f>IFERROR(VLOOKUP(A:A,'SALDO ATUAL'!$A$2:$F$238,6,0),"")</f>
        <v/>
      </c>
      <c r="G130" s="85"/>
      <c r="H130" s="59"/>
      <c r="I130" s="86"/>
      <c r="J130" s="87">
        <f ca="1">VALIDADES!$I130-$L$2</f>
        <v>-46126</v>
      </c>
      <c r="K130" s="88"/>
      <c r="L130" s="88"/>
      <c r="M130" s="88"/>
      <c r="N130" s="88"/>
      <c r="O130" s="88"/>
      <c r="P130" s="88"/>
      <c r="Q130" s="88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</row>
    <row r="131" spans="1:32" ht="24" customHeight="1">
      <c r="A131" s="19"/>
      <c r="B131" s="58" t="str">
        <f>IFERROR(VLOOKUP(A:A,'SALDO ATUAL'!$A$3:$E$238,2,0),"")</f>
        <v/>
      </c>
      <c r="C131" s="59" t="str">
        <f>IFERROR(VLOOKUP(A:A,'SALDO ATUAL'!$A$3:$E$238,3,0),"")</f>
        <v/>
      </c>
      <c r="D131" s="59" t="str">
        <f>IFERROR(VLOOKUP(A:A,'SALDO ATUAL'!$A$3:$E$238,4,0),"")</f>
        <v/>
      </c>
      <c r="E131" s="59" t="str">
        <f>IFERROR(VLOOKUP(A:A,'SALDO ATUAL'!$A$3:$E$238,5,0),"")</f>
        <v/>
      </c>
      <c r="F131" s="84" t="str">
        <f>IFERROR(VLOOKUP(A:A,'SALDO ATUAL'!$A$2:$F$238,6,0),"")</f>
        <v/>
      </c>
      <c r="G131" s="85"/>
      <c r="H131" s="59"/>
      <c r="I131" s="86"/>
      <c r="J131" s="87">
        <f ca="1">VALIDADES!$I131-$L$2</f>
        <v>-46126</v>
      </c>
      <c r="K131" s="88"/>
      <c r="L131" s="88"/>
      <c r="M131" s="88"/>
      <c r="N131" s="88"/>
      <c r="O131" s="88"/>
      <c r="P131" s="88"/>
      <c r="Q131" s="88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</row>
    <row r="132" spans="1:32" ht="24" customHeight="1">
      <c r="A132" s="19"/>
      <c r="B132" s="58" t="str">
        <f>IFERROR(VLOOKUP(A:A,'SALDO ATUAL'!$A$3:$E$238,2,0),"")</f>
        <v/>
      </c>
      <c r="C132" s="59" t="str">
        <f>IFERROR(VLOOKUP(A:A,'SALDO ATUAL'!$A$3:$E$238,3,0),"")</f>
        <v/>
      </c>
      <c r="D132" s="59" t="str">
        <f>IFERROR(VLOOKUP(A:A,'SALDO ATUAL'!$A$3:$E$238,4,0),"")</f>
        <v/>
      </c>
      <c r="E132" s="59" t="str">
        <f>IFERROR(VLOOKUP(A:A,'SALDO ATUAL'!$A$3:$E$238,5,0),"")</f>
        <v/>
      </c>
      <c r="F132" s="84" t="str">
        <f>IFERROR(VLOOKUP(A:A,'SALDO ATUAL'!$A$2:$F$238,6,0),"")</f>
        <v/>
      </c>
      <c r="G132" s="85"/>
      <c r="H132" s="59"/>
      <c r="I132" s="86"/>
      <c r="J132" s="87">
        <f ca="1">VALIDADES!$I132-$L$2</f>
        <v>-46126</v>
      </c>
      <c r="K132" s="88"/>
      <c r="L132" s="88"/>
      <c r="M132" s="88"/>
      <c r="N132" s="88"/>
      <c r="O132" s="88"/>
      <c r="P132" s="88"/>
      <c r="Q132" s="88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</row>
    <row r="133" spans="1:32" ht="24" customHeight="1">
      <c r="A133" s="19"/>
      <c r="B133" s="58" t="str">
        <f>IFERROR(VLOOKUP(A:A,'SALDO ATUAL'!$A$3:$E$238,2,0),"")</f>
        <v/>
      </c>
      <c r="C133" s="59" t="str">
        <f>IFERROR(VLOOKUP(A:A,'SALDO ATUAL'!$A$3:$E$238,3,0),"")</f>
        <v/>
      </c>
      <c r="D133" s="59" t="str">
        <f>IFERROR(VLOOKUP(A:A,'SALDO ATUAL'!$A$3:$E$238,4,0),"")</f>
        <v/>
      </c>
      <c r="E133" s="59" t="str">
        <f>IFERROR(VLOOKUP(A:A,'SALDO ATUAL'!$A$3:$E$238,5,0),"")</f>
        <v/>
      </c>
      <c r="F133" s="84" t="str">
        <f>IFERROR(VLOOKUP(A:A,'SALDO ATUAL'!$A$2:$F$238,6,0),"")</f>
        <v/>
      </c>
      <c r="G133" s="85"/>
      <c r="H133" s="59"/>
      <c r="I133" s="86"/>
      <c r="J133" s="87">
        <f ca="1">VALIDADES!$I133-$L$2</f>
        <v>-46126</v>
      </c>
      <c r="K133" s="88"/>
      <c r="L133" s="88"/>
      <c r="M133" s="88"/>
      <c r="N133" s="88"/>
      <c r="O133" s="88"/>
      <c r="P133" s="88"/>
      <c r="Q133" s="88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</row>
    <row r="134" spans="1:32" ht="24" customHeight="1">
      <c r="A134" s="19"/>
      <c r="B134" s="58" t="str">
        <f>IFERROR(VLOOKUP(A:A,'SALDO ATUAL'!$A$3:$E$238,2,0),"")</f>
        <v/>
      </c>
      <c r="C134" s="59" t="str">
        <f>IFERROR(VLOOKUP(A:A,'SALDO ATUAL'!$A$3:$E$238,3,0),"")</f>
        <v/>
      </c>
      <c r="D134" s="59" t="str">
        <f>IFERROR(VLOOKUP(A:A,'SALDO ATUAL'!$A$3:$E$238,4,0),"")</f>
        <v/>
      </c>
      <c r="E134" s="59" t="str">
        <f>IFERROR(VLOOKUP(A:A,'SALDO ATUAL'!$A$3:$E$238,5,0),"")</f>
        <v/>
      </c>
      <c r="F134" s="84" t="str">
        <f>IFERROR(VLOOKUP(A:A,'SALDO ATUAL'!$A$2:$F$238,6,0),"")</f>
        <v/>
      </c>
      <c r="G134" s="85"/>
      <c r="H134" s="59"/>
      <c r="I134" s="86"/>
      <c r="J134" s="87">
        <f ca="1">VALIDADES!$I134-$L$2</f>
        <v>-46126</v>
      </c>
      <c r="K134" s="88"/>
      <c r="L134" s="88"/>
      <c r="M134" s="88"/>
      <c r="N134" s="88"/>
      <c r="O134" s="88"/>
      <c r="P134" s="88"/>
      <c r="Q134" s="88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</row>
    <row r="135" spans="1:32" ht="24" customHeight="1">
      <c r="A135" s="19"/>
      <c r="B135" s="58" t="str">
        <f>IFERROR(VLOOKUP(A:A,'SALDO ATUAL'!$A$3:$E$238,2,0),"")</f>
        <v/>
      </c>
      <c r="C135" s="59" t="str">
        <f>IFERROR(VLOOKUP(A:A,'SALDO ATUAL'!$A$3:$E$238,3,0),"")</f>
        <v/>
      </c>
      <c r="D135" s="59" t="str">
        <f>IFERROR(VLOOKUP(A:A,'SALDO ATUAL'!$A$3:$E$238,4,0),"")</f>
        <v/>
      </c>
      <c r="E135" s="59" t="str">
        <f>IFERROR(VLOOKUP(A:A,'SALDO ATUAL'!$A$3:$E$238,5,0),"")</f>
        <v/>
      </c>
      <c r="F135" s="84" t="str">
        <f>IFERROR(VLOOKUP(A:A,'SALDO ATUAL'!$A$2:$F$238,6,0),"")</f>
        <v/>
      </c>
      <c r="G135" s="85"/>
      <c r="H135" s="59"/>
      <c r="I135" s="86"/>
      <c r="J135" s="87">
        <f ca="1">VALIDADES!$I135-$L$2</f>
        <v>-46126</v>
      </c>
      <c r="K135" s="88"/>
      <c r="L135" s="88"/>
      <c r="M135" s="88"/>
      <c r="N135" s="88"/>
      <c r="O135" s="88"/>
      <c r="P135" s="88"/>
      <c r="Q135" s="88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</row>
    <row r="136" spans="1:32" ht="24" customHeight="1">
      <c r="A136" s="19"/>
      <c r="B136" s="58" t="str">
        <f>IFERROR(VLOOKUP(A:A,'SALDO ATUAL'!$A$3:$E$238,2,0),"")</f>
        <v/>
      </c>
      <c r="C136" s="59" t="str">
        <f>IFERROR(VLOOKUP(A:A,'SALDO ATUAL'!$A$3:$E$238,3,0),"")</f>
        <v/>
      </c>
      <c r="D136" s="59" t="str">
        <f>IFERROR(VLOOKUP(A:A,'SALDO ATUAL'!$A$3:$E$238,4,0),"")</f>
        <v/>
      </c>
      <c r="E136" s="59" t="str">
        <f>IFERROR(VLOOKUP(A:A,'SALDO ATUAL'!$A$3:$E$238,5,0),"")</f>
        <v/>
      </c>
      <c r="F136" s="84" t="str">
        <f>IFERROR(VLOOKUP(A:A,'SALDO ATUAL'!$A$2:$F$238,6,0),"")</f>
        <v/>
      </c>
      <c r="G136" s="85"/>
      <c r="H136" s="59"/>
      <c r="I136" s="86"/>
      <c r="J136" s="87">
        <f ca="1">VALIDADES!$I136-$L$2</f>
        <v>-46126</v>
      </c>
      <c r="K136" s="88"/>
      <c r="L136" s="88"/>
      <c r="M136" s="88"/>
      <c r="N136" s="88"/>
      <c r="O136" s="88"/>
      <c r="P136" s="88"/>
      <c r="Q136" s="88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</row>
    <row r="137" spans="1:32" ht="24" customHeight="1">
      <c r="A137" s="19"/>
      <c r="B137" s="58" t="str">
        <f>IFERROR(VLOOKUP(A:A,'SALDO ATUAL'!$A$3:$E$238,2,0),"")</f>
        <v/>
      </c>
      <c r="C137" s="59" t="str">
        <f>IFERROR(VLOOKUP(A:A,'SALDO ATUAL'!$A$3:$E$238,3,0),"")</f>
        <v/>
      </c>
      <c r="D137" s="59" t="str">
        <f>IFERROR(VLOOKUP(A:A,'SALDO ATUAL'!$A$3:$E$238,4,0),"")</f>
        <v/>
      </c>
      <c r="E137" s="59" t="str">
        <f>IFERROR(VLOOKUP(A:A,'SALDO ATUAL'!$A$3:$E$238,5,0),"")</f>
        <v/>
      </c>
      <c r="F137" s="84" t="str">
        <f>IFERROR(VLOOKUP(A:A,'SALDO ATUAL'!$A$2:$F$238,6,0),"")</f>
        <v/>
      </c>
      <c r="G137" s="85"/>
      <c r="H137" s="59"/>
      <c r="I137" s="86"/>
      <c r="J137" s="87">
        <f ca="1">VALIDADES!$I137-$L$2</f>
        <v>-46126</v>
      </c>
      <c r="K137" s="88"/>
      <c r="L137" s="88"/>
      <c r="M137" s="88"/>
      <c r="N137" s="88"/>
      <c r="O137" s="88"/>
      <c r="P137" s="88"/>
      <c r="Q137" s="88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</row>
    <row r="138" spans="1:32" ht="24" customHeight="1">
      <c r="A138" s="19"/>
      <c r="B138" s="58" t="str">
        <f>IFERROR(VLOOKUP(A:A,'SALDO ATUAL'!$A$3:$E$238,2,0),"")</f>
        <v/>
      </c>
      <c r="C138" s="59" t="str">
        <f>IFERROR(VLOOKUP(A:A,'SALDO ATUAL'!$A$3:$E$238,3,0),"")</f>
        <v/>
      </c>
      <c r="D138" s="59" t="str">
        <f>IFERROR(VLOOKUP(A:A,'SALDO ATUAL'!$A$3:$E$238,4,0),"")</f>
        <v/>
      </c>
      <c r="E138" s="59" t="str">
        <f>IFERROR(VLOOKUP(A:A,'SALDO ATUAL'!$A$3:$E$238,5,0),"")</f>
        <v/>
      </c>
      <c r="F138" s="84" t="str">
        <f>IFERROR(VLOOKUP(A:A,'SALDO ATUAL'!$A$2:$F$238,6,0),"")</f>
        <v/>
      </c>
      <c r="G138" s="85"/>
      <c r="H138" s="59"/>
      <c r="I138" s="86"/>
      <c r="J138" s="87">
        <f ca="1">VALIDADES!$I138-$L$2</f>
        <v>-46126</v>
      </c>
      <c r="K138" s="88"/>
      <c r="L138" s="88"/>
      <c r="M138" s="88"/>
      <c r="N138" s="88"/>
      <c r="O138" s="88"/>
      <c r="P138" s="88"/>
      <c r="Q138" s="88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</row>
    <row r="139" spans="1:32" ht="24" customHeight="1">
      <c r="A139" s="19"/>
      <c r="B139" s="58" t="str">
        <f>IFERROR(VLOOKUP(A:A,'SALDO ATUAL'!$A$3:$E$238,2,0),"")</f>
        <v/>
      </c>
      <c r="C139" s="59" t="str">
        <f>IFERROR(VLOOKUP(A:A,'SALDO ATUAL'!$A$3:$E$238,3,0),"")</f>
        <v/>
      </c>
      <c r="D139" s="59" t="str">
        <f>IFERROR(VLOOKUP(A:A,'SALDO ATUAL'!$A$3:$E$238,4,0),"")</f>
        <v/>
      </c>
      <c r="E139" s="59" t="str">
        <f>IFERROR(VLOOKUP(A:A,'SALDO ATUAL'!$A$3:$E$238,5,0),"")</f>
        <v/>
      </c>
      <c r="F139" s="84" t="str">
        <f>IFERROR(VLOOKUP(A:A,'SALDO ATUAL'!$A$2:$F$238,6,0),"")</f>
        <v/>
      </c>
      <c r="G139" s="85"/>
      <c r="H139" s="59"/>
      <c r="I139" s="86"/>
      <c r="J139" s="87">
        <f ca="1">VALIDADES!$I139-$L$2</f>
        <v>-46126</v>
      </c>
      <c r="K139" s="88"/>
      <c r="L139" s="88"/>
      <c r="M139" s="88"/>
      <c r="N139" s="88"/>
      <c r="O139" s="88"/>
      <c r="P139" s="88"/>
      <c r="Q139" s="88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</row>
    <row r="140" spans="1:32" ht="24" customHeight="1">
      <c r="A140" s="19"/>
      <c r="B140" s="58" t="str">
        <f>IFERROR(VLOOKUP(A:A,'SALDO ATUAL'!$A$3:$E$238,2,0),"")</f>
        <v/>
      </c>
      <c r="C140" s="59" t="str">
        <f>IFERROR(VLOOKUP(A:A,'SALDO ATUAL'!$A$3:$E$238,3,0),"")</f>
        <v/>
      </c>
      <c r="D140" s="59" t="str">
        <f>IFERROR(VLOOKUP(A:A,'SALDO ATUAL'!$A$3:$E$238,4,0),"")</f>
        <v/>
      </c>
      <c r="E140" s="59" t="str">
        <f>IFERROR(VLOOKUP(A:A,'SALDO ATUAL'!$A$3:$E$238,5,0),"")</f>
        <v/>
      </c>
      <c r="F140" s="84" t="str">
        <f>IFERROR(VLOOKUP(A:A,'SALDO ATUAL'!$A$2:$F$238,6,0),"")</f>
        <v/>
      </c>
      <c r="G140" s="85"/>
      <c r="H140" s="59"/>
      <c r="I140" s="86"/>
      <c r="J140" s="87">
        <f ca="1">VALIDADES!$I140-$L$2</f>
        <v>-46126</v>
      </c>
      <c r="K140" s="88"/>
      <c r="L140" s="88"/>
      <c r="M140" s="88"/>
      <c r="N140" s="88"/>
      <c r="O140" s="88"/>
      <c r="P140" s="88"/>
      <c r="Q140" s="88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</row>
    <row r="141" spans="1:32" ht="24" customHeight="1">
      <c r="A141" s="19"/>
      <c r="B141" s="58" t="str">
        <f>IFERROR(VLOOKUP(A:A,'SALDO ATUAL'!$A$3:$E$238,2,0),"")</f>
        <v/>
      </c>
      <c r="C141" s="59" t="str">
        <f>IFERROR(VLOOKUP(A:A,'SALDO ATUAL'!$A$3:$E$238,3,0),"")</f>
        <v/>
      </c>
      <c r="D141" s="59" t="str">
        <f>IFERROR(VLOOKUP(A:A,'SALDO ATUAL'!$A$3:$E$238,4,0),"")</f>
        <v/>
      </c>
      <c r="E141" s="59" t="str">
        <f>IFERROR(VLOOKUP(A:A,'SALDO ATUAL'!$A$3:$E$238,5,0),"")</f>
        <v/>
      </c>
      <c r="F141" s="84" t="str">
        <f>IFERROR(VLOOKUP(A:A,'SALDO ATUAL'!$A$2:$F$238,6,0),"")</f>
        <v/>
      </c>
      <c r="G141" s="85"/>
      <c r="H141" s="59"/>
      <c r="I141" s="86"/>
      <c r="J141" s="87">
        <f ca="1">VALIDADES!$I141-$L$2</f>
        <v>-46126</v>
      </c>
      <c r="K141" s="88"/>
      <c r="L141" s="88"/>
      <c r="M141" s="88"/>
      <c r="N141" s="88"/>
      <c r="O141" s="88"/>
      <c r="P141" s="88"/>
      <c r="Q141" s="88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</row>
    <row r="142" spans="1:32" ht="24" customHeight="1">
      <c r="A142" s="19"/>
      <c r="B142" s="58" t="str">
        <f>IFERROR(VLOOKUP(A:A,'SALDO ATUAL'!$A$3:$E$238,2,0),"")</f>
        <v/>
      </c>
      <c r="C142" s="59" t="str">
        <f>IFERROR(VLOOKUP(A:A,'SALDO ATUAL'!$A$3:$E$238,3,0),"")</f>
        <v/>
      </c>
      <c r="D142" s="59" t="str">
        <f>IFERROR(VLOOKUP(A:A,'SALDO ATUAL'!$A$3:$E$238,4,0),"")</f>
        <v/>
      </c>
      <c r="E142" s="59" t="str">
        <f>IFERROR(VLOOKUP(A:A,'SALDO ATUAL'!$A$3:$E$238,5,0),"")</f>
        <v/>
      </c>
      <c r="F142" s="84" t="str">
        <f>IFERROR(VLOOKUP(A:A,'SALDO ATUAL'!$A$2:$F$238,6,0),"")</f>
        <v/>
      </c>
      <c r="G142" s="85"/>
      <c r="H142" s="59"/>
      <c r="I142" s="86"/>
      <c r="J142" s="87">
        <f ca="1">VALIDADES!$I142-$L$2</f>
        <v>-46126</v>
      </c>
      <c r="K142" s="88"/>
      <c r="L142" s="88"/>
      <c r="M142" s="88"/>
      <c r="N142" s="88"/>
      <c r="O142" s="88"/>
      <c r="P142" s="88"/>
      <c r="Q142" s="88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</row>
    <row r="143" spans="1:32" ht="24" customHeight="1">
      <c r="A143" s="19"/>
      <c r="B143" s="58" t="str">
        <f>IFERROR(VLOOKUP(A:A,'SALDO ATUAL'!$A$3:$E$238,2,0),"")</f>
        <v/>
      </c>
      <c r="C143" s="59" t="str">
        <f>IFERROR(VLOOKUP(A:A,'SALDO ATUAL'!$A$3:$E$238,3,0),"")</f>
        <v/>
      </c>
      <c r="D143" s="59" t="str">
        <f>IFERROR(VLOOKUP(A:A,'SALDO ATUAL'!$A$3:$E$238,4,0),"")</f>
        <v/>
      </c>
      <c r="E143" s="59" t="str">
        <f>IFERROR(VLOOKUP(A:A,'SALDO ATUAL'!$A$3:$E$238,5,0),"")</f>
        <v/>
      </c>
      <c r="F143" s="84" t="str">
        <f>IFERROR(VLOOKUP(A:A,'SALDO ATUAL'!$A$2:$F$238,6,0),"")</f>
        <v/>
      </c>
      <c r="G143" s="85"/>
      <c r="H143" s="59"/>
      <c r="I143" s="86"/>
      <c r="J143" s="87">
        <f ca="1">VALIDADES!$I143-$L$2</f>
        <v>-46126</v>
      </c>
      <c r="K143" s="88"/>
      <c r="L143" s="88"/>
      <c r="M143" s="88"/>
      <c r="N143" s="88"/>
      <c r="O143" s="88"/>
      <c r="P143" s="88"/>
      <c r="Q143" s="88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</row>
    <row r="144" spans="1:32" ht="24" customHeight="1">
      <c r="A144" s="19"/>
      <c r="B144" s="58" t="str">
        <f>IFERROR(VLOOKUP(A:A,'SALDO ATUAL'!$A$3:$E$238,2,0),"")</f>
        <v/>
      </c>
      <c r="C144" s="59" t="str">
        <f>IFERROR(VLOOKUP(A:A,'SALDO ATUAL'!$A$3:$E$238,3,0),"")</f>
        <v/>
      </c>
      <c r="D144" s="59" t="str">
        <f>IFERROR(VLOOKUP(A:A,'SALDO ATUAL'!$A$3:$E$238,4,0),"")</f>
        <v/>
      </c>
      <c r="E144" s="59" t="str">
        <f>IFERROR(VLOOKUP(A:A,'SALDO ATUAL'!$A$3:$E$238,5,0),"")</f>
        <v/>
      </c>
      <c r="F144" s="84" t="str">
        <f>IFERROR(VLOOKUP(A:A,'SALDO ATUAL'!$A$2:$F$238,6,0),"")</f>
        <v/>
      </c>
      <c r="G144" s="85"/>
      <c r="H144" s="59"/>
      <c r="I144" s="86"/>
      <c r="J144" s="87">
        <f ca="1">VALIDADES!$I144-$L$2</f>
        <v>-46126</v>
      </c>
      <c r="K144" s="88"/>
      <c r="L144" s="88"/>
      <c r="M144" s="88"/>
      <c r="N144" s="88"/>
      <c r="O144" s="88"/>
      <c r="P144" s="88"/>
      <c r="Q144" s="88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</row>
    <row r="145" spans="1:32" ht="24" customHeight="1">
      <c r="A145" s="19"/>
      <c r="B145" s="58" t="str">
        <f>IFERROR(VLOOKUP(A:A,'SALDO ATUAL'!$A$3:$E$238,2,0),"")</f>
        <v/>
      </c>
      <c r="C145" s="59" t="str">
        <f>IFERROR(VLOOKUP(A:A,'SALDO ATUAL'!$A$3:$E$238,3,0),"")</f>
        <v/>
      </c>
      <c r="D145" s="59" t="str">
        <f>IFERROR(VLOOKUP(A:A,'SALDO ATUAL'!$A$3:$E$238,4,0),"")</f>
        <v/>
      </c>
      <c r="E145" s="59" t="str">
        <f>IFERROR(VLOOKUP(A:A,'SALDO ATUAL'!$A$3:$E$238,5,0),"")</f>
        <v/>
      </c>
      <c r="F145" s="84" t="str">
        <f>IFERROR(VLOOKUP(A:A,'SALDO ATUAL'!$A$2:$F$238,6,0),"")</f>
        <v/>
      </c>
      <c r="G145" s="85"/>
      <c r="H145" s="59"/>
      <c r="I145" s="86"/>
      <c r="J145" s="87">
        <f ca="1">VALIDADES!$I145-$L$2</f>
        <v>-46126</v>
      </c>
      <c r="K145" s="88"/>
      <c r="L145" s="88"/>
      <c r="M145" s="88"/>
      <c r="N145" s="88"/>
      <c r="O145" s="88"/>
      <c r="P145" s="88"/>
      <c r="Q145" s="88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</row>
    <row r="146" spans="1:32" ht="24" customHeight="1">
      <c r="A146" s="19"/>
      <c r="B146" s="58" t="str">
        <f>IFERROR(VLOOKUP(A:A,'SALDO ATUAL'!$A$3:$E$238,2,0),"")</f>
        <v/>
      </c>
      <c r="C146" s="59" t="str">
        <f>IFERROR(VLOOKUP(A:A,'SALDO ATUAL'!$A$3:$E$238,3,0),"")</f>
        <v/>
      </c>
      <c r="D146" s="59" t="str">
        <f>IFERROR(VLOOKUP(A:A,'SALDO ATUAL'!$A$3:$E$238,4,0),"")</f>
        <v/>
      </c>
      <c r="E146" s="59" t="str">
        <f>IFERROR(VLOOKUP(A:A,'SALDO ATUAL'!$A$3:$E$238,5,0),"")</f>
        <v/>
      </c>
      <c r="F146" s="84" t="str">
        <f>IFERROR(VLOOKUP(A:A,'SALDO ATUAL'!$A$2:$F$238,6,0),"")</f>
        <v/>
      </c>
      <c r="G146" s="85"/>
      <c r="H146" s="59"/>
      <c r="I146" s="86"/>
      <c r="J146" s="87">
        <f ca="1">VALIDADES!$I146-$L$2</f>
        <v>-46126</v>
      </c>
      <c r="K146" s="88"/>
      <c r="L146" s="88"/>
      <c r="M146" s="88"/>
      <c r="N146" s="88"/>
      <c r="O146" s="88"/>
      <c r="P146" s="88"/>
      <c r="Q146" s="88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</row>
    <row r="147" spans="1:32" ht="24" customHeight="1">
      <c r="A147" s="19"/>
      <c r="B147" s="58" t="str">
        <f>IFERROR(VLOOKUP(A:A,'SALDO ATUAL'!$A$3:$E$238,2,0),"")</f>
        <v/>
      </c>
      <c r="C147" s="59" t="str">
        <f>IFERROR(VLOOKUP(A:A,'SALDO ATUAL'!$A$3:$E$238,3,0),"")</f>
        <v/>
      </c>
      <c r="D147" s="59" t="str">
        <f>IFERROR(VLOOKUP(A:A,'SALDO ATUAL'!$A$3:$E$238,4,0),"")</f>
        <v/>
      </c>
      <c r="E147" s="59" t="str">
        <f>IFERROR(VLOOKUP(A:A,'SALDO ATUAL'!$A$3:$E$238,5,0),"")</f>
        <v/>
      </c>
      <c r="F147" s="84" t="str">
        <f>IFERROR(VLOOKUP(A:A,'SALDO ATUAL'!$A$2:$F$238,6,0),"")</f>
        <v/>
      </c>
      <c r="G147" s="85"/>
      <c r="H147" s="59"/>
      <c r="I147" s="86"/>
      <c r="J147" s="87">
        <f ca="1">VALIDADES!$I147-$L$2</f>
        <v>-46126</v>
      </c>
      <c r="K147" s="88"/>
      <c r="L147" s="88"/>
      <c r="M147" s="88"/>
      <c r="N147" s="88"/>
      <c r="O147" s="88"/>
      <c r="P147" s="88"/>
      <c r="Q147" s="88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</row>
    <row r="148" spans="1:32" ht="24" customHeight="1">
      <c r="A148" s="19"/>
      <c r="B148" s="58" t="str">
        <f>IFERROR(VLOOKUP(A:A,'SALDO ATUAL'!$A$3:$E$238,2,0),"")</f>
        <v/>
      </c>
      <c r="C148" s="59" t="str">
        <f>IFERROR(VLOOKUP(A:A,'SALDO ATUAL'!$A$3:$E$238,3,0),"")</f>
        <v/>
      </c>
      <c r="D148" s="59" t="str">
        <f>IFERROR(VLOOKUP(A:A,'SALDO ATUAL'!$A$3:$E$238,4,0),"")</f>
        <v/>
      </c>
      <c r="E148" s="59" t="str">
        <f>IFERROR(VLOOKUP(A:A,'SALDO ATUAL'!$A$3:$E$238,5,0),"")</f>
        <v/>
      </c>
      <c r="F148" s="84" t="str">
        <f>IFERROR(VLOOKUP(A:A,'SALDO ATUAL'!$A$2:$F$238,6,0),"")</f>
        <v/>
      </c>
      <c r="G148" s="85"/>
      <c r="H148" s="59"/>
      <c r="I148" s="86"/>
      <c r="J148" s="87">
        <f ca="1">VALIDADES!$I148-$L$2</f>
        <v>-46126</v>
      </c>
      <c r="K148" s="88"/>
      <c r="L148" s="88"/>
      <c r="M148" s="88"/>
      <c r="N148" s="88"/>
      <c r="O148" s="88"/>
      <c r="P148" s="88"/>
      <c r="Q148" s="88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</row>
    <row r="149" spans="1:32" ht="24" customHeight="1">
      <c r="A149" s="19"/>
      <c r="B149" s="58" t="str">
        <f>IFERROR(VLOOKUP(A:A,'SALDO ATUAL'!$A$3:$E$238,2,0),"")</f>
        <v/>
      </c>
      <c r="C149" s="59" t="str">
        <f>IFERROR(VLOOKUP(A:A,'SALDO ATUAL'!$A$3:$E$238,3,0),"")</f>
        <v/>
      </c>
      <c r="D149" s="59" t="str">
        <f>IFERROR(VLOOKUP(A:A,'SALDO ATUAL'!$A$3:$E$238,4,0),"")</f>
        <v/>
      </c>
      <c r="E149" s="59" t="str">
        <f>IFERROR(VLOOKUP(A:A,'SALDO ATUAL'!$A$3:$E$238,5,0),"")</f>
        <v/>
      </c>
      <c r="F149" s="84" t="str">
        <f>IFERROR(VLOOKUP(A:A,'SALDO ATUAL'!$A$2:$F$238,6,0),"")</f>
        <v/>
      </c>
      <c r="G149" s="85"/>
      <c r="H149" s="59"/>
      <c r="I149" s="86"/>
      <c r="J149" s="87">
        <f ca="1">VALIDADES!$I149-$L$2</f>
        <v>-46126</v>
      </c>
      <c r="K149" s="88"/>
      <c r="L149" s="88"/>
      <c r="M149" s="88"/>
      <c r="N149" s="88"/>
      <c r="O149" s="88"/>
      <c r="P149" s="88"/>
      <c r="Q149" s="88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</row>
    <row r="150" spans="1:32" ht="24" customHeight="1">
      <c r="A150" s="19"/>
      <c r="B150" s="58" t="str">
        <f>IFERROR(VLOOKUP(A:A,'SALDO ATUAL'!$A$3:$E$238,2,0),"")</f>
        <v/>
      </c>
      <c r="C150" s="59" t="str">
        <f>IFERROR(VLOOKUP(A:A,'SALDO ATUAL'!$A$3:$E$238,3,0),"")</f>
        <v/>
      </c>
      <c r="D150" s="59" t="str">
        <f>IFERROR(VLOOKUP(A:A,'SALDO ATUAL'!$A$3:$E$238,4,0),"")</f>
        <v/>
      </c>
      <c r="E150" s="59" t="str">
        <f>IFERROR(VLOOKUP(A:A,'SALDO ATUAL'!$A$3:$E$238,5,0),"")</f>
        <v/>
      </c>
      <c r="F150" s="84" t="str">
        <f>IFERROR(VLOOKUP(A:A,'SALDO ATUAL'!$A$2:$F$238,6,0),"")</f>
        <v/>
      </c>
      <c r="G150" s="85"/>
      <c r="H150" s="59"/>
      <c r="I150" s="86"/>
      <c r="J150" s="87">
        <f ca="1">VALIDADES!$I150-$L$2</f>
        <v>-46126</v>
      </c>
      <c r="K150" s="88"/>
      <c r="L150" s="88"/>
      <c r="M150" s="88"/>
      <c r="N150" s="88"/>
      <c r="O150" s="88"/>
      <c r="P150" s="88"/>
      <c r="Q150" s="88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</row>
    <row r="151" spans="1:32" ht="24" customHeight="1">
      <c r="A151" s="19"/>
      <c r="B151" s="58" t="str">
        <f>IFERROR(VLOOKUP(A:A,'SALDO ATUAL'!$A$3:$E$238,2,0),"")</f>
        <v/>
      </c>
      <c r="C151" s="59" t="str">
        <f>IFERROR(VLOOKUP(A:A,'SALDO ATUAL'!$A$3:$E$238,3,0),"")</f>
        <v/>
      </c>
      <c r="D151" s="59" t="str">
        <f>IFERROR(VLOOKUP(A:A,'SALDO ATUAL'!$A$3:$E$238,4,0),"")</f>
        <v/>
      </c>
      <c r="E151" s="59" t="str">
        <f>IFERROR(VLOOKUP(A:A,'SALDO ATUAL'!$A$3:$E$238,5,0),"")</f>
        <v/>
      </c>
      <c r="F151" s="84" t="str">
        <f>IFERROR(VLOOKUP(A:A,'SALDO ATUAL'!$A$2:$F$238,6,0),"")</f>
        <v/>
      </c>
      <c r="G151" s="85"/>
      <c r="H151" s="59"/>
      <c r="I151" s="86"/>
      <c r="J151" s="87">
        <f ca="1">VALIDADES!$I151-$L$2</f>
        <v>-46126</v>
      </c>
      <c r="K151" s="88"/>
      <c r="L151" s="88"/>
      <c r="M151" s="88"/>
      <c r="N151" s="88"/>
      <c r="O151" s="88"/>
      <c r="P151" s="88"/>
      <c r="Q151" s="88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</row>
    <row r="152" spans="1:32" ht="24" customHeight="1">
      <c r="A152" s="19"/>
      <c r="B152" s="58" t="str">
        <f>IFERROR(VLOOKUP(A:A,'SALDO ATUAL'!$A$3:$E$238,2,0),"")</f>
        <v/>
      </c>
      <c r="C152" s="59" t="str">
        <f>IFERROR(VLOOKUP(A:A,'SALDO ATUAL'!$A$3:$E$238,3,0),"")</f>
        <v/>
      </c>
      <c r="D152" s="59" t="str">
        <f>IFERROR(VLOOKUP(A:A,'SALDO ATUAL'!$A$3:$E$238,4,0),"")</f>
        <v/>
      </c>
      <c r="E152" s="59" t="str">
        <f>IFERROR(VLOOKUP(A:A,'SALDO ATUAL'!$A$3:$E$238,5,0),"")</f>
        <v/>
      </c>
      <c r="F152" s="84" t="str">
        <f>IFERROR(VLOOKUP(A:A,'SALDO ATUAL'!$A$2:$F$238,6,0),"")</f>
        <v/>
      </c>
      <c r="G152" s="85"/>
      <c r="H152" s="59"/>
      <c r="I152" s="86"/>
      <c r="J152" s="87">
        <f ca="1">VALIDADES!$I152-$L$2</f>
        <v>-46126</v>
      </c>
      <c r="K152" s="88"/>
      <c r="L152" s="88"/>
      <c r="M152" s="88"/>
      <c r="N152" s="88"/>
      <c r="O152" s="88"/>
      <c r="P152" s="88"/>
      <c r="Q152" s="88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</row>
    <row r="153" spans="1:32" ht="24" customHeight="1">
      <c r="A153" s="19"/>
      <c r="B153" s="58" t="str">
        <f>IFERROR(VLOOKUP(A:A,'SALDO ATUAL'!$A$3:$E$238,2,0),"")</f>
        <v/>
      </c>
      <c r="C153" s="59" t="str">
        <f>IFERROR(VLOOKUP(A:A,'SALDO ATUAL'!$A$3:$E$238,3,0),"")</f>
        <v/>
      </c>
      <c r="D153" s="59" t="str">
        <f>IFERROR(VLOOKUP(A:A,'SALDO ATUAL'!$A$3:$E$238,4,0),"")</f>
        <v/>
      </c>
      <c r="E153" s="59" t="str">
        <f>IFERROR(VLOOKUP(A:A,'SALDO ATUAL'!$A$3:$E$238,5,0),"")</f>
        <v/>
      </c>
      <c r="F153" s="84" t="str">
        <f>IFERROR(VLOOKUP(A:A,'SALDO ATUAL'!$A$2:$F$238,6,0),"")</f>
        <v/>
      </c>
      <c r="G153" s="85"/>
      <c r="H153" s="59"/>
      <c r="I153" s="86"/>
      <c r="J153" s="87">
        <f ca="1">VALIDADES!$I153-$L$2</f>
        <v>-46126</v>
      </c>
      <c r="K153" s="88"/>
      <c r="L153" s="88"/>
      <c r="M153" s="88"/>
      <c r="N153" s="88"/>
      <c r="O153" s="88"/>
      <c r="P153" s="88"/>
      <c r="Q153" s="88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</row>
    <row r="154" spans="1:32" ht="24" customHeight="1">
      <c r="A154" s="19"/>
      <c r="B154" s="58" t="str">
        <f>IFERROR(VLOOKUP(A:A,'SALDO ATUAL'!$A$3:$E$238,2,0),"")</f>
        <v/>
      </c>
      <c r="C154" s="59" t="str">
        <f>IFERROR(VLOOKUP(A:A,'SALDO ATUAL'!$A$3:$E$238,3,0),"")</f>
        <v/>
      </c>
      <c r="D154" s="59" t="str">
        <f>IFERROR(VLOOKUP(A:A,'SALDO ATUAL'!$A$3:$E$238,4,0),"")</f>
        <v/>
      </c>
      <c r="E154" s="59" t="str">
        <f>IFERROR(VLOOKUP(A:A,'SALDO ATUAL'!$A$3:$E$238,5,0),"")</f>
        <v/>
      </c>
      <c r="F154" s="84" t="str">
        <f>IFERROR(VLOOKUP(A:A,'SALDO ATUAL'!$A$2:$F$238,6,0),"")</f>
        <v/>
      </c>
      <c r="G154" s="85"/>
      <c r="H154" s="59"/>
      <c r="I154" s="86"/>
      <c r="J154" s="87">
        <f ca="1">VALIDADES!$I154-$L$2</f>
        <v>-46126</v>
      </c>
      <c r="K154" s="88"/>
      <c r="L154" s="88"/>
      <c r="M154" s="88"/>
      <c r="N154" s="88"/>
      <c r="O154" s="88"/>
      <c r="P154" s="88"/>
      <c r="Q154" s="88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</row>
    <row r="155" spans="1:32" ht="24" customHeight="1">
      <c r="A155" s="19"/>
      <c r="B155" s="58" t="str">
        <f>IFERROR(VLOOKUP(A:A,'SALDO ATUAL'!$A$3:$E$238,2,0),"")</f>
        <v/>
      </c>
      <c r="C155" s="59" t="str">
        <f>IFERROR(VLOOKUP(A:A,'SALDO ATUAL'!$A$3:$E$238,3,0),"")</f>
        <v/>
      </c>
      <c r="D155" s="59" t="str">
        <f>IFERROR(VLOOKUP(A:A,'SALDO ATUAL'!$A$3:$E$238,4,0),"")</f>
        <v/>
      </c>
      <c r="E155" s="59" t="str">
        <f>IFERROR(VLOOKUP(A:A,'SALDO ATUAL'!$A$3:$E$238,5,0),"")</f>
        <v/>
      </c>
      <c r="F155" s="84" t="str">
        <f>IFERROR(VLOOKUP(A:A,'SALDO ATUAL'!$A$2:$F$238,6,0),"")</f>
        <v/>
      </c>
      <c r="G155" s="85"/>
      <c r="H155" s="59"/>
      <c r="I155" s="86"/>
      <c r="J155" s="87">
        <f ca="1">VALIDADES!$I155-$L$2</f>
        <v>-46126</v>
      </c>
      <c r="K155" s="88"/>
      <c r="L155" s="88"/>
      <c r="M155" s="88"/>
      <c r="N155" s="88"/>
      <c r="O155" s="88"/>
      <c r="P155" s="88"/>
      <c r="Q155" s="88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</row>
    <row r="156" spans="1:32" ht="24" customHeight="1">
      <c r="A156" s="19"/>
      <c r="B156" s="58" t="str">
        <f>IFERROR(VLOOKUP(A:A,'SALDO ATUAL'!$A$3:$E$238,2,0),"")</f>
        <v/>
      </c>
      <c r="C156" s="59" t="str">
        <f>IFERROR(VLOOKUP(A:A,'SALDO ATUAL'!$A$3:$E$238,3,0),"")</f>
        <v/>
      </c>
      <c r="D156" s="59" t="str">
        <f>IFERROR(VLOOKUP(A:A,'SALDO ATUAL'!$A$3:$E$238,4,0),"")</f>
        <v/>
      </c>
      <c r="E156" s="59" t="str">
        <f>IFERROR(VLOOKUP(A:A,'SALDO ATUAL'!$A$3:$E$238,5,0),"")</f>
        <v/>
      </c>
      <c r="F156" s="84" t="str">
        <f>IFERROR(VLOOKUP(A:A,'SALDO ATUAL'!$A$2:$F$238,6,0),"")</f>
        <v/>
      </c>
      <c r="G156" s="85"/>
      <c r="H156" s="59"/>
      <c r="I156" s="86"/>
      <c r="J156" s="87">
        <f ca="1">VALIDADES!$I156-$L$2</f>
        <v>-46126</v>
      </c>
      <c r="K156" s="88"/>
      <c r="L156" s="88"/>
      <c r="M156" s="88"/>
      <c r="N156" s="88"/>
      <c r="O156" s="88"/>
      <c r="P156" s="88"/>
      <c r="Q156" s="88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</row>
    <row r="157" spans="1:32" ht="24" customHeight="1">
      <c r="A157" s="19"/>
      <c r="B157" s="58" t="str">
        <f>IFERROR(VLOOKUP(A:A,'SALDO ATUAL'!$A$3:$E$238,2,0),"")</f>
        <v/>
      </c>
      <c r="C157" s="59" t="str">
        <f>IFERROR(VLOOKUP(A:A,'SALDO ATUAL'!$A$3:$E$238,3,0),"")</f>
        <v/>
      </c>
      <c r="D157" s="59" t="str">
        <f>IFERROR(VLOOKUP(A:A,'SALDO ATUAL'!$A$3:$E$238,4,0),"")</f>
        <v/>
      </c>
      <c r="E157" s="59" t="str">
        <f>IFERROR(VLOOKUP(A:A,'SALDO ATUAL'!$A$3:$E$238,5,0),"")</f>
        <v/>
      </c>
      <c r="F157" s="84" t="str">
        <f>IFERROR(VLOOKUP(A:A,'SALDO ATUAL'!$A$2:$F$238,6,0),"")</f>
        <v/>
      </c>
      <c r="G157" s="85"/>
      <c r="H157" s="59"/>
      <c r="I157" s="86"/>
      <c r="J157" s="87">
        <f ca="1">VALIDADES!$I157-$L$2</f>
        <v>-46126</v>
      </c>
      <c r="K157" s="88"/>
      <c r="L157" s="88"/>
      <c r="M157" s="88"/>
      <c r="N157" s="88"/>
      <c r="O157" s="88"/>
      <c r="P157" s="88"/>
      <c r="Q157" s="88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</row>
    <row r="158" spans="1:32" ht="24" customHeight="1">
      <c r="A158" s="19"/>
      <c r="B158" s="58" t="str">
        <f>IFERROR(VLOOKUP(A:A,'SALDO ATUAL'!$A$3:$E$238,2,0),"")</f>
        <v/>
      </c>
      <c r="C158" s="59" t="str">
        <f>IFERROR(VLOOKUP(A:A,'SALDO ATUAL'!$A$3:$E$238,3,0),"")</f>
        <v/>
      </c>
      <c r="D158" s="59" t="str">
        <f>IFERROR(VLOOKUP(A:A,'SALDO ATUAL'!$A$3:$E$238,4,0),"")</f>
        <v/>
      </c>
      <c r="E158" s="59" t="str">
        <f>IFERROR(VLOOKUP(A:A,'SALDO ATUAL'!$A$3:$E$238,5,0),"")</f>
        <v/>
      </c>
      <c r="F158" s="84" t="str">
        <f>IFERROR(VLOOKUP(A:A,'SALDO ATUAL'!$A$2:$F$238,6,0),"")</f>
        <v/>
      </c>
      <c r="G158" s="85"/>
      <c r="H158" s="59"/>
      <c r="I158" s="86"/>
      <c r="J158" s="87">
        <f ca="1">VALIDADES!$I158-$L$2</f>
        <v>-46126</v>
      </c>
      <c r="K158" s="88"/>
      <c r="L158" s="88"/>
      <c r="M158" s="88"/>
      <c r="N158" s="88"/>
      <c r="O158" s="88"/>
      <c r="P158" s="88"/>
      <c r="Q158" s="88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</row>
    <row r="159" spans="1:32" ht="24" customHeight="1">
      <c r="A159" s="19"/>
      <c r="B159" s="58" t="str">
        <f>IFERROR(VLOOKUP(A:A,'SALDO ATUAL'!$A$3:$E$238,2,0),"")</f>
        <v/>
      </c>
      <c r="C159" s="59" t="str">
        <f>IFERROR(VLOOKUP(A:A,'SALDO ATUAL'!$A$3:$E$238,3,0),"")</f>
        <v/>
      </c>
      <c r="D159" s="59" t="str">
        <f>IFERROR(VLOOKUP(A:A,'SALDO ATUAL'!$A$3:$E$238,4,0),"")</f>
        <v/>
      </c>
      <c r="E159" s="59" t="str">
        <f>IFERROR(VLOOKUP(A:A,'SALDO ATUAL'!$A$3:$E$238,5,0),"")</f>
        <v/>
      </c>
      <c r="F159" s="84" t="str">
        <f>IFERROR(VLOOKUP(A:A,'SALDO ATUAL'!$A$2:$F$238,6,0),"")</f>
        <v/>
      </c>
      <c r="G159" s="85"/>
      <c r="H159" s="59"/>
      <c r="I159" s="86"/>
      <c r="J159" s="87">
        <f ca="1">VALIDADES!$I159-$L$2</f>
        <v>-46126</v>
      </c>
      <c r="K159" s="88"/>
      <c r="L159" s="88"/>
      <c r="M159" s="88"/>
      <c r="N159" s="88"/>
      <c r="O159" s="88"/>
      <c r="P159" s="88"/>
      <c r="Q159" s="88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</row>
    <row r="160" spans="1:32" ht="24" customHeight="1">
      <c r="A160" s="19"/>
      <c r="B160" s="58" t="str">
        <f>IFERROR(VLOOKUP(A:A,'SALDO ATUAL'!$A$3:$E$238,2,0),"")</f>
        <v/>
      </c>
      <c r="C160" s="59" t="str">
        <f>IFERROR(VLOOKUP(A:A,'SALDO ATUAL'!$A$3:$E$238,3,0),"")</f>
        <v/>
      </c>
      <c r="D160" s="59" t="str">
        <f>IFERROR(VLOOKUP(A:A,'SALDO ATUAL'!$A$3:$E$238,4,0),"")</f>
        <v/>
      </c>
      <c r="E160" s="59" t="str">
        <f>IFERROR(VLOOKUP(A:A,'SALDO ATUAL'!$A$3:$E$238,5,0),"")</f>
        <v/>
      </c>
      <c r="F160" s="84" t="str">
        <f>IFERROR(VLOOKUP(A:A,'SALDO ATUAL'!$A$2:$F$238,6,0),"")</f>
        <v/>
      </c>
      <c r="G160" s="85"/>
      <c r="H160" s="59"/>
      <c r="I160" s="86"/>
      <c r="J160" s="87">
        <f ca="1">VALIDADES!$I160-$L$2</f>
        <v>-46126</v>
      </c>
      <c r="K160" s="88"/>
      <c r="L160" s="88"/>
      <c r="M160" s="88"/>
      <c r="N160" s="88"/>
      <c r="O160" s="88"/>
      <c r="P160" s="88"/>
      <c r="Q160" s="88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</row>
    <row r="161" spans="1:32" ht="24" customHeight="1">
      <c r="A161" s="19"/>
      <c r="B161" s="58" t="str">
        <f>IFERROR(VLOOKUP(A:A,'SALDO ATUAL'!$A$3:$E$238,2,0),"")</f>
        <v/>
      </c>
      <c r="C161" s="59" t="str">
        <f>IFERROR(VLOOKUP(A:A,'SALDO ATUAL'!$A$3:$E$238,3,0),"")</f>
        <v/>
      </c>
      <c r="D161" s="59" t="str">
        <f>IFERROR(VLOOKUP(A:A,'SALDO ATUAL'!$A$3:$E$238,4,0),"")</f>
        <v/>
      </c>
      <c r="E161" s="59" t="str">
        <f>IFERROR(VLOOKUP(A:A,'SALDO ATUAL'!$A$3:$E$238,5,0),"")</f>
        <v/>
      </c>
      <c r="F161" s="84" t="str">
        <f>IFERROR(VLOOKUP(A:A,'SALDO ATUAL'!$A$2:$F$238,6,0),"")</f>
        <v/>
      </c>
      <c r="G161" s="85"/>
      <c r="H161" s="59"/>
      <c r="I161" s="86"/>
      <c r="J161" s="87">
        <f ca="1">VALIDADES!$I161-$L$2</f>
        <v>-46126</v>
      </c>
      <c r="K161" s="88"/>
      <c r="L161" s="88"/>
      <c r="M161" s="88"/>
      <c r="N161" s="88"/>
      <c r="O161" s="88"/>
      <c r="P161" s="88"/>
      <c r="Q161" s="88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</row>
    <row r="162" spans="1:32" ht="24" customHeight="1">
      <c r="A162" s="19"/>
      <c r="B162" s="58" t="str">
        <f>IFERROR(VLOOKUP(A:A,'SALDO ATUAL'!$A$3:$E$238,2,0),"")</f>
        <v/>
      </c>
      <c r="C162" s="59" t="str">
        <f>IFERROR(VLOOKUP(A:A,'SALDO ATUAL'!$A$3:$E$238,3,0),"")</f>
        <v/>
      </c>
      <c r="D162" s="59" t="str">
        <f>IFERROR(VLOOKUP(A:A,'SALDO ATUAL'!$A$3:$E$238,4,0),"")</f>
        <v/>
      </c>
      <c r="E162" s="59" t="str">
        <f>IFERROR(VLOOKUP(A:A,'SALDO ATUAL'!$A$3:$E$238,5,0),"")</f>
        <v/>
      </c>
      <c r="F162" s="84" t="str">
        <f>IFERROR(VLOOKUP(A:A,'SALDO ATUAL'!$A$2:$F$238,6,0),"")</f>
        <v/>
      </c>
      <c r="G162" s="85"/>
      <c r="H162" s="59"/>
      <c r="I162" s="86"/>
      <c r="J162" s="87">
        <f ca="1">VALIDADES!$I162-$L$2</f>
        <v>-46126</v>
      </c>
      <c r="K162" s="88"/>
      <c r="L162" s="88"/>
      <c r="M162" s="88"/>
      <c r="N162" s="88"/>
      <c r="O162" s="88"/>
      <c r="P162" s="88"/>
      <c r="Q162" s="88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</row>
    <row r="163" spans="1:32" ht="24" customHeight="1">
      <c r="A163" s="19"/>
      <c r="B163" s="58" t="str">
        <f>IFERROR(VLOOKUP(A:A,'SALDO ATUAL'!$A$3:$E$238,2,0),"")</f>
        <v/>
      </c>
      <c r="C163" s="59" t="str">
        <f>IFERROR(VLOOKUP(A:A,'SALDO ATUAL'!$A$3:$E$238,3,0),"")</f>
        <v/>
      </c>
      <c r="D163" s="59" t="str">
        <f>IFERROR(VLOOKUP(A:A,'SALDO ATUAL'!$A$3:$E$238,4,0),"")</f>
        <v/>
      </c>
      <c r="E163" s="59" t="str">
        <f>IFERROR(VLOOKUP(A:A,'SALDO ATUAL'!$A$3:$E$238,5,0),"")</f>
        <v/>
      </c>
      <c r="F163" s="84" t="str">
        <f>IFERROR(VLOOKUP(A:A,'SALDO ATUAL'!$A$2:$F$238,6,0),"")</f>
        <v/>
      </c>
      <c r="G163" s="85"/>
      <c r="H163" s="59"/>
      <c r="I163" s="86"/>
      <c r="J163" s="87">
        <f ca="1">VALIDADES!$I163-$L$2</f>
        <v>-46126</v>
      </c>
      <c r="K163" s="88"/>
      <c r="L163" s="88"/>
      <c r="M163" s="88"/>
      <c r="N163" s="88"/>
      <c r="O163" s="88"/>
      <c r="P163" s="88"/>
      <c r="Q163" s="88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</row>
    <row r="164" spans="1:32" ht="24" customHeight="1">
      <c r="A164" s="19"/>
      <c r="B164" s="58" t="str">
        <f>IFERROR(VLOOKUP(A:A,'SALDO ATUAL'!$A$3:$E$238,2,0),"")</f>
        <v/>
      </c>
      <c r="C164" s="59" t="str">
        <f>IFERROR(VLOOKUP(A:A,'SALDO ATUAL'!$A$3:$E$238,3,0),"")</f>
        <v/>
      </c>
      <c r="D164" s="59" t="str">
        <f>IFERROR(VLOOKUP(A:A,'SALDO ATUAL'!$A$3:$E$238,4,0),"")</f>
        <v/>
      </c>
      <c r="E164" s="59" t="str">
        <f>IFERROR(VLOOKUP(A:A,'SALDO ATUAL'!$A$3:$E$238,5,0),"")</f>
        <v/>
      </c>
      <c r="F164" s="84" t="str">
        <f>IFERROR(VLOOKUP(A:A,'SALDO ATUAL'!$A$2:$F$238,6,0),"")</f>
        <v/>
      </c>
      <c r="G164" s="85"/>
      <c r="H164" s="59"/>
      <c r="I164" s="86"/>
      <c r="J164" s="87">
        <f ca="1">VALIDADES!$I164-$L$2</f>
        <v>-46126</v>
      </c>
      <c r="K164" s="88"/>
      <c r="L164" s="88"/>
      <c r="M164" s="88"/>
      <c r="N164" s="88"/>
      <c r="O164" s="88"/>
      <c r="P164" s="88"/>
      <c r="Q164" s="88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</row>
    <row r="165" spans="1:32" ht="24" customHeight="1">
      <c r="A165" s="19"/>
      <c r="B165" s="58" t="str">
        <f>IFERROR(VLOOKUP(A:A,'SALDO ATUAL'!$A$3:$E$238,2,0),"")</f>
        <v/>
      </c>
      <c r="C165" s="59" t="str">
        <f>IFERROR(VLOOKUP(A:A,'SALDO ATUAL'!$A$3:$E$238,3,0),"")</f>
        <v/>
      </c>
      <c r="D165" s="59" t="str">
        <f>IFERROR(VLOOKUP(A:A,'SALDO ATUAL'!$A$3:$E$238,4,0),"")</f>
        <v/>
      </c>
      <c r="E165" s="59" t="str">
        <f>IFERROR(VLOOKUP(A:A,'SALDO ATUAL'!$A$3:$E$238,5,0),"")</f>
        <v/>
      </c>
      <c r="F165" s="84" t="str">
        <f>IFERROR(VLOOKUP(A:A,'SALDO ATUAL'!$A$2:$F$238,6,0),"")</f>
        <v/>
      </c>
      <c r="G165" s="85"/>
      <c r="H165" s="59"/>
      <c r="I165" s="86"/>
      <c r="J165" s="87">
        <f ca="1">VALIDADES!$I165-$L$2</f>
        <v>-46126</v>
      </c>
      <c r="K165" s="88"/>
      <c r="L165" s="88"/>
      <c r="M165" s="88"/>
      <c r="N165" s="88"/>
      <c r="O165" s="88"/>
      <c r="P165" s="88"/>
      <c r="Q165" s="88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</row>
    <row r="166" spans="1:32" ht="24" customHeight="1">
      <c r="A166" s="19"/>
      <c r="B166" s="58" t="str">
        <f>IFERROR(VLOOKUP(A:A,'SALDO ATUAL'!$A$3:$E$238,2,0),"")</f>
        <v/>
      </c>
      <c r="C166" s="59" t="str">
        <f>IFERROR(VLOOKUP(A:A,'SALDO ATUAL'!$A$3:$E$238,3,0),"")</f>
        <v/>
      </c>
      <c r="D166" s="59" t="str">
        <f>IFERROR(VLOOKUP(A:A,'SALDO ATUAL'!$A$3:$E$238,4,0),"")</f>
        <v/>
      </c>
      <c r="E166" s="59" t="str">
        <f>IFERROR(VLOOKUP(A:A,'SALDO ATUAL'!$A$3:$E$238,5,0),"")</f>
        <v/>
      </c>
      <c r="F166" s="84" t="str">
        <f>IFERROR(VLOOKUP(A:A,'SALDO ATUAL'!$A$2:$F$238,6,0),"")</f>
        <v/>
      </c>
      <c r="G166" s="85"/>
      <c r="H166" s="59"/>
      <c r="I166" s="86"/>
      <c r="J166" s="87">
        <f ca="1">VALIDADES!$I166-$L$2</f>
        <v>-46126</v>
      </c>
      <c r="K166" s="88"/>
      <c r="L166" s="88"/>
      <c r="M166" s="88"/>
      <c r="N166" s="88"/>
      <c r="O166" s="88"/>
      <c r="P166" s="88"/>
      <c r="Q166" s="88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</row>
    <row r="167" spans="1:32" ht="24" customHeight="1">
      <c r="A167" s="19"/>
      <c r="B167" s="58" t="str">
        <f>IFERROR(VLOOKUP(A:A,'SALDO ATUAL'!$A$3:$E$238,2,0),"")</f>
        <v/>
      </c>
      <c r="C167" s="59" t="str">
        <f>IFERROR(VLOOKUP(A:A,'SALDO ATUAL'!$A$3:$E$238,3,0),"")</f>
        <v/>
      </c>
      <c r="D167" s="59" t="str">
        <f>IFERROR(VLOOKUP(A:A,'SALDO ATUAL'!$A$3:$E$238,4,0),"")</f>
        <v/>
      </c>
      <c r="E167" s="59" t="str">
        <f>IFERROR(VLOOKUP(A:A,'SALDO ATUAL'!$A$3:$E$238,5,0),"")</f>
        <v/>
      </c>
      <c r="F167" s="84" t="str">
        <f>IFERROR(VLOOKUP(A:A,'SALDO ATUAL'!$A$2:$F$238,6,0),"")</f>
        <v/>
      </c>
      <c r="G167" s="85"/>
      <c r="H167" s="59"/>
      <c r="I167" s="86"/>
      <c r="J167" s="87">
        <f ca="1">VALIDADES!$I167-$L$2</f>
        <v>-46126</v>
      </c>
      <c r="K167" s="88"/>
      <c r="L167" s="88"/>
      <c r="M167" s="88"/>
      <c r="N167" s="88"/>
      <c r="O167" s="88"/>
      <c r="P167" s="88"/>
      <c r="Q167" s="88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</row>
    <row r="168" spans="1:32" ht="24" customHeight="1">
      <c r="A168" s="19"/>
      <c r="B168" s="58" t="str">
        <f>IFERROR(VLOOKUP(A:A,'SALDO ATUAL'!$A$3:$E$238,2,0),"")</f>
        <v/>
      </c>
      <c r="C168" s="59" t="str">
        <f>IFERROR(VLOOKUP(A:A,'SALDO ATUAL'!$A$3:$E$238,3,0),"")</f>
        <v/>
      </c>
      <c r="D168" s="59" t="str">
        <f>IFERROR(VLOOKUP(A:A,'SALDO ATUAL'!$A$3:$E$238,4,0),"")</f>
        <v/>
      </c>
      <c r="E168" s="59" t="str">
        <f>IFERROR(VLOOKUP(A:A,'SALDO ATUAL'!$A$3:$E$238,5,0),"")</f>
        <v/>
      </c>
      <c r="F168" s="84" t="str">
        <f>IFERROR(VLOOKUP(A:A,'SALDO ATUAL'!$A$2:$F$238,6,0),"")</f>
        <v/>
      </c>
      <c r="G168" s="85"/>
      <c r="H168" s="59"/>
      <c r="I168" s="86"/>
      <c r="J168" s="87">
        <f ca="1">VALIDADES!$I168-$L$2</f>
        <v>-46126</v>
      </c>
      <c r="K168" s="88"/>
      <c r="L168" s="88"/>
      <c r="M168" s="88"/>
      <c r="N168" s="88"/>
      <c r="O168" s="88"/>
      <c r="P168" s="88"/>
      <c r="Q168" s="88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</row>
    <row r="169" spans="1:32" ht="24" customHeight="1">
      <c r="A169" s="19"/>
      <c r="B169" s="58" t="str">
        <f>IFERROR(VLOOKUP(A:A,'SALDO ATUAL'!$A$3:$E$238,2,0),"")</f>
        <v/>
      </c>
      <c r="C169" s="59" t="str">
        <f>IFERROR(VLOOKUP(A:A,'SALDO ATUAL'!$A$3:$E$238,3,0),"")</f>
        <v/>
      </c>
      <c r="D169" s="59" t="str">
        <f>IFERROR(VLOOKUP(A:A,'SALDO ATUAL'!$A$3:$E$238,4,0),"")</f>
        <v/>
      </c>
      <c r="E169" s="59" t="str">
        <f>IFERROR(VLOOKUP(A:A,'SALDO ATUAL'!$A$3:$E$238,5,0),"")</f>
        <v/>
      </c>
      <c r="F169" s="84" t="str">
        <f>IFERROR(VLOOKUP(A:A,'SALDO ATUAL'!$A$2:$F$238,6,0),"")</f>
        <v/>
      </c>
      <c r="G169" s="85"/>
      <c r="H169" s="59"/>
      <c r="I169" s="86"/>
      <c r="J169" s="87">
        <f ca="1">VALIDADES!$I169-$L$2</f>
        <v>-46126</v>
      </c>
      <c r="K169" s="88"/>
      <c r="L169" s="88"/>
      <c r="M169" s="88"/>
      <c r="N169" s="88"/>
      <c r="O169" s="88"/>
      <c r="P169" s="88"/>
      <c r="Q169" s="88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</row>
    <row r="170" spans="1:32" ht="24" customHeight="1">
      <c r="A170" s="19"/>
      <c r="B170" s="58" t="str">
        <f>IFERROR(VLOOKUP(A:A,'SALDO ATUAL'!$A$3:$E$238,2,0),"")</f>
        <v/>
      </c>
      <c r="C170" s="59" t="str">
        <f>IFERROR(VLOOKUP(A:A,'SALDO ATUAL'!$A$3:$E$238,3,0),"")</f>
        <v/>
      </c>
      <c r="D170" s="59" t="str">
        <f>IFERROR(VLOOKUP(A:A,'SALDO ATUAL'!$A$3:$E$238,4,0),"")</f>
        <v/>
      </c>
      <c r="E170" s="59" t="str">
        <f>IFERROR(VLOOKUP(A:A,'SALDO ATUAL'!$A$3:$E$238,5,0),"")</f>
        <v/>
      </c>
      <c r="F170" s="84" t="str">
        <f>IFERROR(VLOOKUP(A:A,'SALDO ATUAL'!$A$2:$F$238,6,0),"")</f>
        <v/>
      </c>
      <c r="G170" s="85"/>
      <c r="H170" s="59"/>
      <c r="I170" s="86"/>
      <c r="J170" s="87">
        <f ca="1">VALIDADES!$I170-$L$2</f>
        <v>-46126</v>
      </c>
      <c r="K170" s="88"/>
      <c r="L170" s="88"/>
      <c r="M170" s="88"/>
      <c r="N170" s="88"/>
      <c r="O170" s="88"/>
      <c r="P170" s="88"/>
      <c r="Q170" s="88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</row>
    <row r="171" spans="1:32" ht="24" customHeight="1">
      <c r="A171" s="19"/>
      <c r="B171" s="58" t="str">
        <f>IFERROR(VLOOKUP(A:A,'SALDO ATUAL'!$A$3:$E$238,2,0),"")</f>
        <v/>
      </c>
      <c r="C171" s="59" t="str">
        <f>IFERROR(VLOOKUP(A:A,'SALDO ATUAL'!$A$3:$E$238,3,0),"")</f>
        <v/>
      </c>
      <c r="D171" s="59" t="str">
        <f>IFERROR(VLOOKUP(A:A,'SALDO ATUAL'!$A$3:$E$238,4,0),"")</f>
        <v/>
      </c>
      <c r="E171" s="59" t="str">
        <f>IFERROR(VLOOKUP(A:A,'SALDO ATUAL'!$A$3:$E$238,5,0),"")</f>
        <v/>
      </c>
      <c r="F171" s="84" t="str">
        <f>IFERROR(VLOOKUP(A:A,'SALDO ATUAL'!$A$2:$F$238,6,0),"")</f>
        <v/>
      </c>
      <c r="G171" s="85"/>
      <c r="H171" s="59"/>
      <c r="I171" s="86"/>
      <c r="J171" s="87">
        <f ca="1">VALIDADES!$I171-$L$2</f>
        <v>-46126</v>
      </c>
      <c r="K171" s="88"/>
      <c r="L171" s="88"/>
      <c r="M171" s="88"/>
      <c r="N171" s="88"/>
      <c r="O171" s="88"/>
      <c r="P171" s="88"/>
      <c r="Q171" s="88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</row>
    <row r="172" spans="1:32" ht="24" customHeight="1">
      <c r="A172" s="19"/>
      <c r="B172" s="58" t="str">
        <f>IFERROR(VLOOKUP(A:A,'SALDO ATUAL'!$A$3:$E$238,2,0),"")</f>
        <v/>
      </c>
      <c r="C172" s="59" t="str">
        <f>IFERROR(VLOOKUP(A:A,'SALDO ATUAL'!$A$3:$E$238,3,0),"")</f>
        <v/>
      </c>
      <c r="D172" s="59" t="str">
        <f>IFERROR(VLOOKUP(A:A,'SALDO ATUAL'!$A$3:$E$238,4,0),"")</f>
        <v/>
      </c>
      <c r="E172" s="59" t="str">
        <f>IFERROR(VLOOKUP(A:A,'SALDO ATUAL'!$A$3:$E$238,5,0),"")</f>
        <v/>
      </c>
      <c r="F172" s="84" t="str">
        <f>IFERROR(VLOOKUP(A:A,'SALDO ATUAL'!$A$2:$F$238,6,0),"")</f>
        <v/>
      </c>
      <c r="G172" s="85"/>
      <c r="H172" s="59"/>
      <c r="I172" s="86"/>
      <c r="J172" s="87">
        <f ca="1">VALIDADES!$I172-$L$2</f>
        <v>-46126</v>
      </c>
      <c r="K172" s="88"/>
      <c r="L172" s="88"/>
      <c r="M172" s="88"/>
      <c r="N172" s="88"/>
      <c r="O172" s="88"/>
      <c r="P172" s="88"/>
      <c r="Q172" s="88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</row>
    <row r="173" spans="1:32" ht="24" customHeight="1">
      <c r="A173" s="19"/>
      <c r="B173" s="58" t="str">
        <f>IFERROR(VLOOKUP(A:A,'SALDO ATUAL'!$A$3:$E$238,2,0),"")</f>
        <v/>
      </c>
      <c r="C173" s="59" t="str">
        <f>IFERROR(VLOOKUP(A:A,'SALDO ATUAL'!$A$3:$E$238,3,0),"")</f>
        <v/>
      </c>
      <c r="D173" s="59" t="str">
        <f>IFERROR(VLOOKUP(A:A,'SALDO ATUAL'!$A$3:$E$238,4,0),"")</f>
        <v/>
      </c>
      <c r="E173" s="59" t="str">
        <f>IFERROR(VLOOKUP(A:A,'SALDO ATUAL'!$A$3:$E$238,5,0),"")</f>
        <v/>
      </c>
      <c r="F173" s="84" t="str">
        <f>IFERROR(VLOOKUP(A:A,'SALDO ATUAL'!$A$2:$F$238,6,0),"")</f>
        <v/>
      </c>
      <c r="G173" s="85"/>
      <c r="H173" s="59"/>
      <c r="I173" s="86"/>
      <c r="J173" s="87">
        <f ca="1">VALIDADES!$I173-$L$2</f>
        <v>-46126</v>
      </c>
      <c r="K173" s="88"/>
      <c r="L173" s="88"/>
      <c r="M173" s="88"/>
      <c r="N173" s="88"/>
      <c r="O173" s="88"/>
      <c r="P173" s="88"/>
      <c r="Q173" s="88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</row>
    <row r="174" spans="1:32" ht="24" customHeight="1">
      <c r="A174" s="19"/>
      <c r="B174" s="58" t="str">
        <f>IFERROR(VLOOKUP(A:A,'SALDO ATUAL'!$A$3:$E$238,2,0),"")</f>
        <v/>
      </c>
      <c r="C174" s="59" t="str">
        <f>IFERROR(VLOOKUP(A:A,'SALDO ATUAL'!$A$3:$E$238,3,0),"")</f>
        <v/>
      </c>
      <c r="D174" s="59" t="str">
        <f>IFERROR(VLOOKUP(A:A,'SALDO ATUAL'!$A$3:$E$238,4,0),"")</f>
        <v/>
      </c>
      <c r="E174" s="59" t="str">
        <f>IFERROR(VLOOKUP(A:A,'SALDO ATUAL'!$A$3:$E$238,5,0),"")</f>
        <v/>
      </c>
      <c r="F174" s="84" t="str">
        <f>IFERROR(VLOOKUP(A:A,'SALDO ATUAL'!$A$2:$F$238,6,0),"")</f>
        <v/>
      </c>
      <c r="G174" s="85"/>
      <c r="H174" s="59"/>
      <c r="I174" s="86"/>
      <c r="J174" s="87">
        <f ca="1">VALIDADES!$I174-$L$2</f>
        <v>-46126</v>
      </c>
      <c r="K174" s="88"/>
      <c r="L174" s="88"/>
      <c r="M174" s="88"/>
      <c r="N174" s="88"/>
      <c r="O174" s="88"/>
      <c r="P174" s="88"/>
      <c r="Q174" s="88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</row>
    <row r="175" spans="1:32" ht="24" customHeight="1">
      <c r="A175" s="19"/>
      <c r="B175" s="58" t="str">
        <f>IFERROR(VLOOKUP(A:A,'SALDO ATUAL'!$A$3:$E$238,2,0),"")</f>
        <v/>
      </c>
      <c r="C175" s="59" t="str">
        <f>IFERROR(VLOOKUP(A:A,'SALDO ATUAL'!$A$3:$E$238,3,0),"")</f>
        <v/>
      </c>
      <c r="D175" s="59" t="str">
        <f>IFERROR(VLOOKUP(A:A,'SALDO ATUAL'!$A$3:$E$238,4,0),"")</f>
        <v/>
      </c>
      <c r="E175" s="59" t="str">
        <f>IFERROR(VLOOKUP(A:A,'SALDO ATUAL'!$A$3:$E$238,5,0),"")</f>
        <v/>
      </c>
      <c r="F175" s="84" t="str">
        <f>IFERROR(VLOOKUP(A:A,'SALDO ATUAL'!$A$2:$F$238,6,0),"")</f>
        <v/>
      </c>
      <c r="G175" s="85"/>
      <c r="H175" s="59"/>
      <c r="I175" s="86"/>
      <c r="J175" s="87">
        <f ca="1">VALIDADES!$I175-$L$2</f>
        <v>-46126</v>
      </c>
      <c r="K175" s="88"/>
      <c r="L175" s="88"/>
      <c r="M175" s="88"/>
      <c r="N175" s="88"/>
      <c r="O175" s="88"/>
      <c r="P175" s="88"/>
      <c r="Q175" s="88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</row>
    <row r="176" spans="1:32" ht="24" customHeight="1">
      <c r="A176" s="19"/>
      <c r="B176" s="58" t="str">
        <f>IFERROR(VLOOKUP(A:A,'SALDO ATUAL'!$A$3:$E$238,2,0),"")</f>
        <v/>
      </c>
      <c r="C176" s="59" t="str">
        <f>IFERROR(VLOOKUP(A:A,'SALDO ATUAL'!$A$3:$E$238,3,0),"")</f>
        <v/>
      </c>
      <c r="D176" s="59" t="str">
        <f>IFERROR(VLOOKUP(A:A,'SALDO ATUAL'!$A$3:$E$238,4,0),"")</f>
        <v/>
      </c>
      <c r="E176" s="59" t="str">
        <f>IFERROR(VLOOKUP(A:A,'SALDO ATUAL'!$A$3:$E$238,5,0),"")</f>
        <v/>
      </c>
      <c r="F176" s="84" t="str">
        <f>IFERROR(VLOOKUP(A:A,'SALDO ATUAL'!$A$2:$F$238,6,0),"")</f>
        <v/>
      </c>
      <c r="G176" s="85"/>
      <c r="H176" s="59"/>
      <c r="I176" s="86"/>
      <c r="J176" s="87">
        <f ca="1">VALIDADES!$I176-$L$2</f>
        <v>-46126</v>
      </c>
      <c r="K176" s="88"/>
      <c r="L176" s="88"/>
      <c r="M176" s="88"/>
      <c r="N176" s="88"/>
      <c r="O176" s="88"/>
      <c r="P176" s="88"/>
      <c r="Q176" s="88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</row>
    <row r="177" spans="1:32" ht="24" customHeight="1">
      <c r="A177" s="19"/>
      <c r="B177" s="58" t="str">
        <f>IFERROR(VLOOKUP(A:A,'SALDO ATUAL'!$A$3:$E$238,2,0),"")</f>
        <v/>
      </c>
      <c r="C177" s="59" t="str">
        <f>IFERROR(VLOOKUP(A:A,'SALDO ATUAL'!$A$3:$E$238,3,0),"")</f>
        <v/>
      </c>
      <c r="D177" s="59" t="str">
        <f>IFERROR(VLOOKUP(A:A,'SALDO ATUAL'!$A$3:$E$238,4,0),"")</f>
        <v/>
      </c>
      <c r="E177" s="59" t="str">
        <f>IFERROR(VLOOKUP(A:A,'SALDO ATUAL'!$A$3:$E$238,5,0),"")</f>
        <v/>
      </c>
      <c r="F177" s="84" t="str">
        <f>IFERROR(VLOOKUP(A:A,'SALDO ATUAL'!$A$2:$F$238,6,0),"")</f>
        <v/>
      </c>
      <c r="G177" s="85"/>
      <c r="H177" s="59"/>
      <c r="I177" s="86"/>
      <c r="J177" s="87">
        <f ca="1">VALIDADES!$I177-$L$2</f>
        <v>-46126</v>
      </c>
      <c r="K177" s="88"/>
      <c r="L177" s="88"/>
      <c r="M177" s="88"/>
      <c r="N177" s="88"/>
      <c r="O177" s="88"/>
      <c r="P177" s="88"/>
      <c r="Q177" s="88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</row>
    <row r="178" spans="1:32" ht="24" customHeight="1">
      <c r="A178" s="19"/>
      <c r="B178" s="58" t="str">
        <f>IFERROR(VLOOKUP(A:A,'SALDO ATUAL'!$A$3:$E$238,2,0),"")</f>
        <v/>
      </c>
      <c r="C178" s="59" t="str">
        <f>IFERROR(VLOOKUP(A:A,'SALDO ATUAL'!$A$3:$E$238,3,0),"")</f>
        <v/>
      </c>
      <c r="D178" s="59" t="str">
        <f>IFERROR(VLOOKUP(A:A,'SALDO ATUAL'!$A$3:$E$238,4,0),"")</f>
        <v/>
      </c>
      <c r="E178" s="59" t="str">
        <f>IFERROR(VLOOKUP(A:A,'SALDO ATUAL'!$A$3:$E$238,5,0),"")</f>
        <v/>
      </c>
      <c r="F178" s="84" t="str">
        <f>IFERROR(VLOOKUP(A:A,'SALDO ATUAL'!$A$2:$F$238,6,0),"")</f>
        <v/>
      </c>
      <c r="G178" s="85"/>
      <c r="H178" s="59"/>
      <c r="I178" s="86"/>
      <c r="J178" s="87">
        <f ca="1">VALIDADES!$I178-$L$2</f>
        <v>-46126</v>
      </c>
      <c r="K178" s="88"/>
      <c r="L178" s="88"/>
      <c r="M178" s="88"/>
      <c r="N178" s="88"/>
      <c r="O178" s="88"/>
      <c r="P178" s="88"/>
      <c r="Q178" s="88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</row>
    <row r="179" spans="1:32" ht="24" customHeight="1">
      <c r="A179" s="19"/>
      <c r="B179" s="58" t="str">
        <f>IFERROR(VLOOKUP(A:A,'SALDO ATUAL'!$A$3:$E$238,2,0),"")</f>
        <v/>
      </c>
      <c r="C179" s="59" t="str">
        <f>IFERROR(VLOOKUP(A:A,'SALDO ATUAL'!$A$3:$E$238,3,0),"")</f>
        <v/>
      </c>
      <c r="D179" s="59" t="str">
        <f>IFERROR(VLOOKUP(A:A,'SALDO ATUAL'!$A$3:$E$238,4,0),"")</f>
        <v/>
      </c>
      <c r="E179" s="59" t="str">
        <f>IFERROR(VLOOKUP(A:A,'SALDO ATUAL'!$A$3:$E$238,5,0),"")</f>
        <v/>
      </c>
      <c r="F179" s="84" t="str">
        <f>IFERROR(VLOOKUP(A:A,'SALDO ATUAL'!$A$2:$F$238,6,0),"")</f>
        <v/>
      </c>
      <c r="G179" s="85"/>
      <c r="H179" s="59"/>
      <c r="I179" s="86"/>
      <c r="J179" s="87">
        <f ca="1">VALIDADES!$I179-$L$2</f>
        <v>-46126</v>
      </c>
      <c r="K179" s="88"/>
      <c r="L179" s="88"/>
      <c r="M179" s="88"/>
      <c r="N179" s="88"/>
      <c r="O179" s="88"/>
      <c r="P179" s="88"/>
      <c r="Q179" s="88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</row>
    <row r="180" spans="1:32" ht="24" customHeight="1">
      <c r="A180" s="19"/>
      <c r="B180" s="58" t="str">
        <f>IFERROR(VLOOKUP(A:A,'SALDO ATUAL'!$A$3:$E$238,2,0),"")</f>
        <v/>
      </c>
      <c r="C180" s="59" t="str">
        <f>IFERROR(VLOOKUP(A:A,'SALDO ATUAL'!$A$3:$E$238,3,0),"")</f>
        <v/>
      </c>
      <c r="D180" s="59" t="str">
        <f>IFERROR(VLOOKUP(A:A,'SALDO ATUAL'!$A$3:$E$238,4,0),"")</f>
        <v/>
      </c>
      <c r="E180" s="59" t="str">
        <f>IFERROR(VLOOKUP(A:A,'SALDO ATUAL'!$A$3:$E$238,5,0),"")</f>
        <v/>
      </c>
      <c r="F180" s="84" t="str">
        <f>IFERROR(VLOOKUP(A:A,'SALDO ATUAL'!$A$2:$F$238,6,0),"")</f>
        <v/>
      </c>
      <c r="G180" s="85"/>
      <c r="H180" s="59"/>
      <c r="I180" s="86"/>
      <c r="J180" s="87">
        <f ca="1">VALIDADES!$I180-$L$2</f>
        <v>-46126</v>
      </c>
      <c r="K180" s="88"/>
      <c r="L180" s="88"/>
      <c r="M180" s="88"/>
      <c r="N180" s="88"/>
      <c r="O180" s="88"/>
      <c r="P180" s="88"/>
      <c r="Q180" s="88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</row>
    <row r="181" spans="1:32" ht="24" customHeight="1">
      <c r="A181" s="19"/>
      <c r="B181" s="58"/>
      <c r="C181" s="59"/>
      <c r="D181" s="59"/>
      <c r="E181" s="59"/>
      <c r="F181" s="60"/>
      <c r="G181" s="85"/>
      <c r="H181" s="59"/>
      <c r="I181" s="86"/>
      <c r="J181" s="105"/>
      <c r="K181" s="88"/>
      <c r="L181" s="88"/>
      <c r="M181" s="88"/>
      <c r="N181" s="88"/>
      <c r="O181" s="88"/>
      <c r="P181" s="88"/>
      <c r="Q181" s="88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</row>
    <row r="182" spans="1:32" ht="24" customHeight="1">
      <c r="A182" s="19"/>
      <c r="B182" s="58"/>
      <c r="C182" s="59"/>
      <c r="D182" s="59"/>
      <c r="E182" s="59"/>
      <c r="F182" s="60"/>
      <c r="G182" s="85"/>
      <c r="H182" s="59"/>
      <c r="I182" s="86"/>
      <c r="J182" s="105"/>
      <c r="K182" s="88"/>
      <c r="L182" s="88"/>
      <c r="M182" s="88"/>
      <c r="N182" s="88"/>
      <c r="O182" s="88"/>
      <c r="P182" s="88"/>
      <c r="Q182" s="88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</row>
    <row r="183" spans="1:32" ht="24" customHeight="1">
      <c r="A183" s="19"/>
      <c r="B183" s="58"/>
      <c r="C183" s="59"/>
      <c r="D183" s="59"/>
      <c r="E183" s="59"/>
      <c r="F183" s="60"/>
      <c r="G183" s="85"/>
      <c r="H183" s="59"/>
      <c r="I183" s="86"/>
      <c r="J183" s="105"/>
      <c r="K183" s="88"/>
      <c r="L183" s="88"/>
      <c r="M183" s="88"/>
      <c r="N183" s="88"/>
      <c r="O183" s="88"/>
      <c r="P183" s="88"/>
      <c r="Q183" s="88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</row>
    <row r="184" spans="1:32" ht="24" customHeight="1">
      <c r="A184" s="19"/>
      <c r="B184" s="58"/>
      <c r="C184" s="59"/>
      <c r="D184" s="59"/>
      <c r="E184" s="59"/>
      <c r="F184" s="60"/>
      <c r="G184" s="85"/>
      <c r="H184" s="59"/>
      <c r="I184" s="86"/>
      <c r="J184" s="105"/>
      <c r="K184" s="88"/>
      <c r="L184" s="88"/>
      <c r="M184" s="88"/>
      <c r="N184" s="88"/>
      <c r="O184" s="88"/>
      <c r="P184" s="88"/>
      <c r="Q184" s="88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</row>
    <row r="185" spans="1:32" ht="24" customHeight="1">
      <c r="A185" s="19"/>
      <c r="B185" s="58"/>
      <c r="C185" s="59"/>
      <c r="D185" s="59"/>
      <c r="E185" s="59"/>
      <c r="F185" s="60"/>
      <c r="G185" s="85"/>
      <c r="H185" s="59"/>
      <c r="I185" s="86"/>
      <c r="J185" s="105"/>
      <c r="K185" s="88"/>
      <c r="L185" s="88"/>
      <c r="M185" s="88"/>
      <c r="N185" s="88"/>
      <c r="O185" s="88"/>
      <c r="P185" s="88"/>
      <c r="Q185" s="88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</row>
    <row r="186" spans="1:32" ht="24" customHeight="1">
      <c r="A186" s="19"/>
      <c r="B186" s="58"/>
      <c r="C186" s="59"/>
      <c r="D186" s="59"/>
      <c r="E186" s="59"/>
      <c r="F186" s="60"/>
      <c r="G186" s="85"/>
      <c r="H186" s="59"/>
      <c r="I186" s="86"/>
      <c r="J186" s="105"/>
      <c r="K186" s="88"/>
      <c r="L186" s="88"/>
      <c r="M186" s="88"/>
      <c r="N186" s="88"/>
      <c r="O186" s="88"/>
      <c r="P186" s="88"/>
      <c r="Q186" s="88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</row>
    <row r="187" spans="1:32" ht="24" customHeight="1">
      <c r="A187" s="19"/>
      <c r="B187" s="58"/>
      <c r="C187" s="59"/>
      <c r="D187" s="59"/>
      <c r="E187" s="59"/>
      <c r="F187" s="60"/>
      <c r="G187" s="85"/>
      <c r="H187" s="59"/>
      <c r="I187" s="86"/>
      <c r="J187" s="105"/>
      <c r="K187" s="88"/>
      <c r="L187" s="88"/>
      <c r="M187" s="88"/>
      <c r="N187" s="88"/>
      <c r="O187" s="88"/>
      <c r="P187" s="88"/>
      <c r="Q187" s="88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</row>
    <row r="188" spans="1:32" ht="24" customHeight="1">
      <c r="A188" s="19"/>
      <c r="B188" s="58"/>
      <c r="C188" s="59"/>
      <c r="D188" s="59"/>
      <c r="E188" s="59"/>
      <c r="F188" s="60"/>
      <c r="G188" s="85"/>
      <c r="H188" s="59"/>
      <c r="I188" s="86"/>
      <c r="J188" s="105"/>
      <c r="K188" s="88"/>
      <c r="L188" s="88"/>
      <c r="M188" s="88"/>
      <c r="N188" s="88"/>
      <c r="O188" s="88"/>
      <c r="P188" s="88"/>
      <c r="Q188" s="88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</row>
    <row r="189" spans="1:32" ht="24" customHeight="1">
      <c r="A189" s="19"/>
      <c r="B189" s="58"/>
      <c r="C189" s="59"/>
      <c r="D189" s="59"/>
      <c r="E189" s="59"/>
      <c r="F189" s="60"/>
      <c r="G189" s="85"/>
      <c r="H189" s="59"/>
      <c r="I189" s="86"/>
      <c r="J189" s="105"/>
      <c r="K189" s="88"/>
      <c r="L189" s="88"/>
      <c r="M189" s="88"/>
      <c r="N189" s="88"/>
      <c r="O189" s="88"/>
      <c r="P189" s="88"/>
      <c r="Q189" s="88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</row>
    <row r="190" spans="1:32" ht="24" customHeight="1">
      <c r="A190" s="19"/>
      <c r="B190" s="58"/>
      <c r="C190" s="59"/>
      <c r="D190" s="59"/>
      <c r="E190" s="59"/>
      <c r="F190" s="60"/>
      <c r="G190" s="85"/>
      <c r="H190" s="59"/>
      <c r="I190" s="86"/>
      <c r="J190" s="105"/>
      <c r="K190" s="88"/>
      <c r="L190" s="88"/>
      <c r="M190" s="88"/>
      <c r="N190" s="88"/>
      <c r="O190" s="88"/>
      <c r="P190" s="88"/>
      <c r="Q190" s="88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</row>
    <row r="191" spans="1:32" ht="24" customHeight="1">
      <c r="A191" s="19"/>
      <c r="B191" s="58"/>
      <c r="C191" s="59"/>
      <c r="D191" s="59"/>
      <c r="E191" s="59"/>
      <c r="F191" s="60"/>
      <c r="G191" s="85"/>
      <c r="H191" s="59"/>
      <c r="I191" s="86"/>
      <c r="J191" s="105"/>
      <c r="K191" s="88"/>
      <c r="L191" s="88"/>
      <c r="M191" s="88"/>
      <c r="N191" s="88"/>
      <c r="O191" s="88"/>
      <c r="P191" s="88"/>
      <c r="Q191" s="88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</row>
    <row r="192" spans="1:32" ht="24" customHeight="1">
      <c r="A192" s="19"/>
      <c r="B192" s="58"/>
      <c r="C192" s="59"/>
      <c r="D192" s="59"/>
      <c r="E192" s="59"/>
      <c r="F192" s="60"/>
      <c r="G192" s="85"/>
      <c r="H192" s="59"/>
      <c r="I192" s="86"/>
      <c r="J192" s="105"/>
      <c r="K192" s="88"/>
      <c r="L192" s="88"/>
      <c r="M192" s="88"/>
      <c r="N192" s="88"/>
      <c r="O192" s="88"/>
      <c r="P192" s="88"/>
      <c r="Q192" s="88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</row>
    <row r="193" spans="1:32" ht="24" customHeight="1">
      <c r="A193" s="19"/>
      <c r="B193" s="58"/>
      <c r="C193" s="59"/>
      <c r="D193" s="59"/>
      <c r="E193" s="59"/>
      <c r="F193" s="60"/>
      <c r="G193" s="85"/>
      <c r="H193" s="59"/>
      <c r="I193" s="86"/>
      <c r="J193" s="105"/>
      <c r="K193" s="88"/>
      <c r="L193" s="88"/>
      <c r="M193" s="88"/>
      <c r="N193" s="88"/>
      <c r="O193" s="88"/>
      <c r="P193" s="88"/>
      <c r="Q193" s="88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</row>
    <row r="194" spans="1:32" ht="24" customHeight="1">
      <c r="A194" s="19"/>
      <c r="B194" s="58"/>
      <c r="C194" s="59"/>
      <c r="D194" s="59"/>
      <c r="E194" s="59"/>
      <c r="F194" s="60"/>
      <c r="G194" s="85"/>
      <c r="H194" s="59"/>
      <c r="I194" s="86"/>
      <c r="J194" s="105"/>
      <c r="K194" s="88"/>
      <c r="L194" s="88"/>
      <c r="M194" s="88"/>
      <c r="N194" s="88"/>
      <c r="O194" s="88"/>
      <c r="P194" s="88"/>
      <c r="Q194" s="88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</row>
    <row r="195" spans="1:32" ht="24" customHeight="1">
      <c r="A195" s="19"/>
      <c r="B195" s="58"/>
      <c r="C195" s="59"/>
      <c r="D195" s="59"/>
      <c r="E195" s="59"/>
      <c r="F195" s="60"/>
      <c r="G195" s="85"/>
      <c r="H195" s="59"/>
      <c r="I195" s="86"/>
      <c r="J195" s="105"/>
      <c r="K195" s="88"/>
      <c r="L195" s="88"/>
      <c r="M195" s="88"/>
      <c r="N195" s="88"/>
      <c r="O195" s="88"/>
      <c r="P195" s="88"/>
      <c r="Q195" s="88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</row>
    <row r="196" spans="1:32" ht="24" customHeight="1">
      <c r="A196" s="19"/>
      <c r="B196" s="58"/>
      <c r="C196" s="59"/>
      <c r="D196" s="59"/>
      <c r="E196" s="59"/>
      <c r="F196" s="60"/>
      <c r="G196" s="85"/>
      <c r="H196" s="59"/>
      <c r="I196" s="86"/>
      <c r="J196" s="105"/>
      <c r="K196" s="88"/>
      <c r="L196" s="88"/>
      <c r="M196" s="88"/>
      <c r="N196" s="88"/>
      <c r="O196" s="88"/>
      <c r="P196" s="88"/>
      <c r="Q196" s="88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</row>
    <row r="197" spans="1:32" ht="24" customHeight="1">
      <c r="A197" s="19"/>
      <c r="B197" s="58"/>
      <c r="C197" s="59"/>
      <c r="D197" s="59"/>
      <c r="E197" s="59"/>
      <c r="F197" s="60"/>
      <c r="G197" s="85"/>
      <c r="H197" s="59"/>
      <c r="I197" s="86"/>
      <c r="J197" s="105"/>
      <c r="K197" s="88"/>
      <c r="L197" s="88"/>
      <c r="M197" s="88"/>
      <c r="N197" s="88"/>
      <c r="O197" s="88"/>
      <c r="P197" s="88"/>
      <c r="Q197" s="88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</row>
    <row r="198" spans="1:32" ht="24" customHeight="1">
      <c r="A198" s="19"/>
      <c r="B198" s="58"/>
      <c r="C198" s="59"/>
      <c r="D198" s="59"/>
      <c r="E198" s="59"/>
      <c r="F198" s="60"/>
      <c r="G198" s="85"/>
      <c r="H198" s="59"/>
      <c r="I198" s="86"/>
      <c r="J198" s="105"/>
      <c r="K198" s="88"/>
      <c r="L198" s="88"/>
      <c r="M198" s="88"/>
      <c r="N198" s="88"/>
      <c r="O198" s="88"/>
      <c r="P198" s="88"/>
      <c r="Q198" s="88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</row>
    <row r="199" spans="1:32" ht="24" customHeight="1">
      <c r="A199" s="19"/>
      <c r="B199" s="58"/>
      <c r="C199" s="59"/>
      <c r="D199" s="59"/>
      <c r="E199" s="59"/>
      <c r="F199" s="60"/>
      <c r="G199" s="85"/>
      <c r="H199" s="59"/>
      <c r="I199" s="86"/>
      <c r="J199" s="105"/>
      <c r="K199" s="88"/>
      <c r="L199" s="88"/>
      <c r="M199" s="88"/>
      <c r="N199" s="88"/>
      <c r="O199" s="88"/>
      <c r="P199" s="88"/>
      <c r="Q199" s="88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</row>
    <row r="200" spans="1:32" ht="24" customHeight="1">
      <c r="A200" s="19"/>
      <c r="B200" s="58"/>
      <c r="C200" s="59"/>
      <c r="D200" s="59"/>
      <c r="E200" s="59"/>
      <c r="F200" s="60"/>
      <c r="G200" s="85"/>
      <c r="H200" s="59"/>
      <c r="I200" s="86"/>
      <c r="J200" s="105"/>
      <c r="K200" s="88"/>
      <c r="L200" s="88"/>
      <c r="M200" s="88"/>
      <c r="N200" s="88"/>
      <c r="O200" s="88"/>
      <c r="P200" s="88"/>
      <c r="Q200" s="88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</row>
    <row r="201" spans="1:32" ht="24" customHeight="1">
      <c r="A201" s="19"/>
      <c r="B201" s="58"/>
      <c r="C201" s="59"/>
      <c r="D201" s="59"/>
      <c r="E201" s="59"/>
      <c r="F201" s="60"/>
      <c r="G201" s="85"/>
      <c r="H201" s="59"/>
      <c r="I201" s="86"/>
      <c r="J201" s="105"/>
      <c r="K201" s="88"/>
      <c r="L201" s="88"/>
      <c r="M201" s="88"/>
      <c r="N201" s="88"/>
      <c r="O201" s="88"/>
      <c r="P201" s="88"/>
      <c r="Q201" s="88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</row>
    <row r="202" spans="1:32" ht="24" customHeight="1">
      <c r="A202" s="19"/>
      <c r="B202" s="58"/>
      <c r="C202" s="59"/>
      <c r="D202" s="59"/>
      <c r="E202" s="59"/>
      <c r="F202" s="60"/>
      <c r="G202" s="85"/>
      <c r="H202" s="59"/>
      <c r="I202" s="86"/>
      <c r="J202" s="105"/>
      <c r="K202" s="88"/>
      <c r="L202" s="88"/>
      <c r="M202" s="88"/>
      <c r="N202" s="88"/>
      <c r="O202" s="88"/>
      <c r="P202" s="88"/>
      <c r="Q202" s="88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</row>
    <row r="203" spans="1:32" ht="24" customHeight="1">
      <c r="A203" s="19"/>
      <c r="B203" s="58"/>
      <c r="C203" s="59"/>
      <c r="D203" s="59"/>
      <c r="E203" s="59"/>
      <c r="F203" s="60"/>
      <c r="G203" s="85"/>
      <c r="H203" s="59"/>
      <c r="I203" s="86"/>
      <c r="J203" s="105"/>
      <c r="K203" s="88"/>
      <c r="L203" s="88"/>
      <c r="M203" s="88"/>
      <c r="N203" s="88"/>
      <c r="O203" s="88"/>
      <c r="P203" s="88"/>
      <c r="Q203" s="88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</row>
    <row r="204" spans="1:32" ht="24" customHeight="1">
      <c r="A204" s="19"/>
      <c r="B204" s="58"/>
      <c r="C204" s="59"/>
      <c r="D204" s="59"/>
      <c r="E204" s="59"/>
      <c r="F204" s="60"/>
      <c r="G204" s="85"/>
      <c r="H204" s="59"/>
      <c r="I204" s="86"/>
      <c r="J204" s="105"/>
      <c r="K204" s="88"/>
      <c r="L204" s="88"/>
      <c r="M204" s="88"/>
      <c r="N204" s="88"/>
      <c r="O204" s="88"/>
      <c r="P204" s="88"/>
      <c r="Q204" s="88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</row>
    <row r="205" spans="1:32" ht="24" customHeight="1">
      <c r="A205" s="19"/>
      <c r="B205" s="58"/>
      <c r="C205" s="59"/>
      <c r="D205" s="59"/>
      <c r="E205" s="59"/>
      <c r="F205" s="60"/>
      <c r="G205" s="85"/>
      <c r="H205" s="59"/>
      <c r="I205" s="86"/>
      <c r="J205" s="105"/>
      <c r="K205" s="88"/>
      <c r="L205" s="88"/>
      <c r="M205" s="88"/>
      <c r="N205" s="88"/>
      <c r="O205" s="88"/>
      <c r="P205" s="88"/>
      <c r="Q205" s="88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</row>
    <row r="206" spans="1:32" ht="24" customHeight="1">
      <c r="A206" s="19"/>
      <c r="B206" s="58"/>
      <c r="C206" s="59"/>
      <c r="D206" s="59"/>
      <c r="E206" s="59"/>
      <c r="F206" s="60"/>
      <c r="G206" s="85"/>
      <c r="H206" s="59"/>
      <c r="I206" s="86"/>
      <c r="J206" s="105"/>
      <c r="K206" s="88"/>
      <c r="L206" s="88"/>
      <c r="M206" s="88"/>
      <c r="N206" s="88"/>
      <c r="O206" s="88"/>
      <c r="P206" s="88"/>
      <c r="Q206" s="88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</row>
    <row r="207" spans="1:32" ht="24" customHeight="1">
      <c r="A207" s="19"/>
      <c r="B207" s="58"/>
      <c r="C207" s="59"/>
      <c r="D207" s="59"/>
      <c r="E207" s="59"/>
      <c r="F207" s="60"/>
      <c r="G207" s="85"/>
      <c r="H207" s="59"/>
      <c r="I207" s="86"/>
      <c r="J207" s="105"/>
      <c r="K207" s="88"/>
      <c r="L207" s="88"/>
      <c r="M207" s="88"/>
      <c r="N207" s="88"/>
      <c r="O207" s="88"/>
      <c r="P207" s="88"/>
      <c r="Q207" s="88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</row>
    <row r="208" spans="1:32" ht="24" customHeight="1">
      <c r="A208" s="19"/>
      <c r="B208" s="58"/>
      <c r="C208" s="59"/>
      <c r="D208" s="59"/>
      <c r="E208" s="59"/>
      <c r="F208" s="60"/>
      <c r="G208" s="85"/>
      <c r="H208" s="59"/>
      <c r="I208" s="86"/>
      <c r="J208" s="105"/>
      <c r="K208" s="88"/>
      <c r="L208" s="88"/>
      <c r="M208" s="88"/>
      <c r="N208" s="88"/>
      <c r="O208" s="88"/>
      <c r="P208" s="88"/>
      <c r="Q208" s="88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</row>
    <row r="209" spans="1:32" ht="24" customHeight="1">
      <c r="A209" s="19"/>
      <c r="B209" s="58"/>
      <c r="C209" s="59"/>
      <c r="D209" s="59"/>
      <c r="E209" s="59"/>
      <c r="F209" s="60"/>
      <c r="G209" s="85"/>
      <c r="H209" s="59"/>
      <c r="I209" s="86"/>
      <c r="J209" s="105"/>
      <c r="K209" s="88"/>
      <c r="L209" s="88"/>
      <c r="M209" s="88"/>
      <c r="N209" s="88"/>
      <c r="O209" s="88"/>
      <c r="P209" s="88"/>
      <c r="Q209" s="88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</row>
    <row r="210" spans="1:32" ht="24" customHeight="1">
      <c r="A210" s="19"/>
      <c r="B210" s="58"/>
      <c r="C210" s="59"/>
      <c r="D210" s="59"/>
      <c r="E210" s="59"/>
      <c r="F210" s="60"/>
      <c r="G210" s="85"/>
      <c r="H210" s="59"/>
      <c r="I210" s="86"/>
      <c r="J210" s="105"/>
      <c r="K210" s="88"/>
      <c r="L210" s="88"/>
      <c r="M210" s="88"/>
      <c r="N210" s="88"/>
      <c r="O210" s="88"/>
      <c r="P210" s="88"/>
      <c r="Q210" s="88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</row>
    <row r="211" spans="1:32" ht="24" customHeight="1">
      <c r="A211" s="19"/>
      <c r="B211" s="58"/>
      <c r="C211" s="59"/>
      <c r="D211" s="59"/>
      <c r="E211" s="59"/>
      <c r="F211" s="60"/>
      <c r="G211" s="85"/>
      <c r="H211" s="59"/>
      <c r="I211" s="86"/>
      <c r="J211" s="105"/>
      <c r="K211" s="88"/>
      <c r="L211" s="88"/>
      <c r="M211" s="88"/>
      <c r="N211" s="88"/>
      <c r="O211" s="88"/>
      <c r="P211" s="88"/>
      <c r="Q211" s="88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</row>
    <row r="212" spans="1:32" ht="24" customHeight="1">
      <c r="A212" s="19"/>
      <c r="B212" s="58"/>
      <c r="C212" s="59"/>
      <c r="D212" s="59"/>
      <c r="E212" s="59"/>
      <c r="F212" s="60"/>
      <c r="G212" s="85"/>
      <c r="H212" s="59"/>
      <c r="I212" s="86"/>
      <c r="J212" s="105"/>
      <c r="K212" s="88"/>
      <c r="L212" s="88"/>
      <c r="M212" s="88"/>
      <c r="N212" s="88"/>
      <c r="O212" s="88"/>
      <c r="P212" s="88"/>
      <c r="Q212" s="88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</row>
    <row r="213" spans="1:32" ht="24" customHeight="1">
      <c r="A213" s="19"/>
      <c r="B213" s="58"/>
      <c r="C213" s="59"/>
      <c r="D213" s="59"/>
      <c r="E213" s="59"/>
      <c r="F213" s="60"/>
      <c r="G213" s="85"/>
      <c r="H213" s="59"/>
      <c r="I213" s="86"/>
      <c r="J213" s="105"/>
      <c r="K213" s="88"/>
      <c r="L213" s="88"/>
      <c r="M213" s="88"/>
      <c r="N213" s="88"/>
      <c r="O213" s="88"/>
      <c r="P213" s="88"/>
      <c r="Q213" s="88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</row>
    <row r="214" spans="1:32" ht="24" customHeight="1">
      <c r="A214" s="19"/>
      <c r="B214" s="58"/>
      <c r="C214" s="59"/>
      <c r="D214" s="59"/>
      <c r="E214" s="59"/>
      <c r="F214" s="60"/>
      <c r="G214" s="85"/>
      <c r="H214" s="59"/>
      <c r="I214" s="86"/>
      <c r="J214" s="105"/>
      <c r="K214" s="88"/>
      <c r="L214" s="88"/>
      <c r="M214" s="88"/>
      <c r="N214" s="88"/>
      <c r="O214" s="88"/>
      <c r="P214" s="88"/>
      <c r="Q214" s="88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</row>
    <row r="215" spans="1:32" ht="24" customHeight="1">
      <c r="A215" s="19"/>
      <c r="B215" s="58"/>
      <c r="C215" s="59"/>
      <c r="D215" s="59"/>
      <c r="E215" s="59"/>
      <c r="F215" s="60"/>
      <c r="G215" s="85"/>
      <c r="H215" s="59"/>
      <c r="I215" s="86"/>
      <c r="J215" s="105"/>
      <c r="K215" s="88"/>
      <c r="L215" s="88"/>
      <c r="M215" s="88"/>
      <c r="N215" s="88"/>
      <c r="O215" s="88"/>
      <c r="P215" s="88"/>
      <c r="Q215" s="88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</row>
    <row r="216" spans="1:32" ht="24" customHeight="1">
      <c r="A216" s="19"/>
      <c r="B216" s="58"/>
      <c r="C216" s="59"/>
      <c r="D216" s="59"/>
      <c r="E216" s="59"/>
      <c r="F216" s="60"/>
      <c r="G216" s="85"/>
      <c r="H216" s="59"/>
      <c r="I216" s="86"/>
      <c r="J216" s="105"/>
      <c r="K216" s="88"/>
      <c r="L216" s="88"/>
      <c r="M216" s="88"/>
      <c r="N216" s="88"/>
      <c r="O216" s="88"/>
      <c r="P216" s="88"/>
      <c r="Q216" s="88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</row>
    <row r="217" spans="1:32" ht="24" customHeight="1">
      <c r="A217" s="19"/>
      <c r="B217" s="58"/>
      <c r="C217" s="59"/>
      <c r="D217" s="59"/>
      <c r="E217" s="59"/>
      <c r="F217" s="60"/>
      <c r="G217" s="85"/>
      <c r="H217" s="59"/>
      <c r="I217" s="86"/>
      <c r="J217" s="105"/>
      <c r="K217" s="88"/>
      <c r="L217" s="88"/>
      <c r="M217" s="88"/>
      <c r="N217" s="88"/>
      <c r="O217" s="88"/>
      <c r="P217" s="88"/>
      <c r="Q217" s="88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</row>
    <row r="218" spans="1:32" ht="24" customHeight="1">
      <c r="A218" s="19"/>
      <c r="B218" s="58"/>
      <c r="C218" s="59"/>
      <c r="D218" s="59"/>
      <c r="E218" s="59"/>
      <c r="F218" s="60"/>
      <c r="G218" s="85"/>
      <c r="H218" s="59"/>
      <c r="I218" s="86"/>
      <c r="J218" s="105"/>
      <c r="K218" s="88"/>
      <c r="L218" s="88"/>
      <c r="M218" s="88"/>
      <c r="N218" s="88"/>
      <c r="O218" s="88"/>
      <c r="P218" s="88"/>
      <c r="Q218" s="88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</row>
    <row r="219" spans="1:32" ht="24" customHeight="1">
      <c r="A219" s="19"/>
      <c r="B219" s="58"/>
      <c r="C219" s="59"/>
      <c r="D219" s="59"/>
      <c r="E219" s="59"/>
      <c r="F219" s="60"/>
      <c r="G219" s="85"/>
      <c r="H219" s="59"/>
      <c r="I219" s="86"/>
      <c r="J219" s="105"/>
      <c r="K219" s="88"/>
      <c r="L219" s="88"/>
      <c r="M219" s="88"/>
      <c r="N219" s="88"/>
      <c r="O219" s="88"/>
      <c r="P219" s="88"/>
      <c r="Q219" s="88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</row>
    <row r="220" spans="1:32" ht="24" customHeight="1">
      <c r="A220" s="19"/>
      <c r="B220" s="58"/>
      <c r="C220" s="59"/>
      <c r="D220" s="59"/>
      <c r="E220" s="59"/>
      <c r="F220" s="60"/>
      <c r="G220" s="85"/>
      <c r="H220" s="59"/>
      <c r="I220" s="86"/>
      <c r="J220" s="105"/>
      <c r="K220" s="88"/>
      <c r="L220" s="88"/>
      <c r="M220" s="88"/>
      <c r="N220" s="88"/>
      <c r="O220" s="88"/>
      <c r="P220" s="88"/>
      <c r="Q220" s="88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</row>
    <row r="221" spans="1:32" ht="24" customHeight="1">
      <c r="A221" s="19"/>
      <c r="B221" s="58"/>
      <c r="C221" s="59"/>
      <c r="D221" s="59"/>
      <c r="E221" s="59"/>
      <c r="F221" s="60"/>
      <c r="G221" s="85"/>
      <c r="H221" s="59"/>
      <c r="I221" s="86"/>
      <c r="J221" s="105"/>
      <c r="K221" s="88"/>
      <c r="L221" s="88"/>
      <c r="M221" s="88"/>
      <c r="N221" s="88"/>
      <c r="O221" s="88"/>
      <c r="P221" s="88"/>
      <c r="Q221" s="88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</row>
    <row r="222" spans="1:32" ht="24" customHeight="1">
      <c r="A222" s="19"/>
      <c r="B222" s="58"/>
      <c r="C222" s="59"/>
      <c r="D222" s="59"/>
      <c r="E222" s="59"/>
      <c r="F222" s="60"/>
      <c r="G222" s="85"/>
      <c r="H222" s="59"/>
      <c r="I222" s="86"/>
      <c r="J222" s="105"/>
      <c r="K222" s="88"/>
      <c r="L222" s="88"/>
      <c r="M222" s="88"/>
      <c r="N222" s="88"/>
      <c r="O222" s="88"/>
      <c r="P222" s="88"/>
      <c r="Q222" s="88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</row>
    <row r="223" spans="1:32" ht="24" customHeight="1">
      <c r="A223" s="19"/>
      <c r="B223" s="58"/>
      <c r="C223" s="59"/>
      <c r="D223" s="59"/>
      <c r="E223" s="59"/>
      <c r="F223" s="60"/>
      <c r="G223" s="85"/>
      <c r="H223" s="59"/>
      <c r="I223" s="86"/>
      <c r="J223" s="105"/>
      <c r="K223" s="88"/>
      <c r="L223" s="88"/>
      <c r="M223" s="88"/>
      <c r="N223" s="88"/>
      <c r="O223" s="88"/>
      <c r="P223" s="88"/>
      <c r="Q223" s="88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</row>
    <row r="224" spans="1:32" ht="24" customHeight="1">
      <c r="A224" s="19"/>
      <c r="B224" s="58"/>
      <c r="C224" s="59"/>
      <c r="D224" s="59"/>
      <c r="E224" s="59"/>
      <c r="F224" s="60"/>
      <c r="G224" s="85"/>
      <c r="H224" s="59"/>
      <c r="I224" s="86"/>
      <c r="J224" s="105"/>
      <c r="K224" s="88"/>
      <c r="L224" s="88"/>
      <c r="M224" s="88"/>
      <c r="N224" s="88"/>
      <c r="O224" s="88"/>
      <c r="P224" s="88"/>
      <c r="Q224" s="88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</row>
    <row r="225" spans="1:32" ht="24" customHeight="1">
      <c r="A225" s="19"/>
      <c r="B225" s="58"/>
      <c r="C225" s="59"/>
      <c r="D225" s="59"/>
      <c r="E225" s="59"/>
      <c r="F225" s="60"/>
      <c r="G225" s="85"/>
      <c r="H225" s="59"/>
      <c r="I225" s="86"/>
      <c r="J225" s="105"/>
      <c r="K225" s="88"/>
      <c r="L225" s="88"/>
      <c r="M225" s="88"/>
      <c r="N225" s="88"/>
      <c r="O225" s="88"/>
      <c r="P225" s="88"/>
      <c r="Q225" s="88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</row>
    <row r="226" spans="1:32" ht="24" customHeight="1">
      <c r="A226" s="19"/>
      <c r="B226" s="58"/>
      <c r="C226" s="59"/>
      <c r="D226" s="59"/>
      <c r="E226" s="59"/>
      <c r="F226" s="60"/>
      <c r="G226" s="85"/>
      <c r="H226" s="59"/>
      <c r="I226" s="86"/>
      <c r="J226" s="105"/>
      <c r="K226" s="88"/>
      <c r="L226" s="88"/>
      <c r="M226" s="88"/>
      <c r="N226" s="88"/>
      <c r="O226" s="88"/>
      <c r="P226" s="88"/>
      <c r="Q226" s="88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</row>
    <row r="227" spans="1:32" ht="24" customHeight="1">
      <c r="A227" s="19"/>
      <c r="B227" s="58"/>
      <c r="C227" s="59"/>
      <c r="D227" s="59"/>
      <c r="E227" s="59"/>
      <c r="F227" s="60"/>
      <c r="G227" s="85"/>
      <c r="H227" s="59"/>
      <c r="I227" s="86"/>
      <c r="J227" s="105"/>
      <c r="K227" s="88"/>
      <c r="L227" s="88"/>
      <c r="M227" s="88"/>
      <c r="N227" s="88"/>
      <c r="O227" s="88"/>
      <c r="P227" s="88"/>
      <c r="Q227" s="88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</row>
    <row r="228" spans="1:32" ht="24" customHeight="1">
      <c r="A228" s="19"/>
      <c r="B228" s="58"/>
      <c r="C228" s="59"/>
      <c r="D228" s="59"/>
      <c r="E228" s="59"/>
      <c r="F228" s="60"/>
      <c r="G228" s="85"/>
      <c r="H228" s="59"/>
      <c r="I228" s="86"/>
      <c r="J228" s="105"/>
      <c r="K228" s="88"/>
      <c r="L228" s="88"/>
      <c r="M228" s="88"/>
      <c r="N228" s="88"/>
      <c r="O228" s="88"/>
      <c r="P228" s="88"/>
      <c r="Q228" s="88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</row>
    <row r="229" spans="1:32" ht="24" customHeight="1">
      <c r="A229" s="19"/>
      <c r="B229" s="58"/>
      <c r="C229" s="59"/>
      <c r="D229" s="59"/>
      <c r="E229" s="59"/>
      <c r="F229" s="60"/>
      <c r="G229" s="85"/>
      <c r="H229" s="59"/>
      <c r="I229" s="86"/>
      <c r="J229" s="105"/>
      <c r="K229" s="88"/>
      <c r="L229" s="88"/>
      <c r="M229" s="88"/>
      <c r="N229" s="88"/>
      <c r="O229" s="88"/>
      <c r="P229" s="88"/>
      <c r="Q229" s="88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</row>
    <row r="230" spans="1:32" ht="24" customHeight="1">
      <c r="A230" s="19"/>
      <c r="B230" s="58"/>
      <c r="C230" s="59"/>
      <c r="D230" s="59"/>
      <c r="E230" s="59"/>
      <c r="F230" s="60"/>
      <c r="G230" s="85"/>
      <c r="H230" s="59"/>
      <c r="I230" s="86"/>
      <c r="J230" s="105"/>
      <c r="K230" s="88"/>
      <c r="L230" s="88"/>
      <c r="M230" s="88"/>
      <c r="N230" s="88"/>
      <c r="O230" s="88"/>
      <c r="P230" s="88"/>
      <c r="Q230" s="88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</row>
    <row r="231" spans="1:32" ht="24" customHeight="1">
      <c r="A231" s="19"/>
      <c r="B231" s="58"/>
      <c r="C231" s="59"/>
      <c r="D231" s="59"/>
      <c r="E231" s="59"/>
      <c r="F231" s="60"/>
      <c r="G231" s="85"/>
      <c r="H231" s="59"/>
      <c r="I231" s="86"/>
      <c r="J231" s="105"/>
      <c r="K231" s="88"/>
      <c r="L231" s="88"/>
      <c r="M231" s="88"/>
      <c r="N231" s="88"/>
      <c r="O231" s="88"/>
      <c r="P231" s="88"/>
      <c r="Q231" s="88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</row>
    <row r="232" spans="1:32" ht="24" customHeight="1">
      <c r="A232" s="19"/>
      <c r="B232" s="58"/>
      <c r="C232" s="59"/>
      <c r="D232" s="59"/>
      <c r="E232" s="59"/>
      <c r="F232" s="60"/>
      <c r="G232" s="85"/>
      <c r="H232" s="59"/>
      <c r="I232" s="86"/>
      <c r="J232" s="105"/>
      <c r="K232" s="88"/>
      <c r="L232" s="88"/>
      <c r="M232" s="88"/>
      <c r="N232" s="88"/>
      <c r="O232" s="88"/>
      <c r="P232" s="88"/>
      <c r="Q232" s="88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</row>
    <row r="233" spans="1:32" ht="24" customHeight="1">
      <c r="A233" s="19"/>
      <c r="B233" s="58"/>
      <c r="C233" s="59"/>
      <c r="D233" s="59"/>
      <c r="E233" s="59"/>
      <c r="F233" s="60"/>
      <c r="G233" s="85"/>
      <c r="H233" s="59"/>
      <c r="I233" s="86"/>
      <c r="J233" s="105"/>
      <c r="K233" s="88"/>
      <c r="L233" s="88"/>
      <c r="M233" s="88"/>
      <c r="N233" s="88"/>
      <c r="O233" s="88"/>
      <c r="P233" s="88"/>
      <c r="Q233" s="88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</row>
    <row r="234" spans="1:32" ht="24" customHeight="1">
      <c r="A234" s="19"/>
      <c r="B234" s="58"/>
      <c r="C234" s="59"/>
      <c r="D234" s="59"/>
      <c r="E234" s="59"/>
      <c r="F234" s="60"/>
      <c r="G234" s="85"/>
      <c r="H234" s="59"/>
      <c r="I234" s="86"/>
      <c r="J234" s="105"/>
      <c r="K234" s="88"/>
      <c r="L234" s="88"/>
      <c r="M234" s="88"/>
      <c r="N234" s="88"/>
      <c r="O234" s="88"/>
      <c r="P234" s="88"/>
      <c r="Q234" s="88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</row>
    <row r="235" spans="1:32" ht="24" customHeight="1">
      <c r="A235" s="19"/>
      <c r="B235" s="58"/>
      <c r="C235" s="59"/>
      <c r="D235" s="59"/>
      <c r="E235" s="59"/>
      <c r="F235" s="60"/>
      <c r="G235" s="85"/>
      <c r="H235" s="59"/>
      <c r="I235" s="86"/>
      <c r="J235" s="105"/>
      <c r="K235" s="88"/>
      <c r="L235" s="88"/>
      <c r="M235" s="88"/>
      <c r="N235" s="88"/>
      <c r="O235" s="88"/>
      <c r="P235" s="88"/>
      <c r="Q235" s="88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</row>
    <row r="236" spans="1:32" ht="24" customHeight="1">
      <c r="A236" s="19"/>
      <c r="B236" s="58"/>
      <c r="C236" s="59"/>
      <c r="D236" s="59"/>
      <c r="E236" s="59"/>
      <c r="F236" s="60"/>
      <c r="G236" s="85"/>
      <c r="H236" s="59"/>
      <c r="I236" s="86"/>
      <c r="J236" s="105"/>
      <c r="K236" s="88"/>
      <c r="L236" s="88"/>
      <c r="M236" s="88"/>
      <c r="N236" s="88"/>
      <c r="O236" s="88"/>
      <c r="P236" s="88"/>
      <c r="Q236" s="88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</row>
    <row r="237" spans="1:32" ht="24" customHeight="1">
      <c r="A237" s="19"/>
      <c r="B237" s="58"/>
      <c r="C237" s="59"/>
      <c r="D237" s="59"/>
      <c r="E237" s="59"/>
      <c r="F237" s="60"/>
      <c r="G237" s="85"/>
      <c r="H237" s="59"/>
      <c r="I237" s="86"/>
      <c r="J237" s="105"/>
      <c r="K237" s="88"/>
      <c r="L237" s="88"/>
      <c r="M237" s="88"/>
      <c r="N237" s="88"/>
      <c r="O237" s="88"/>
      <c r="P237" s="88"/>
      <c r="Q237" s="88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</row>
    <row r="238" spans="1:32" ht="24" customHeight="1">
      <c r="A238" s="19"/>
      <c r="B238" s="58"/>
      <c r="C238" s="59"/>
      <c r="D238" s="59"/>
      <c r="E238" s="59"/>
      <c r="F238" s="60"/>
      <c r="G238" s="85"/>
      <c r="H238" s="59"/>
      <c r="I238" s="86"/>
      <c r="J238" s="105"/>
      <c r="K238" s="88"/>
      <c r="L238" s="88"/>
      <c r="M238" s="88"/>
      <c r="N238" s="88"/>
      <c r="O238" s="88"/>
      <c r="P238" s="88"/>
      <c r="Q238" s="88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</row>
    <row r="239" spans="1:32" ht="24" customHeight="1">
      <c r="A239" s="19"/>
      <c r="B239" s="58"/>
      <c r="C239" s="59"/>
      <c r="D239" s="59"/>
      <c r="E239" s="59"/>
      <c r="F239" s="60"/>
      <c r="G239" s="85"/>
      <c r="H239" s="59"/>
      <c r="I239" s="86"/>
      <c r="J239" s="105"/>
      <c r="K239" s="88"/>
      <c r="L239" s="88"/>
      <c r="M239" s="88"/>
      <c r="N239" s="88"/>
      <c r="O239" s="88"/>
      <c r="P239" s="88"/>
      <c r="Q239" s="88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</row>
    <row r="240" spans="1:32" ht="24" customHeight="1">
      <c r="A240" s="19"/>
      <c r="B240" s="58"/>
      <c r="C240" s="59"/>
      <c r="D240" s="59"/>
      <c r="E240" s="59"/>
      <c r="F240" s="60"/>
      <c r="G240" s="85"/>
      <c r="H240" s="59"/>
      <c r="I240" s="86"/>
      <c r="J240" s="105"/>
      <c r="K240" s="88"/>
      <c r="L240" s="88"/>
      <c r="M240" s="88"/>
      <c r="N240" s="88"/>
      <c r="O240" s="88"/>
      <c r="P240" s="88"/>
      <c r="Q240" s="88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</row>
    <row r="241" spans="1:32" ht="24" customHeight="1">
      <c r="A241" s="19"/>
      <c r="B241" s="58"/>
      <c r="C241" s="59"/>
      <c r="D241" s="59"/>
      <c r="E241" s="59"/>
      <c r="F241" s="60"/>
      <c r="G241" s="85"/>
      <c r="H241" s="59"/>
      <c r="I241" s="86"/>
      <c r="J241" s="105"/>
      <c r="K241" s="88"/>
      <c r="L241" s="88"/>
      <c r="M241" s="88"/>
      <c r="N241" s="88"/>
      <c r="O241" s="88"/>
      <c r="P241" s="88"/>
      <c r="Q241" s="88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</row>
    <row r="242" spans="1:32" ht="24" customHeight="1">
      <c r="A242" s="19"/>
      <c r="B242" s="58"/>
      <c r="C242" s="59"/>
      <c r="D242" s="59"/>
      <c r="E242" s="59"/>
      <c r="F242" s="60"/>
      <c r="G242" s="85"/>
      <c r="H242" s="59"/>
      <c r="I242" s="86"/>
      <c r="J242" s="105"/>
      <c r="K242" s="88"/>
      <c r="L242" s="88"/>
      <c r="M242" s="88"/>
      <c r="N242" s="88"/>
      <c r="O242" s="88"/>
      <c r="P242" s="88"/>
      <c r="Q242" s="88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</row>
    <row r="243" spans="1:32" ht="24" customHeight="1">
      <c r="A243" s="19"/>
      <c r="B243" s="58"/>
      <c r="C243" s="59"/>
      <c r="D243" s="59"/>
      <c r="E243" s="59"/>
      <c r="F243" s="60"/>
      <c r="G243" s="85"/>
      <c r="H243" s="59"/>
      <c r="I243" s="86"/>
      <c r="J243" s="105"/>
      <c r="K243" s="88"/>
      <c r="L243" s="88"/>
      <c r="M243" s="88"/>
      <c r="N243" s="88"/>
      <c r="O243" s="88"/>
      <c r="P243" s="88"/>
      <c r="Q243" s="88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</row>
    <row r="244" spans="1:32" ht="24" customHeight="1">
      <c r="A244" s="19"/>
      <c r="B244" s="58"/>
      <c r="C244" s="59"/>
      <c r="D244" s="59"/>
      <c r="E244" s="59"/>
      <c r="F244" s="60"/>
      <c r="G244" s="85"/>
      <c r="H244" s="59"/>
      <c r="I244" s="86"/>
      <c r="J244" s="105"/>
      <c r="K244" s="88"/>
      <c r="L244" s="88"/>
      <c r="M244" s="88"/>
      <c r="N244" s="88"/>
      <c r="O244" s="88"/>
      <c r="P244" s="88"/>
      <c r="Q244" s="88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</row>
    <row r="245" spans="1:32" ht="24" customHeight="1">
      <c r="A245" s="19"/>
      <c r="B245" s="58"/>
      <c r="C245" s="59"/>
      <c r="D245" s="59"/>
      <c r="E245" s="59"/>
      <c r="F245" s="60"/>
      <c r="G245" s="85"/>
      <c r="H245" s="59"/>
      <c r="I245" s="86"/>
      <c r="J245" s="105"/>
      <c r="K245" s="88"/>
      <c r="L245" s="88"/>
      <c r="M245" s="88"/>
      <c r="N245" s="88"/>
      <c r="O245" s="88"/>
      <c r="P245" s="88"/>
      <c r="Q245" s="88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</row>
    <row r="246" spans="1:32" ht="24" customHeight="1">
      <c r="A246" s="19"/>
      <c r="B246" s="58"/>
      <c r="C246" s="59"/>
      <c r="D246" s="59"/>
      <c r="E246" s="59"/>
      <c r="F246" s="60"/>
      <c r="G246" s="85"/>
      <c r="H246" s="59"/>
      <c r="I246" s="86"/>
      <c r="J246" s="105"/>
      <c r="K246" s="88"/>
      <c r="L246" s="88"/>
      <c r="M246" s="88"/>
      <c r="N246" s="88"/>
      <c r="O246" s="88"/>
      <c r="P246" s="88"/>
      <c r="Q246" s="88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</row>
    <row r="247" spans="1:32" ht="24" customHeight="1">
      <c r="A247" s="19"/>
      <c r="B247" s="58"/>
      <c r="C247" s="59"/>
      <c r="D247" s="59"/>
      <c r="E247" s="59"/>
      <c r="F247" s="60"/>
      <c r="G247" s="85"/>
      <c r="H247" s="59"/>
      <c r="I247" s="86"/>
      <c r="J247" s="105"/>
      <c r="K247" s="88"/>
      <c r="L247" s="88"/>
      <c r="M247" s="88"/>
      <c r="N247" s="88"/>
      <c r="O247" s="88"/>
      <c r="P247" s="88"/>
      <c r="Q247" s="88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</row>
    <row r="248" spans="1:32" ht="24" customHeight="1">
      <c r="A248" s="19"/>
      <c r="B248" s="58"/>
      <c r="C248" s="59"/>
      <c r="D248" s="59"/>
      <c r="E248" s="59"/>
      <c r="F248" s="60"/>
      <c r="G248" s="85"/>
      <c r="H248" s="59"/>
      <c r="I248" s="86"/>
      <c r="J248" s="105"/>
      <c r="K248" s="88"/>
      <c r="L248" s="88"/>
      <c r="M248" s="88"/>
      <c r="N248" s="88"/>
      <c r="O248" s="88"/>
      <c r="P248" s="88"/>
      <c r="Q248" s="88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</row>
    <row r="249" spans="1:32" ht="24" customHeight="1">
      <c r="A249" s="19"/>
      <c r="B249" s="58"/>
      <c r="C249" s="59"/>
      <c r="D249" s="59"/>
      <c r="E249" s="59"/>
      <c r="F249" s="60"/>
      <c r="G249" s="85"/>
      <c r="H249" s="59"/>
      <c r="I249" s="86"/>
      <c r="J249" s="105"/>
      <c r="K249" s="88"/>
      <c r="L249" s="88"/>
      <c r="M249" s="88"/>
      <c r="N249" s="88"/>
      <c r="O249" s="88"/>
      <c r="P249" s="88"/>
      <c r="Q249" s="88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</row>
    <row r="250" spans="1:32" ht="24" customHeight="1">
      <c r="A250" s="19"/>
      <c r="B250" s="58"/>
      <c r="C250" s="59"/>
      <c r="D250" s="59"/>
      <c r="E250" s="59"/>
      <c r="F250" s="60"/>
      <c r="G250" s="85"/>
      <c r="H250" s="59"/>
      <c r="I250" s="86"/>
      <c r="J250" s="105"/>
      <c r="K250" s="88"/>
      <c r="L250" s="88"/>
      <c r="M250" s="88"/>
      <c r="N250" s="88"/>
      <c r="O250" s="88"/>
      <c r="P250" s="88"/>
      <c r="Q250" s="88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</row>
    <row r="251" spans="1:32" ht="24" customHeight="1">
      <c r="A251" s="19"/>
      <c r="B251" s="58"/>
      <c r="C251" s="59"/>
      <c r="D251" s="59"/>
      <c r="E251" s="59"/>
      <c r="F251" s="60"/>
      <c r="G251" s="85"/>
      <c r="H251" s="59"/>
      <c r="I251" s="86"/>
      <c r="J251" s="105"/>
      <c r="K251" s="88"/>
      <c r="L251" s="88"/>
      <c r="M251" s="88"/>
      <c r="N251" s="88"/>
      <c r="O251" s="88"/>
      <c r="P251" s="88"/>
      <c r="Q251" s="88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</row>
    <row r="252" spans="1:32" ht="24" customHeight="1">
      <c r="A252" s="19"/>
      <c r="B252" s="58"/>
      <c r="C252" s="59"/>
      <c r="D252" s="59"/>
      <c r="E252" s="59"/>
      <c r="F252" s="60"/>
      <c r="G252" s="85"/>
      <c r="H252" s="59"/>
      <c r="I252" s="86"/>
      <c r="J252" s="105"/>
      <c r="K252" s="88"/>
      <c r="L252" s="88"/>
      <c r="M252" s="88"/>
      <c r="N252" s="88"/>
      <c r="O252" s="88"/>
      <c r="P252" s="88"/>
      <c r="Q252" s="88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</row>
    <row r="253" spans="1:32" ht="24" customHeight="1">
      <c r="A253" s="19"/>
      <c r="B253" s="58"/>
      <c r="C253" s="59"/>
      <c r="D253" s="59"/>
      <c r="E253" s="59"/>
      <c r="F253" s="60"/>
      <c r="G253" s="85"/>
      <c r="H253" s="59"/>
      <c r="I253" s="86"/>
      <c r="J253" s="105"/>
      <c r="K253" s="88"/>
      <c r="L253" s="88"/>
      <c r="M253" s="88"/>
      <c r="N253" s="88"/>
      <c r="O253" s="88"/>
      <c r="P253" s="88"/>
      <c r="Q253" s="88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</row>
    <row r="254" spans="1:32" ht="24" customHeight="1">
      <c r="A254" s="19"/>
      <c r="B254" s="58"/>
      <c r="C254" s="59"/>
      <c r="D254" s="59"/>
      <c r="E254" s="59"/>
      <c r="F254" s="60"/>
      <c r="G254" s="85"/>
      <c r="H254" s="59"/>
      <c r="I254" s="86"/>
      <c r="J254" s="105"/>
      <c r="K254" s="88"/>
      <c r="L254" s="88"/>
      <c r="M254" s="88"/>
      <c r="N254" s="88"/>
      <c r="O254" s="88"/>
      <c r="P254" s="88"/>
      <c r="Q254" s="88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</row>
    <row r="255" spans="1:32" ht="24" customHeight="1">
      <c r="A255" s="19"/>
      <c r="B255" s="58"/>
      <c r="C255" s="59"/>
      <c r="D255" s="59"/>
      <c r="E255" s="59"/>
      <c r="F255" s="60"/>
      <c r="G255" s="85"/>
      <c r="H255" s="59"/>
      <c r="I255" s="86"/>
      <c r="J255" s="105"/>
      <c r="K255" s="88"/>
      <c r="L255" s="88"/>
      <c r="M255" s="88"/>
      <c r="N255" s="88"/>
      <c r="O255" s="88"/>
      <c r="P255" s="88"/>
      <c r="Q255" s="88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</row>
    <row r="256" spans="1:32" ht="24" customHeight="1">
      <c r="A256" s="19"/>
      <c r="B256" s="58"/>
      <c r="C256" s="59"/>
      <c r="D256" s="59"/>
      <c r="E256" s="59"/>
      <c r="F256" s="60"/>
      <c r="G256" s="85"/>
      <c r="H256" s="59"/>
      <c r="I256" s="86"/>
      <c r="J256" s="105"/>
      <c r="K256" s="88"/>
      <c r="L256" s="88"/>
      <c r="M256" s="88"/>
      <c r="N256" s="88"/>
      <c r="O256" s="88"/>
      <c r="P256" s="88"/>
      <c r="Q256" s="88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</row>
    <row r="257" spans="1:32" ht="24" customHeight="1">
      <c r="A257" s="19"/>
      <c r="B257" s="58"/>
      <c r="C257" s="59"/>
      <c r="D257" s="59"/>
      <c r="E257" s="59"/>
      <c r="F257" s="60"/>
      <c r="G257" s="85"/>
      <c r="H257" s="59"/>
      <c r="I257" s="86"/>
      <c r="J257" s="105"/>
      <c r="K257" s="88"/>
      <c r="L257" s="88"/>
      <c r="M257" s="88"/>
      <c r="N257" s="88"/>
      <c r="O257" s="88"/>
      <c r="P257" s="88"/>
      <c r="Q257" s="88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</row>
    <row r="258" spans="1:32" ht="24" customHeight="1">
      <c r="A258" s="19"/>
      <c r="B258" s="58"/>
      <c r="C258" s="59"/>
      <c r="D258" s="59"/>
      <c r="E258" s="59"/>
      <c r="F258" s="60"/>
      <c r="G258" s="85"/>
      <c r="H258" s="59"/>
      <c r="I258" s="86"/>
      <c r="J258" s="105"/>
      <c r="K258" s="88"/>
      <c r="L258" s="88"/>
      <c r="M258" s="88"/>
      <c r="N258" s="88"/>
      <c r="O258" s="88"/>
      <c r="P258" s="88"/>
      <c r="Q258" s="88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</row>
    <row r="259" spans="1:32" ht="24" customHeight="1">
      <c r="A259" s="19"/>
      <c r="B259" s="58"/>
      <c r="C259" s="59"/>
      <c r="D259" s="59"/>
      <c r="E259" s="59"/>
      <c r="F259" s="60"/>
      <c r="G259" s="85"/>
      <c r="H259" s="59"/>
      <c r="I259" s="86"/>
      <c r="J259" s="105"/>
      <c r="K259" s="88"/>
      <c r="L259" s="88"/>
      <c r="M259" s="88"/>
      <c r="N259" s="88"/>
      <c r="O259" s="88"/>
      <c r="P259" s="88"/>
      <c r="Q259" s="88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</row>
    <row r="260" spans="1:32" ht="24" customHeight="1">
      <c r="A260" s="19"/>
      <c r="B260" s="58"/>
      <c r="C260" s="59"/>
      <c r="D260" s="59"/>
      <c r="E260" s="59"/>
      <c r="F260" s="60"/>
      <c r="G260" s="85"/>
      <c r="H260" s="59"/>
      <c r="I260" s="86"/>
      <c r="J260" s="105"/>
      <c r="K260" s="88"/>
      <c r="L260" s="88"/>
      <c r="M260" s="88"/>
      <c r="N260" s="88"/>
      <c r="O260" s="88"/>
      <c r="P260" s="88"/>
      <c r="Q260" s="88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</row>
    <row r="261" spans="1:32" ht="24" customHeight="1">
      <c r="A261" s="19"/>
      <c r="B261" s="58"/>
      <c r="C261" s="59"/>
      <c r="D261" s="59"/>
      <c r="E261" s="59"/>
      <c r="F261" s="60"/>
      <c r="G261" s="85"/>
      <c r="H261" s="59"/>
      <c r="I261" s="86"/>
      <c r="J261" s="105"/>
      <c r="K261" s="88"/>
      <c r="L261" s="88"/>
      <c r="M261" s="88"/>
      <c r="N261" s="88"/>
      <c r="O261" s="88"/>
      <c r="P261" s="88"/>
      <c r="Q261" s="88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</row>
    <row r="262" spans="1:32" ht="24" customHeight="1">
      <c r="A262" s="19"/>
      <c r="B262" s="58"/>
      <c r="C262" s="59"/>
      <c r="D262" s="59"/>
      <c r="E262" s="59"/>
      <c r="F262" s="60"/>
      <c r="G262" s="85"/>
      <c r="H262" s="59"/>
      <c r="I262" s="86"/>
      <c r="J262" s="105"/>
      <c r="K262" s="88"/>
      <c r="L262" s="88"/>
      <c r="M262" s="88"/>
      <c r="N262" s="88"/>
      <c r="O262" s="88"/>
      <c r="P262" s="88"/>
      <c r="Q262" s="88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</row>
    <row r="263" spans="1:32" ht="24" customHeight="1">
      <c r="A263" s="19"/>
      <c r="B263" s="58"/>
      <c r="C263" s="59"/>
      <c r="D263" s="59"/>
      <c r="E263" s="59"/>
      <c r="F263" s="60"/>
      <c r="G263" s="85"/>
      <c r="H263" s="59"/>
      <c r="I263" s="86"/>
      <c r="J263" s="105"/>
      <c r="K263" s="88"/>
      <c r="L263" s="88"/>
      <c r="M263" s="88"/>
      <c r="N263" s="88"/>
      <c r="O263" s="88"/>
      <c r="P263" s="88"/>
      <c r="Q263" s="88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</row>
    <row r="264" spans="1:32" ht="24" customHeight="1">
      <c r="A264" s="19"/>
      <c r="B264" s="58"/>
      <c r="C264" s="59"/>
      <c r="D264" s="59"/>
      <c r="E264" s="59"/>
      <c r="F264" s="60"/>
      <c r="G264" s="85"/>
      <c r="H264" s="59"/>
      <c r="I264" s="86"/>
      <c r="J264" s="105"/>
      <c r="K264" s="88"/>
      <c r="L264" s="88"/>
      <c r="M264" s="88"/>
      <c r="N264" s="88"/>
      <c r="O264" s="88"/>
      <c r="P264" s="88"/>
      <c r="Q264" s="88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</row>
    <row r="265" spans="1:32" ht="24" customHeight="1">
      <c r="A265" s="19"/>
      <c r="B265" s="58"/>
      <c r="C265" s="59"/>
      <c r="D265" s="59"/>
      <c r="E265" s="59"/>
      <c r="F265" s="60"/>
      <c r="G265" s="85"/>
      <c r="H265" s="59"/>
      <c r="I265" s="86"/>
      <c r="J265" s="105"/>
      <c r="K265" s="88"/>
      <c r="L265" s="88"/>
      <c r="M265" s="88"/>
      <c r="N265" s="88"/>
      <c r="O265" s="88"/>
      <c r="P265" s="88"/>
      <c r="Q265" s="88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</row>
    <row r="266" spans="1:32" ht="24" customHeight="1">
      <c r="A266" s="19"/>
      <c r="B266" s="58"/>
      <c r="C266" s="59"/>
      <c r="D266" s="59"/>
      <c r="E266" s="59"/>
      <c r="F266" s="60"/>
      <c r="G266" s="85"/>
      <c r="H266" s="59"/>
      <c r="I266" s="86"/>
      <c r="J266" s="105"/>
      <c r="K266" s="88"/>
      <c r="L266" s="88"/>
      <c r="M266" s="88"/>
      <c r="N266" s="88"/>
      <c r="O266" s="88"/>
      <c r="P266" s="88"/>
      <c r="Q266" s="88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</row>
    <row r="267" spans="1:32" ht="24" customHeight="1">
      <c r="A267" s="19"/>
      <c r="B267" s="58"/>
      <c r="C267" s="59"/>
      <c r="D267" s="59"/>
      <c r="E267" s="59"/>
      <c r="F267" s="60"/>
      <c r="G267" s="85"/>
      <c r="H267" s="59"/>
      <c r="I267" s="86"/>
      <c r="J267" s="105"/>
      <c r="K267" s="88"/>
      <c r="L267" s="88"/>
      <c r="M267" s="88"/>
      <c r="N267" s="88"/>
      <c r="O267" s="88"/>
      <c r="P267" s="88"/>
      <c r="Q267" s="88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</row>
    <row r="268" spans="1:32" ht="24" customHeight="1">
      <c r="A268" s="19"/>
      <c r="B268" s="58"/>
      <c r="C268" s="59"/>
      <c r="D268" s="59"/>
      <c r="E268" s="59"/>
      <c r="F268" s="60"/>
      <c r="G268" s="85"/>
      <c r="H268" s="59"/>
      <c r="I268" s="86"/>
      <c r="J268" s="105"/>
      <c r="K268" s="88"/>
      <c r="L268" s="88"/>
      <c r="M268" s="88"/>
      <c r="N268" s="88"/>
      <c r="O268" s="88"/>
      <c r="P268" s="88"/>
      <c r="Q268" s="88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</row>
    <row r="269" spans="1:32" ht="24" customHeight="1">
      <c r="A269" s="19"/>
      <c r="B269" s="58"/>
      <c r="C269" s="59"/>
      <c r="D269" s="59"/>
      <c r="E269" s="59"/>
      <c r="F269" s="60"/>
      <c r="G269" s="85"/>
      <c r="H269" s="59"/>
      <c r="I269" s="86"/>
      <c r="J269" s="105"/>
      <c r="K269" s="88"/>
      <c r="L269" s="88"/>
      <c r="M269" s="88"/>
      <c r="N269" s="88"/>
      <c r="O269" s="88"/>
      <c r="P269" s="88"/>
      <c r="Q269" s="88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</row>
    <row r="270" spans="1:32" ht="24" customHeight="1">
      <c r="A270" s="19"/>
      <c r="B270" s="58"/>
      <c r="C270" s="59"/>
      <c r="D270" s="59"/>
      <c r="E270" s="59"/>
      <c r="F270" s="60"/>
      <c r="G270" s="85"/>
      <c r="H270" s="59"/>
      <c r="I270" s="86"/>
      <c r="J270" s="105"/>
      <c r="K270" s="88"/>
      <c r="L270" s="88"/>
      <c r="M270" s="88"/>
      <c r="N270" s="88"/>
      <c r="O270" s="88"/>
      <c r="P270" s="88"/>
      <c r="Q270" s="88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</row>
    <row r="271" spans="1:32" ht="24" customHeight="1">
      <c r="A271" s="19"/>
      <c r="B271" s="58"/>
      <c r="C271" s="59"/>
      <c r="D271" s="59"/>
      <c r="E271" s="59"/>
      <c r="F271" s="60"/>
      <c r="G271" s="85"/>
      <c r="H271" s="59"/>
      <c r="I271" s="86"/>
      <c r="J271" s="105"/>
      <c r="K271" s="88"/>
      <c r="L271" s="88"/>
      <c r="M271" s="88"/>
      <c r="N271" s="88"/>
      <c r="O271" s="88"/>
      <c r="P271" s="88"/>
      <c r="Q271" s="88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</row>
    <row r="272" spans="1:32" ht="24" customHeight="1">
      <c r="A272" s="19"/>
      <c r="B272" s="58"/>
      <c r="C272" s="59"/>
      <c r="D272" s="59"/>
      <c r="E272" s="59"/>
      <c r="F272" s="60"/>
      <c r="G272" s="85"/>
      <c r="H272" s="59"/>
      <c r="I272" s="86"/>
      <c r="J272" s="105"/>
      <c r="K272" s="88"/>
      <c r="L272" s="88"/>
      <c r="M272" s="88"/>
      <c r="N272" s="88"/>
      <c r="O272" s="88"/>
      <c r="P272" s="88"/>
      <c r="Q272" s="88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</row>
    <row r="273" spans="1:32" ht="24" customHeight="1">
      <c r="A273" s="19"/>
      <c r="B273" s="58"/>
      <c r="C273" s="59"/>
      <c r="D273" s="59"/>
      <c r="E273" s="59"/>
      <c r="F273" s="60"/>
      <c r="G273" s="85"/>
      <c r="H273" s="59"/>
      <c r="I273" s="86"/>
      <c r="J273" s="105"/>
      <c r="K273" s="88"/>
      <c r="L273" s="88"/>
      <c r="M273" s="88"/>
      <c r="N273" s="88"/>
      <c r="O273" s="88"/>
      <c r="P273" s="88"/>
      <c r="Q273" s="88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</row>
    <row r="274" spans="1:32" ht="24" customHeight="1">
      <c r="A274" s="19"/>
      <c r="B274" s="58"/>
      <c r="C274" s="59"/>
      <c r="D274" s="59"/>
      <c r="E274" s="59"/>
      <c r="F274" s="60"/>
      <c r="G274" s="85"/>
      <c r="H274" s="59"/>
      <c r="I274" s="86"/>
      <c r="J274" s="105"/>
      <c r="K274" s="88"/>
      <c r="L274" s="88"/>
      <c r="M274" s="88"/>
      <c r="N274" s="88"/>
      <c r="O274" s="88"/>
      <c r="P274" s="88"/>
      <c r="Q274" s="88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</row>
    <row r="275" spans="1:32" ht="24" customHeight="1">
      <c r="A275" s="19"/>
      <c r="B275" s="58"/>
      <c r="C275" s="59"/>
      <c r="D275" s="59"/>
      <c r="E275" s="59"/>
      <c r="F275" s="60"/>
      <c r="G275" s="85"/>
      <c r="H275" s="59"/>
      <c r="I275" s="86"/>
      <c r="J275" s="105"/>
      <c r="K275" s="88"/>
      <c r="L275" s="88"/>
      <c r="M275" s="88"/>
      <c r="N275" s="88"/>
      <c r="O275" s="88"/>
      <c r="P275" s="88"/>
      <c r="Q275" s="88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</row>
    <row r="276" spans="1:32" ht="24" customHeight="1">
      <c r="A276" s="19"/>
      <c r="B276" s="58"/>
      <c r="C276" s="59"/>
      <c r="D276" s="59"/>
      <c r="E276" s="59"/>
      <c r="F276" s="60"/>
      <c r="G276" s="85"/>
      <c r="H276" s="59"/>
      <c r="I276" s="86"/>
      <c r="J276" s="105"/>
      <c r="K276" s="88"/>
      <c r="L276" s="88"/>
      <c r="M276" s="88"/>
      <c r="N276" s="88"/>
      <c r="O276" s="88"/>
      <c r="P276" s="88"/>
      <c r="Q276" s="88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</row>
    <row r="277" spans="1:32" ht="24" customHeight="1">
      <c r="A277" s="19"/>
      <c r="B277" s="58"/>
      <c r="C277" s="59"/>
      <c r="D277" s="59"/>
      <c r="E277" s="59"/>
      <c r="F277" s="60"/>
      <c r="G277" s="85"/>
      <c r="H277" s="59"/>
      <c r="I277" s="86"/>
      <c r="J277" s="105"/>
      <c r="K277" s="88"/>
      <c r="L277" s="88"/>
      <c r="M277" s="88"/>
      <c r="N277" s="88"/>
      <c r="O277" s="88"/>
      <c r="P277" s="88"/>
      <c r="Q277" s="88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</row>
    <row r="278" spans="1:32" ht="24" customHeight="1">
      <c r="A278" s="19"/>
      <c r="B278" s="58"/>
      <c r="C278" s="59"/>
      <c r="D278" s="59"/>
      <c r="E278" s="59"/>
      <c r="F278" s="60"/>
      <c r="G278" s="85"/>
      <c r="H278" s="59"/>
      <c r="I278" s="86"/>
      <c r="J278" s="105"/>
      <c r="K278" s="88"/>
      <c r="L278" s="88"/>
      <c r="M278" s="88"/>
      <c r="N278" s="88"/>
      <c r="O278" s="88"/>
      <c r="P278" s="88"/>
      <c r="Q278" s="88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</row>
    <row r="279" spans="1:32" ht="24" customHeight="1">
      <c r="A279" s="19"/>
      <c r="B279" s="58"/>
      <c r="C279" s="59"/>
      <c r="D279" s="59"/>
      <c r="E279" s="59"/>
      <c r="F279" s="60"/>
      <c r="G279" s="85"/>
      <c r="H279" s="59"/>
      <c r="I279" s="86"/>
      <c r="J279" s="105"/>
      <c r="K279" s="88"/>
      <c r="L279" s="88"/>
      <c r="M279" s="88"/>
      <c r="N279" s="88"/>
      <c r="O279" s="88"/>
      <c r="P279" s="88"/>
      <c r="Q279" s="88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</row>
    <row r="280" spans="1:32" ht="24" customHeight="1">
      <c r="A280" s="19"/>
      <c r="B280" s="58"/>
      <c r="C280" s="59"/>
      <c r="D280" s="59"/>
      <c r="E280" s="59"/>
      <c r="F280" s="60"/>
      <c r="G280" s="85"/>
      <c r="H280" s="59"/>
      <c r="I280" s="86"/>
      <c r="J280" s="105"/>
      <c r="K280" s="88"/>
      <c r="L280" s="88"/>
      <c r="M280" s="88"/>
      <c r="N280" s="88"/>
      <c r="O280" s="88"/>
      <c r="P280" s="88"/>
      <c r="Q280" s="88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</row>
    <row r="281" spans="1:32" ht="24" customHeight="1">
      <c r="A281" s="19"/>
      <c r="B281" s="58"/>
      <c r="C281" s="59"/>
      <c r="D281" s="59"/>
      <c r="E281" s="59"/>
      <c r="F281" s="60"/>
      <c r="G281" s="85"/>
      <c r="H281" s="59"/>
      <c r="I281" s="86"/>
      <c r="J281" s="105"/>
      <c r="K281" s="88"/>
      <c r="L281" s="88"/>
      <c r="M281" s="88"/>
      <c r="N281" s="88"/>
      <c r="O281" s="88"/>
      <c r="P281" s="88"/>
      <c r="Q281" s="88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</row>
    <row r="282" spans="1:32" ht="24" customHeight="1">
      <c r="A282" s="19"/>
      <c r="B282" s="58"/>
      <c r="C282" s="59"/>
      <c r="D282" s="59"/>
      <c r="E282" s="59"/>
      <c r="F282" s="60"/>
      <c r="G282" s="85"/>
      <c r="H282" s="59"/>
      <c r="I282" s="86"/>
      <c r="J282" s="105"/>
      <c r="K282" s="88"/>
      <c r="L282" s="88"/>
      <c r="M282" s="88"/>
      <c r="N282" s="88"/>
      <c r="O282" s="88"/>
      <c r="P282" s="88"/>
      <c r="Q282" s="88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</row>
    <row r="283" spans="1:32" ht="24" customHeight="1">
      <c r="A283" s="19"/>
      <c r="B283" s="58"/>
      <c r="C283" s="59"/>
      <c r="D283" s="59"/>
      <c r="E283" s="59"/>
      <c r="F283" s="60"/>
      <c r="G283" s="85"/>
      <c r="H283" s="59"/>
      <c r="I283" s="86"/>
      <c r="J283" s="105"/>
      <c r="K283" s="88"/>
      <c r="L283" s="88"/>
      <c r="M283" s="88"/>
      <c r="N283" s="88"/>
      <c r="O283" s="88"/>
      <c r="P283" s="88"/>
      <c r="Q283" s="88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</row>
    <row r="284" spans="1:32" ht="24" customHeight="1">
      <c r="A284" s="19"/>
      <c r="B284" s="58"/>
      <c r="C284" s="59"/>
      <c r="D284" s="59"/>
      <c r="E284" s="59"/>
      <c r="F284" s="60"/>
      <c r="G284" s="85"/>
      <c r="H284" s="59"/>
      <c r="I284" s="86"/>
      <c r="J284" s="105"/>
      <c r="K284" s="88"/>
      <c r="L284" s="88"/>
      <c r="M284" s="88"/>
      <c r="N284" s="88"/>
      <c r="O284" s="88"/>
      <c r="P284" s="88"/>
      <c r="Q284" s="88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</row>
    <row r="285" spans="1:32" ht="24" customHeight="1">
      <c r="A285" s="19"/>
      <c r="B285" s="58"/>
      <c r="C285" s="59"/>
      <c r="D285" s="59"/>
      <c r="E285" s="59"/>
      <c r="F285" s="60"/>
      <c r="G285" s="85"/>
      <c r="H285" s="59"/>
      <c r="I285" s="86"/>
      <c r="J285" s="105"/>
      <c r="K285" s="88"/>
      <c r="L285" s="88"/>
      <c r="M285" s="88"/>
      <c r="N285" s="88"/>
      <c r="O285" s="88"/>
      <c r="P285" s="88"/>
      <c r="Q285" s="88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</row>
    <row r="286" spans="1:32" ht="24" customHeight="1">
      <c r="A286" s="19"/>
      <c r="B286" s="58"/>
      <c r="C286" s="59"/>
      <c r="D286" s="59"/>
      <c r="E286" s="59"/>
      <c r="F286" s="60"/>
      <c r="G286" s="85"/>
      <c r="H286" s="59"/>
      <c r="I286" s="86"/>
      <c r="J286" s="105"/>
      <c r="K286" s="88"/>
      <c r="L286" s="88"/>
      <c r="M286" s="88"/>
      <c r="N286" s="88"/>
      <c r="O286" s="88"/>
      <c r="P286" s="88"/>
      <c r="Q286" s="88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</row>
    <row r="287" spans="1:32" ht="24" customHeight="1">
      <c r="A287" s="19"/>
      <c r="B287" s="58"/>
      <c r="C287" s="59"/>
      <c r="D287" s="59"/>
      <c r="E287" s="59"/>
      <c r="F287" s="60"/>
      <c r="G287" s="85"/>
      <c r="H287" s="59"/>
      <c r="I287" s="86"/>
      <c r="J287" s="105"/>
      <c r="K287" s="88"/>
      <c r="L287" s="88"/>
      <c r="M287" s="88"/>
      <c r="N287" s="88"/>
      <c r="O287" s="88"/>
      <c r="P287" s="88"/>
      <c r="Q287" s="88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</row>
    <row r="288" spans="1:32" ht="24" customHeight="1">
      <c r="A288" s="19"/>
      <c r="B288" s="58"/>
      <c r="C288" s="59"/>
      <c r="D288" s="59"/>
      <c r="E288" s="59"/>
      <c r="F288" s="60"/>
      <c r="G288" s="85"/>
      <c r="H288" s="59"/>
      <c r="I288" s="86"/>
      <c r="J288" s="105"/>
      <c r="K288" s="88"/>
      <c r="L288" s="88"/>
      <c r="M288" s="88"/>
      <c r="N288" s="88"/>
      <c r="O288" s="88"/>
      <c r="P288" s="88"/>
      <c r="Q288" s="88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</row>
    <row r="289" spans="1:32" ht="24" customHeight="1">
      <c r="A289" s="19"/>
      <c r="B289" s="58"/>
      <c r="C289" s="59"/>
      <c r="D289" s="59"/>
      <c r="E289" s="59"/>
      <c r="F289" s="60"/>
      <c r="G289" s="85"/>
      <c r="H289" s="59"/>
      <c r="I289" s="86"/>
      <c r="J289" s="105"/>
      <c r="K289" s="88"/>
      <c r="L289" s="88"/>
      <c r="M289" s="88"/>
      <c r="N289" s="88"/>
      <c r="O289" s="88"/>
      <c r="P289" s="88"/>
      <c r="Q289" s="88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</row>
    <row r="290" spans="1:32" ht="24" customHeight="1">
      <c r="A290" s="19"/>
      <c r="B290" s="58"/>
      <c r="C290" s="59"/>
      <c r="D290" s="59"/>
      <c r="E290" s="59"/>
      <c r="F290" s="60"/>
      <c r="G290" s="85"/>
      <c r="H290" s="59"/>
      <c r="I290" s="86"/>
      <c r="J290" s="105"/>
      <c r="K290" s="88"/>
      <c r="L290" s="88"/>
      <c r="M290" s="88"/>
      <c r="N290" s="88"/>
      <c r="O290" s="88"/>
      <c r="P290" s="88"/>
      <c r="Q290" s="88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</row>
    <row r="291" spans="1:32" ht="24" customHeight="1">
      <c r="A291" s="19"/>
      <c r="B291" s="58"/>
      <c r="C291" s="59"/>
      <c r="D291" s="59"/>
      <c r="E291" s="59"/>
      <c r="F291" s="60"/>
      <c r="G291" s="85"/>
      <c r="H291" s="59"/>
      <c r="I291" s="86"/>
      <c r="J291" s="105"/>
      <c r="K291" s="88"/>
      <c r="L291" s="88"/>
      <c r="M291" s="88"/>
      <c r="N291" s="88"/>
      <c r="O291" s="88"/>
      <c r="P291" s="88"/>
      <c r="Q291" s="88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</row>
    <row r="292" spans="1:32" ht="24" customHeight="1">
      <c r="A292" s="19"/>
      <c r="B292" s="58"/>
      <c r="C292" s="59"/>
      <c r="D292" s="59"/>
      <c r="E292" s="59"/>
      <c r="F292" s="60"/>
      <c r="G292" s="85"/>
      <c r="H292" s="59"/>
      <c r="I292" s="86"/>
      <c r="J292" s="105"/>
      <c r="K292" s="88"/>
      <c r="L292" s="88"/>
      <c r="M292" s="88"/>
      <c r="N292" s="88"/>
      <c r="O292" s="88"/>
      <c r="P292" s="88"/>
      <c r="Q292" s="88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</row>
    <row r="293" spans="1:32" ht="24" customHeight="1">
      <c r="A293" s="19"/>
      <c r="B293" s="58"/>
      <c r="C293" s="59"/>
      <c r="D293" s="59"/>
      <c r="E293" s="59"/>
      <c r="F293" s="60"/>
      <c r="G293" s="85"/>
      <c r="H293" s="59"/>
      <c r="I293" s="86"/>
      <c r="J293" s="105"/>
      <c r="K293" s="88"/>
      <c r="L293" s="88"/>
      <c r="M293" s="88"/>
      <c r="N293" s="88"/>
      <c r="O293" s="88"/>
      <c r="P293" s="88"/>
      <c r="Q293" s="88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</row>
    <row r="294" spans="1:32" ht="24" customHeight="1">
      <c r="A294" s="19"/>
      <c r="B294" s="58"/>
      <c r="C294" s="59"/>
      <c r="D294" s="59"/>
      <c r="E294" s="59"/>
      <c r="F294" s="60"/>
      <c r="G294" s="85"/>
      <c r="H294" s="59"/>
      <c r="I294" s="86"/>
      <c r="J294" s="105"/>
      <c r="K294" s="88"/>
      <c r="L294" s="88"/>
      <c r="M294" s="88"/>
      <c r="N294" s="88"/>
      <c r="O294" s="88"/>
      <c r="P294" s="88"/>
      <c r="Q294" s="88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</row>
    <row r="295" spans="1:32" ht="24" customHeight="1">
      <c r="A295" s="19"/>
      <c r="B295" s="58"/>
      <c r="C295" s="59"/>
      <c r="D295" s="59"/>
      <c r="E295" s="59"/>
      <c r="F295" s="60"/>
      <c r="G295" s="85"/>
      <c r="H295" s="59"/>
      <c r="I295" s="86"/>
      <c r="J295" s="105"/>
      <c r="K295" s="88"/>
      <c r="L295" s="88"/>
      <c r="M295" s="88"/>
      <c r="N295" s="88"/>
      <c r="O295" s="88"/>
      <c r="P295" s="88"/>
      <c r="Q295" s="88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</row>
    <row r="296" spans="1:32" ht="24" customHeight="1">
      <c r="A296" s="19"/>
      <c r="B296" s="58"/>
      <c r="C296" s="59"/>
      <c r="D296" s="59"/>
      <c r="E296" s="59"/>
      <c r="F296" s="60"/>
      <c r="G296" s="85"/>
      <c r="H296" s="59"/>
      <c r="I296" s="86"/>
      <c r="J296" s="105"/>
      <c r="K296" s="88"/>
      <c r="L296" s="88"/>
      <c r="M296" s="88"/>
      <c r="N296" s="88"/>
      <c r="O296" s="88"/>
      <c r="P296" s="88"/>
      <c r="Q296" s="88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</row>
    <row r="297" spans="1:32" ht="24" customHeight="1">
      <c r="A297" s="19"/>
      <c r="B297" s="58"/>
      <c r="C297" s="59"/>
      <c r="D297" s="59"/>
      <c r="E297" s="59"/>
      <c r="F297" s="60"/>
      <c r="G297" s="85"/>
      <c r="H297" s="59"/>
      <c r="I297" s="86"/>
      <c r="J297" s="105"/>
      <c r="K297" s="88"/>
      <c r="L297" s="88"/>
      <c r="M297" s="88"/>
      <c r="N297" s="88"/>
      <c r="O297" s="88"/>
      <c r="P297" s="88"/>
      <c r="Q297" s="88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</row>
    <row r="298" spans="1:32" ht="24" customHeight="1">
      <c r="A298" s="19"/>
      <c r="B298" s="58"/>
      <c r="C298" s="59"/>
      <c r="D298" s="59"/>
      <c r="E298" s="59"/>
      <c r="F298" s="60"/>
      <c r="G298" s="85"/>
      <c r="H298" s="59"/>
      <c r="I298" s="86"/>
      <c r="J298" s="105"/>
      <c r="K298" s="88"/>
      <c r="L298" s="88"/>
      <c r="M298" s="88"/>
      <c r="N298" s="88"/>
      <c r="O298" s="88"/>
      <c r="P298" s="88"/>
      <c r="Q298" s="88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</row>
    <row r="299" spans="1:32" ht="24" customHeight="1">
      <c r="A299" s="19"/>
      <c r="B299" s="58"/>
      <c r="C299" s="59"/>
      <c r="D299" s="59"/>
      <c r="E299" s="59"/>
      <c r="F299" s="60"/>
      <c r="G299" s="85"/>
      <c r="H299" s="59"/>
      <c r="I299" s="86"/>
      <c r="J299" s="105"/>
      <c r="K299" s="88"/>
      <c r="L299" s="88"/>
      <c r="M299" s="88"/>
      <c r="N299" s="88"/>
      <c r="O299" s="88"/>
      <c r="P299" s="88"/>
      <c r="Q299" s="88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</row>
    <row r="300" spans="1:32" ht="24" customHeight="1">
      <c r="A300" s="19"/>
      <c r="B300" s="58"/>
      <c r="C300" s="59"/>
      <c r="D300" s="59"/>
      <c r="E300" s="59"/>
      <c r="F300" s="60"/>
      <c r="G300" s="85"/>
      <c r="H300" s="59"/>
      <c r="I300" s="86"/>
      <c r="J300" s="105"/>
      <c r="K300" s="88"/>
      <c r="L300" s="88"/>
      <c r="M300" s="88"/>
      <c r="N300" s="88"/>
      <c r="O300" s="88"/>
      <c r="P300" s="88"/>
      <c r="Q300" s="88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</row>
    <row r="301" spans="1:32" ht="24" customHeight="1">
      <c r="A301" s="19"/>
      <c r="B301" s="58"/>
      <c r="C301" s="59"/>
      <c r="D301" s="59"/>
      <c r="E301" s="59"/>
      <c r="F301" s="60"/>
      <c r="G301" s="85"/>
      <c r="H301" s="59"/>
      <c r="I301" s="86"/>
      <c r="J301" s="105"/>
      <c r="K301" s="88"/>
      <c r="L301" s="88"/>
      <c r="M301" s="88"/>
      <c r="N301" s="88"/>
      <c r="O301" s="88"/>
      <c r="P301" s="88"/>
      <c r="Q301" s="88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</row>
    <row r="302" spans="1:32" ht="24" customHeight="1">
      <c r="A302" s="19"/>
      <c r="B302" s="58"/>
      <c r="C302" s="59"/>
      <c r="D302" s="59"/>
      <c r="E302" s="59"/>
      <c r="F302" s="60"/>
      <c r="G302" s="85"/>
      <c r="H302" s="59"/>
      <c r="I302" s="86"/>
      <c r="J302" s="105"/>
      <c r="K302" s="88"/>
      <c r="L302" s="88"/>
      <c r="M302" s="88"/>
      <c r="N302" s="88"/>
      <c r="O302" s="88"/>
      <c r="P302" s="88"/>
      <c r="Q302" s="88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</row>
    <row r="303" spans="1:32" ht="24" customHeight="1">
      <c r="A303" s="19"/>
      <c r="B303" s="58"/>
      <c r="C303" s="59"/>
      <c r="D303" s="59"/>
      <c r="E303" s="59"/>
      <c r="F303" s="60"/>
      <c r="G303" s="85"/>
      <c r="H303" s="59"/>
      <c r="I303" s="86"/>
      <c r="J303" s="105"/>
      <c r="K303" s="88"/>
      <c r="L303" s="88"/>
      <c r="M303" s="88"/>
      <c r="N303" s="88"/>
      <c r="O303" s="88"/>
      <c r="P303" s="88"/>
      <c r="Q303" s="88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</row>
    <row r="304" spans="1:32" ht="24" customHeight="1">
      <c r="A304" s="19"/>
      <c r="B304" s="58"/>
      <c r="C304" s="59"/>
      <c r="D304" s="59"/>
      <c r="E304" s="59"/>
      <c r="F304" s="60"/>
      <c r="G304" s="85"/>
      <c r="H304" s="59"/>
      <c r="I304" s="86"/>
      <c r="J304" s="105"/>
      <c r="K304" s="88"/>
      <c r="L304" s="88"/>
      <c r="M304" s="88"/>
      <c r="N304" s="88"/>
      <c r="O304" s="88"/>
      <c r="P304" s="88"/>
      <c r="Q304" s="88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</row>
    <row r="305" spans="1:32" ht="24" customHeight="1">
      <c r="A305" s="19"/>
      <c r="B305" s="58"/>
      <c r="C305" s="59"/>
      <c r="D305" s="59"/>
      <c r="E305" s="59"/>
      <c r="F305" s="60"/>
      <c r="G305" s="85"/>
      <c r="H305" s="59"/>
      <c r="I305" s="86"/>
      <c r="J305" s="105"/>
      <c r="K305" s="88"/>
      <c r="L305" s="88"/>
      <c r="M305" s="88"/>
      <c r="N305" s="88"/>
      <c r="O305" s="88"/>
      <c r="P305" s="88"/>
      <c r="Q305" s="88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</row>
    <row r="306" spans="1:32" ht="24" customHeight="1">
      <c r="A306" s="19"/>
      <c r="B306" s="58"/>
      <c r="C306" s="59"/>
      <c r="D306" s="59"/>
      <c r="E306" s="59"/>
      <c r="F306" s="60"/>
      <c r="G306" s="85"/>
      <c r="H306" s="59"/>
      <c r="I306" s="86"/>
      <c r="J306" s="105"/>
      <c r="K306" s="88"/>
      <c r="L306" s="88"/>
      <c r="M306" s="88"/>
      <c r="N306" s="88"/>
      <c r="O306" s="88"/>
      <c r="P306" s="88"/>
      <c r="Q306" s="88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</row>
    <row r="307" spans="1:32" ht="24" customHeight="1">
      <c r="A307" s="19"/>
      <c r="B307" s="58"/>
      <c r="C307" s="59"/>
      <c r="D307" s="59"/>
      <c r="E307" s="59"/>
      <c r="F307" s="60"/>
      <c r="G307" s="85"/>
      <c r="H307" s="59"/>
      <c r="I307" s="86"/>
      <c r="J307" s="105"/>
      <c r="K307" s="88"/>
      <c r="L307" s="88"/>
      <c r="M307" s="88"/>
      <c r="N307" s="88"/>
      <c r="O307" s="88"/>
      <c r="P307" s="88"/>
      <c r="Q307" s="88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</row>
    <row r="308" spans="1:32" ht="24" customHeight="1">
      <c r="A308" s="19"/>
      <c r="B308" s="58"/>
      <c r="C308" s="59"/>
      <c r="D308" s="59"/>
      <c r="E308" s="59"/>
      <c r="F308" s="60"/>
      <c r="G308" s="85"/>
      <c r="H308" s="59"/>
      <c r="I308" s="86"/>
      <c r="J308" s="105"/>
      <c r="K308" s="88"/>
      <c r="L308" s="88"/>
      <c r="M308" s="88"/>
      <c r="N308" s="88"/>
      <c r="O308" s="88"/>
      <c r="P308" s="88"/>
      <c r="Q308" s="88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</row>
    <row r="309" spans="1:32" ht="24" customHeight="1">
      <c r="A309" s="19"/>
      <c r="B309" s="58"/>
      <c r="C309" s="59"/>
      <c r="D309" s="59"/>
      <c r="E309" s="59"/>
      <c r="F309" s="60"/>
      <c r="G309" s="85"/>
      <c r="H309" s="59"/>
      <c r="I309" s="86"/>
      <c r="J309" s="105"/>
      <c r="K309" s="88"/>
      <c r="L309" s="88"/>
      <c r="M309" s="88"/>
      <c r="N309" s="88"/>
      <c r="O309" s="88"/>
      <c r="P309" s="88"/>
      <c r="Q309" s="88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</row>
    <row r="310" spans="1:32" ht="24" customHeight="1">
      <c r="A310" s="19"/>
      <c r="B310" s="58"/>
      <c r="C310" s="59"/>
      <c r="D310" s="59"/>
      <c r="E310" s="59"/>
      <c r="F310" s="60"/>
      <c r="G310" s="85"/>
      <c r="H310" s="59"/>
      <c r="I310" s="86"/>
      <c r="J310" s="105"/>
      <c r="K310" s="88"/>
      <c r="L310" s="88"/>
      <c r="M310" s="88"/>
      <c r="N310" s="88"/>
      <c r="O310" s="88"/>
      <c r="P310" s="88"/>
      <c r="Q310" s="88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</row>
    <row r="311" spans="1:32" ht="24" customHeight="1">
      <c r="A311" s="19"/>
      <c r="B311" s="58"/>
      <c r="C311" s="59"/>
      <c r="D311" s="59"/>
      <c r="E311" s="59"/>
      <c r="F311" s="60"/>
      <c r="G311" s="85"/>
      <c r="H311" s="59"/>
      <c r="I311" s="86"/>
      <c r="J311" s="105"/>
      <c r="K311" s="88"/>
      <c r="L311" s="88"/>
      <c r="M311" s="88"/>
      <c r="N311" s="88"/>
      <c r="O311" s="88"/>
      <c r="P311" s="88"/>
      <c r="Q311" s="88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</row>
    <row r="312" spans="1:32" ht="24" customHeight="1">
      <c r="A312" s="19"/>
      <c r="B312" s="58"/>
      <c r="C312" s="59"/>
      <c r="D312" s="59"/>
      <c r="E312" s="59"/>
      <c r="F312" s="60"/>
      <c r="G312" s="85"/>
      <c r="H312" s="59"/>
      <c r="I312" s="86"/>
      <c r="J312" s="105"/>
      <c r="K312" s="88"/>
      <c r="L312" s="88"/>
      <c r="M312" s="88"/>
      <c r="N312" s="88"/>
      <c r="O312" s="88"/>
      <c r="P312" s="88"/>
      <c r="Q312" s="88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</row>
    <row r="313" spans="1:32" ht="24" customHeight="1">
      <c r="A313" s="19"/>
      <c r="B313" s="58"/>
      <c r="C313" s="59"/>
      <c r="D313" s="59"/>
      <c r="E313" s="59"/>
      <c r="F313" s="60"/>
      <c r="G313" s="85"/>
      <c r="H313" s="59"/>
      <c r="I313" s="86"/>
      <c r="J313" s="105"/>
      <c r="K313" s="88"/>
      <c r="L313" s="88"/>
      <c r="M313" s="88"/>
      <c r="N313" s="88"/>
      <c r="O313" s="88"/>
      <c r="P313" s="88"/>
      <c r="Q313" s="88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</row>
    <row r="314" spans="1:32" ht="24" customHeight="1">
      <c r="A314" s="19"/>
      <c r="B314" s="58"/>
      <c r="C314" s="59"/>
      <c r="D314" s="59"/>
      <c r="E314" s="59"/>
      <c r="F314" s="60"/>
      <c r="G314" s="85"/>
      <c r="H314" s="59"/>
      <c r="I314" s="86"/>
      <c r="J314" s="105"/>
      <c r="K314" s="88"/>
      <c r="L314" s="88"/>
      <c r="M314" s="88"/>
      <c r="N314" s="88"/>
      <c r="O314" s="88"/>
      <c r="P314" s="88"/>
      <c r="Q314" s="88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</row>
    <row r="315" spans="1:32" ht="24" customHeight="1">
      <c r="A315" s="19"/>
      <c r="B315" s="58"/>
      <c r="C315" s="59"/>
      <c r="D315" s="59"/>
      <c r="E315" s="59"/>
      <c r="F315" s="60"/>
      <c r="G315" s="85"/>
      <c r="H315" s="59"/>
      <c r="I315" s="86"/>
      <c r="J315" s="105"/>
      <c r="K315" s="88"/>
      <c r="L315" s="88"/>
      <c r="M315" s="88"/>
      <c r="N315" s="88"/>
      <c r="O315" s="88"/>
      <c r="P315" s="88"/>
      <c r="Q315" s="88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</row>
    <row r="316" spans="1:32" ht="24" customHeight="1">
      <c r="A316" s="19"/>
      <c r="B316" s="58"/>
      <c r="C316" s="59"/>
      <c r="D316" s="59"/>
      <c r="E316" s="59"/>
      <c r="F316" s="60"/>
      <c r="G316" s="85"/>
      <c r="H316" s="59"/>
      <c r="I316" s="86"/>
      <c r="J316" s="105"/>
      <c r="K316" s="88"/>
      <c r="L316" s="88"/>
      <c r="M316" s="88"/>
      <c r="N316" s="88"/>
      <c r="O316" s="88"/>
      <c r="P316" s="88"/>
      <c r="Q316" s="88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</row>
    <row r="317" spans="1:32" ht="24" customHeight="1">
      <c r="A317" s="19"/>
      <c r="B317" s="58"/>
      <c r="C317" s="59"/>
      <c r="D317" s="59"/>
      <c r="E317" s="59"/>
      <c r="F317" s="60"/>
      <c r="G317" s="85"/>
      <c r="H317" s="59"/>
      <c r="I317" s="86"/>
      <c r="J317" s="105"/>
      <c r="K317" s="88"/>
      <c r="L317" s="88"/>
      <c r="M317" s="88"/>
      <c r="N317" s="88"/>
      <c r="O317" s="88"/>
      <c r="P317" s="88"/>
      <c r="Q317" s="88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</row>
    <row r="318" spans="1:32" ht="24" customHeight="1">
      <c r="A318" s="19"/>
      <c r="B318" s="58"/>
      <c r="C318" s="59"/>
      <c r="D318" s="59"/>
      <c r="E318" s="59"/>
      <c r="F318" s="60"/>
      <c r="G318" s="85"/>
      <c r="H318" s="59"/>
      <c r="I318" s="86"/>
      <c r="J318" s="105"/>
      <c r="K318" s="88"/>
      <c r="L318" s="88"/>
      <c r="M318" s="88"/>
      <c r="N318" s="88"/>
      <c r="O318" s="88"/>
      <c r="P318" s="88"/>
      <c r="Q318" s="88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</row>
    <row r="319" spans="1:32" ht="24" customHeight="1">
      <c r="A319" s="19"/>
      <c r="B319" s="58"/>
      <c r="C319" s="59"/>
      <c r="D319" s="59"/>
      <c r="E319" s="59"/>
      <c r="F319" s="60"/>
      <c r="G319" s="85"/>
      <c r="H319" s="59"/>
      <c r="I319" s="86"/>
      <c r="J319" s="105"/>
      <c r="K319" s="88"/>
      <c r="L319" s="88"/>
      <c r="M319" s="88"/>
      <c r="N319" s="88"/>
      <c r="O319" s="88"/>
      <c r="P319" s="88"/>
      <c r="Q319" s="88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</row>
    <row r="320" spans="1:32" ht="24" customHeight="1">
      <c r="A320" s="19"/>
      <c r="B320" s="58"/>
      <c r="C320" s="59"/>
      <c r="D320" s="59"/>
      <c r="E320" s="59"/>
      <c r="F320" s="60"/>
      <c r="G320" s="85"/>
      <c r="H320" s="59"/>
      <c r="I320" s="86"/>
      <c r="J320" s="105"/>
      <c r="K320" s="88"/>
      <c r="L320" s="88"/>
      <c r="M320" s="88"/>
      <c r="N320" s="88"/>
      <c r="O320" s="88"/>
      <c r="P320" s="88"/>
      <c r="Q320" s="88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</row>
    <row r="321" spans="1:32" ht="24" customHeight="1">
      <c r="A321" s="19"/>
      <c r="B321" s="58"/>
      <c r="C321" s="59"/>
      <c r="D321" s="59"/>
      <c r="E321" s="59"/>
      <c r="F321" s="60"/>
      <c r="G321" s="85"/>
      <c r="H321" s="59"/>
      <c r="I321" s="86"/>
      <c r="J321" s="105"/>
      <c r="K321" s="88"/>
      <c r="L321" s="88"/>
      <c r="M321" s="88"/>
      <c r="N321" s="88"/>
      <c r="O321" s="88"/>
      <c r="P321" s="88"/>
      <c r="Q321" s="88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</row>
    <row r="322" spans="1:32" ht="24" customHeight="1">
      <c r="A322" s="19"/>
      <c r="B322" s="58"/>
      <c r="C322" s="59"/>
      <c r="D322" s="59"/>
      <c r="E322" s="59"/>
      <c r="F322" s="60"/>
      <c r="G322" s="85"/>
      <c r="H322" s="59"/>
      <c r="I322" s="86"/>
      <c r="J322" s="105"/>
      <c r="K322" s="88"/>
      <c r="L322" s="88"/>
      <c r="M322" s="88"/>
      <c r="N322" s="88"/>
      <c r="O322" s="88"/>
      <c r="P322" s="88"/>
      <c r="Q322" s="88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</row>
    <row r="323" spans="1:32" ht="24" customHeight="1">
      <c r="A323" s="19"/>
      <c r="B323" s="58"/>
      <c r="C323" s="59"/>
      <c r="D323" s="59"/>
      <c r="E323" s="59"/>
      <c r="F323" s="60"/>
      <c r="G323" s="85"/>
      <c r="H323" s="59"/>
      <c r="I323" s="86"/>
      <c r="J323" s="105"/>
      <c r="K323" s="88"/>
      <c r="L323" s="88"/>
      <c r="M323" s="88"/>
      <c r="N323" s="88"/>
      <c r="O323" s="88"/>
      <c r="P323" s="88"/>
      <c r="Q323" s="88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</row>
    <row r="324" spans="1:32" ht="24" customHeight="1">
      <c r="A324" s="19"/>
      <c r="B324" s="58"/>
      <c r="C324" s="59"/>
      <c r="D324" s="59"/>
      <c r="E324" s="59"/>
      <c r="F324" s="60"/>
      <c r="G324" s="85"/>
      <c r="H324" s="59"/>
      <c r="I324" s="86"/>
      <c r="J324" s="105"/>
      <c r="K324" s="88"/>
      <c r="L324" s="88"/>
      <c r="M324" s="88"/>
      <c r="N324" s="88"/>
      <c r="O324" s="88"/>
      <c r="P324" s="88"/>
      <c r="Q324" s="88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</row>
    <row r="325" spans="1:32" ht="24" customHeight="1">
      <c r="A325" s="19"/>
      <c r="B325" s="58"/>
      <c r="C325" s="59"/>
      <c r="D325" s="59"/>
      <c r="E325" s="59"/>
      <c r="F325" s="60"/>
      <c r="G325" s="85"/>
      <c r="H325" s="59"/>
      <c r="I325" s="86"/>
      <c r="J325" s="105"/>
      <c r="K325" s="88"/>
      <c r="L325" s="88"/>
      <c r="M325" s="88"/>
      <c r="N325" s="88"/>
      <c r="O325" s="88"/>
      <c r="P325" s="88"/>
      <c r="Q325" s="88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</row>
    <row r="326" spans="1:32" ht="24" customHeight="1">
      <c r="A326" s="19"/>
      <c r="B326" s="58"/>
      <c r="C326" s="59"/>
      <c r="D326" s="59"/>
      <c r="E326" s="59"/>
      <c r="F326" s="60"/>
      <c r="G326" s="85"/>
      <c r="H326" s="59"/>
      <c r="I326" s="86"/>
      <c r="J326" s="105"/>
      <c r="K326" s="88"/>
      <c r="L326" s="88"/>
      <c r="M326" s="88"/>
      <c r="N326" s="88"/>
      <c r="O326" s="88"/>
      <c r="P326" s="88"/>
      <c r="Q326" s="88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</row>
    <row r="327" spans="1:32" ht="24" customHeight="1">
      <c r="A327" s="19"/>
      <c r="B327" s="58"/>
      <c r="C327" s="59"/>
      <c r="D327" s="59"/>
      <c r="E327" s="59"/>
      <c r="F327" s="60"/>
      <c r="G327" s="85"/>
      <c r="H327" s="59"/>
      <c r="I327" s="86"/>
      <c r="J327" s="105"/>
      <c r="K327" s="88"/>
      <c r="L327" s="88"/>
      <c r="M327" s="88"/>
      <c r="N327" s="88"/>
      <c r="O327" s="88"/>
      <c r="P327" s="88"/>
      <c r="Q327" s="88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</row>
    <row r="328" spans="1:32" ht="24" customHeight="1">
      <c r="A328" s="19"/>
      <c r="B328" s="58"/>
      <c r="C328" s="59"/>
      <c r="D328" s="59"/>
      <c r="E328" s="59"/>
      <c r="F328" s="60"/>
      <c r="G328" s="85"/>
      <c r="H328" s="59"/>
      <c r="I328" s="86"/>
      <c r="J328" s="105"/>
      <c r="K328" s="88"/>
      <c r="L328" s="88"/>
      <c r="M328" s="88"/>
      <c r="N328" s="88"/>
      <c r="O328" s="88"/>
      <c r="P328" s="88"/>
      <c r="Q328" s="88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</row>
    <row r="329" spans="1:32" ht="24" customHeight="1">
      <c r="A329" s="19"/>
      <c r="B329" s="58"/>
      <c r="C329" s="59"/>
      <c r="D329" s="59"/>
      <c r="E329" s="59"/>
      <c r="F329" s="60"/>
      <c r="G329" s="85"/>
      <c r="H329" s="59"/>
      <c r="I329" s="86"/>
      <c r="J329" s="105"/>
      <c r="K329" s="88"/>
      <c r="L329" s="88"/>
      <c r="M329" s="88"/>
      <c r="N329" s="88"/>
      <c r="O329" s="88"/>
      <c r="P329" s="88"/>
      <c r="Q329" s="88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</row>
    <row r="330" spans="1:32" ht="24" customHeight="1">
      <c r="A330" s="19"/>
      <c r="B330" s="58"/>
      <c r="C330" s="59"/>
      <c r="D330" s="59"/>
      <c r="E330" s="59"/>
      <c r="F330" s="60"/>
      <c r="G330" s="85"/>
      <c r="H330" s="59"/>
      <c r="I330" s="86"/>
      <c r="J330" s="105"/>
      <c r="K330" s="88"/>
      <c r="L330" s="88"/>
      <c r="M330" s="88"/>
      <c r="N330" s="88"/>
      <c r="O330" s="88"/>
      <c r="P330" s="88"/>
      <c r="Q330" s="88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</row>
    <row r="331" spans="1:32" ht="24" customHeight="1">
      <c r="A331" s="19"/>
      <c r="B331" s="58"/>
      <c r="C331" s="59"/>
      <c r="D331" s="59"/>
      <c r="E331" s="59"/>
      <c r="F331" s="60"/>
      <c r="G331" s="85"/>
      <c r="H331" s="59"/>
      <c r="I331" s="86"/>
      <c r="J331" s="105"/>
      <c r="K331" s="88"/>
      <c r="L331" s="88"/>
      <c r="M331" s="88"/>
      <c r="N331" s="88"/>
      <c r="O331" s="88"/>
      <c r="P331" s="88"/>
      <c r="Q331" s="88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</row>
    <row r="332" spans="1:32" ht="24" customHeight="1">
      <c r="A332" s="19"/>
      <c r="B332" s="58"/>
      <c r="C332" s="59"/>
      <c r="D332" s="59"/>
      <c r="E332" s="59"/>
      <c r="F332" s="60"/>
      <c r="G332" s="85"/>
      <c r="H332" s="59"/>
      <c r="I332" s="86"/>
      <c r="J332" s="105"/>
      <c r="K332" s="88"/>
      <c r="L332" s="88"/>
      <c r="M332" s="88"/>
      <c r="N332" s="88"/>
      <c r="O332" s="88"/>
      <c r="P332" s="88"/>
      <c r="Q332" s="88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</row>
    <row r="333" spans="1:32" ht="24" customHeight="1">
      <c r="A333" s="19"/>
      <c r="B333" s="58"/>
      <c r="C333" s="59"/>
      <c r="D333" s="59"/>
      <c r="E333" s="59"/>
      <c r="F333" s="60"/>
      <c r="G333" s="85"/>
      <c r="H333" s="59"/>
      <c r="I333" s="86"/>
      <c r="J333" s="105"/>
      <c r="K333" s="88"/>
      <c r="L333" s="88"/>
      <c r="M333" s="88"/>
      <c r="N333" s="88"/>
      <c r="O333" s="88"/>
      <c r="P333" s="88"/>
      <c r="Q333" s="88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</row>
    <row r="334" spans="1:32" ht="24" customHeight="1">
      <c r="A334" s="19"/>
      <c r="B334" s="58"/>
      <c r="C334" s="59"/>
      <c r="D334" s="59"/>
      <c r="E334" s="59"/>
      <c r="F334" s="60"/>
      <c r="G334" s="85"/>
      <c r="H334" s="59"/>
      <c r="I334" s="86"/>
      <c r="J334" s="105"/>
      <c r="K334" s="88"/>
      <c r="L334" s="88"/>
      <c r="M334" s="88"/>
      <c r="N334" s="88"/>
      <c r="O334" s="88"/>
      <c r="P334" s="88"/>
      <c r="Q334" s="88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</row>
    <row r="335" spans="1:32" ht="24" customHeight="1">
      <c r="A335" s="19"/>
      <c r="B335" s="58"/>
      <c r="C335" s="59"/>
      <c r="D335" s="59"/>
      <c r="E335" s="59"/>
      <c r="F335" s="60"/>
      <c r="G335" s="85"/>
      <c r="H335" s="59"/>
      <c r="I335" s="86"/>
      <c r="J335" s="105"/>
      <c r="K335" s="88"/>
      <c r="L335" s="88"/>
      <c r="M335" s="88"/>
      <c r="N335" s="88"/>
      <c r="O335" s="88"/>
      <c r="P335" s="88"/>
      <c r="Q335" s="88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</row>
    <row r="336" spans="1:32" ht="24" customHeight="1">
      <c r="A336" s="19"/>
      <c r="B336" s="58"/>
      <c r="C336" s="59"/>
      <c r="D336" s="59"/>
      <c r="E336" s="59"/>
      <c r="F336" s="60"/>
      <c r="G336" s="85"/>
      <c r="H336" s="59"/>
      <c r="I336" s="86"/>
      <c r="J336" s="105"/>
      <c r="K336" s="88"/>
      <c r="L336" s="88"/>
      <c r="M336" s="88"/>
      <c r="N336" s="88"/>
      <c r="O336" s="88"/>
      <c r="P336" s="88"/>
      <c r="Q336" s="88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</row>
    <row r="337" spans="1:32" ht="24" customHeight="1">
      <c r="A337" s="19"/>
      <c r="B337" s="58"/>
      <c r="C337" s="59"/>
      <c r="D337" s="59"/>
      <c r="E337" s="59"/>
      <c r="F337" s="60"/>
      <c r="G337" s="85"/>
      <c r="H337" s="59"/>
      <c r="I337" s="86"/>
      <c r="J337" s="105"/>
      <c r="K337" s="88"/>
      <c r="L337" s="88"/>
      <c r="M337" s="88"/>
      <c r="N337" s="88"/>
      <c r="O337" s="88"/>
      <c r="P337" s="88"/>
      <c r="Q337" s="88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</row>
    <row r="338" spans="1:32" ht="24" customHeight="1">
      <c r="A338" s="19"/>
      <c r="B338" s="58"/>
      <c r="C338" s="59"/>
      <c r="D338" s="59"/>
      <c r="E338" s="59"/>
      <c r="F338" s="60"/>
      <c r="G338" s="85"/>
      <c r="H338" s="59"/>
      <c r="I338" s="86"/>
      <c r="J338" s="105"/>
      <c r="K338" s="88"/>
      <c r="L338" s="88"/>
      <c r="M338" s="88"/>
      <c r="N338" s="88"/>
      <c r="O338" s="88"/>
      <c r="P338" s="88"/>
      <c r="Q338" s="88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</row>
    <row r="339" spans="1:32" ht="24" customHeight="1">
      <c r="A339" s="19"/>
      <c r="B339" s="58"/>
      <c r="C339" s="59"/>
      <c r="D339" s="59"/>
      <c r="E339" s="59"/>
      <c r="F339" s="60"/>
      <c r="G339" s="85"/>
      <c r="H339" s="59"/>
      <c r="I339" s="86"/>
      <c r="J339" s="105"/>
      <c r="K339" s="88"/>
      <c r="L339" s="88"/>
      <c r="M339" s="88"/>
      <c r="N339" s="88"/>
      <c r="O339" s="88"/>
      <c r="P339" s="88"/>
      <c r="Q339" s="88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</row>
    <row r="340" spans="1:32" ht="24" customHeight="1">
      <c r="A340" s="19"/>
      <c r="B340" s="58"/>
      <c r="C340" s="59"/>
      <c r="D340" s="59"/>
      <c r="E340" s="59"/>
      <c r="F340" s="60"/>
      <c r="G340" s="85"/>
      <c r="H340" s="59"/>
      <c r="I340" s="86"/>
      <c r="J340" s="105"/>
      <c r="K340" s="88"/>
      <c r="L340" s="88"/>
      <c r="M340" s="88"/>
      <c r="N340" s="88"/>
      <c r="O340" s="88"/>
      <c r="P340" s="88"/>
      <c r="Q340" s="88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</row>
    <row r="341" spans="1:32" ht="24" customHeight="1">
      <c r="A341" s="19"/>
      <c r="B341" s="58"/>
      <c r="C341" s="59"/>
      <c r="D341" s="59"/>
      <c r="E341" s="59"/>
      <c r="F341" s="60"/>
      <c r="G341" s="85"/>
      <c r="H341" s="59"/>
      <c r="I341" s="86"/>
      <c r="J341" s="105"/>
      <c r="K341" s="88"/>
      <c r="L341" s="88"/>
      <c r="M341" s="88"/>
      <c r="N341" s="88"/>
      <c r="O341" s="88"/>
      <c r="P341" s="88"/>
      <c r="Q341" s="88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</row>
    <row r="342" spans="1:32" ht="24" customHeight="1">
      <c r="A342" s="19"/>
      <c r="B342" s="58"/>
      <c r="C342" s="59"/>
      <c r="D342" s="59"/>
      <c r="E342" s="59"/>
      <c r="F342" s="60"/>
      <c r="G342" s="85"/>
      <c r="H342" s="59"/>
      <c r="I342" s="86"/>
      <c r="J342" s="105"/>
      <c r="K342" s="88"/>
      <c r="L342" s="88"/>
      <c r="M342" s="88"/>
      <c r="N342" s="88"/>
      <c r="O342" s="88"/>
      <c r="P342" s="88"/>
      <c r="Q342" s="88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</row>
    <row r="343" spans="1:32" ht="24" customHeight="1">
      <c r="A343" s="19"/>
      <c r="B343" s="58"/>
      <c r="C343" s="59"/>
      <c r="D343" s="59"/>
      <c r="E343" s="59"/>
      <c r="F343" s="60"/>
      <c r="G343" s="85"/>
      <c r="H343" s="59"/>
      <c r="I343" s="86"/>
      <c r="J343" s="105"/>
      <c r="K343" s="88"/>
      <c r="L343" s="88"/>
      <c r="M343" s="88"/>
      <c r="N343" s="88"/>
      <c r="O343" s="88"/>
      <c r="P343" s="88"/>
      <c r="Q343" s="88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</row>
    <row r="344" spans="1:32" ht="24" customHeight="1">
      <c r="A344" s="19"/>
      <c r="B344" s="58"/>
      <c r="C344" s="59"/>
      <c r="D344" s="59"/>
      <c r="E344" s="59"/>
      <c r="F344" s="60"/>
      <c r="G344" s="85"/>
      <c r="H344" s="59"/>
      <c r="I344" s="86"/>
      <c r="J344" s="105"/>
      <c r="K344" s="88"/>
      <c r="L344" s="88"/>
      <c r="M344" s="88"/>
      <c r="N344" s="88"/>
      <c r="O344" s="88"/>
      <c r="P344" s="88"/>
      <c r="Q344" s="88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</row>
    <row r="345" spans="1:32" ht="24" customHeight="1">
      <c r="A345" s="19"/>
      <c r="B345" s="58"/>
      <c r="C345" s="59"/>
      <c r="D345" s="59"/>
      <c r="E345" s="59"/>
      <c r="F345" s="60"/>
      <c r="G345" s="85"/>
      <c r="H345" s="59"/>
      <c r="I345" s="86"/>
      <c r="J345" s="105"/>
      <c r="K345" s="88"/>
      <c r="L345" s="88"/>
      <c r="M345" s="88"/>
      <c r="N345" s="88"/>
      <c r="O345" s="88"/>
      <c r="P345" s="88"/>
      <c r="Q345" s="88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</row>
    <row r="346" spans="1:32" ht="24" customHeight="1">
      <c r="A346" s="19"/>
      <c r="B346" s="58"/>
      <c r="C346" s="59"/>
      <c r="D346" s="59"/>
      <c r="E346" s="59"/>
      <c r="F346" s="60"/>
      <c r="G346" s="85"/>
      <c r="H346" s="59"/>
      <c r="I346" s="86"/>
      <c r="J346" s="105"/>
      <c r="K346" s="88"/>
      <c r="L346" s="88"/>
      <c r="M346" s="88"/>
      <c r="N346" s="88"/>
      <c r="O346" s="88"/>
      <c r="P346" s="88"/>
      <c r="Q346" s="88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</row>
    <row r="347" spans="1:32" ht="24" customHeight="1">
      <c r="A347" s="19"/>
      <c r="B347" s="58"/>
      <c r="C347" s="59"/>
      <c r="D347" s="59"/>
      <c r="E347" s="59"/>
      <c r="F347" s="60"/>
      <c r="G347" s="85"/>
      <c r="H347" s="59"/>
      <c r="I347" s="86"/>
      <c r="J347" s="105"/>
      <c r="K347" s="88"/>
      <c r="L347" s="88"/>
      <c r="M347" s="88"/>
      <c r="N347" s="88"/>
      <c r="O347" s="88"/>
      <c r="P347" s="88"/>
      <c r="Q347" s="88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</row>
    <row r="348" spans="1:32" ht="24" customHeight="1">
      <c r="A348" s="19"/>
      <c r="B348" s="58"/>
      <c r="C348" s="59"/>
      <c r="D348" s="59"/>
      <c r="E348" s="59"/>
      <c r="F348" s="60"/>
      <c r="G348" s="85"/>
      <c r="H348" s="59"/>
      <c r="I348" s="86"/>
      <c r="J348" s="105"/>
      <c r="K348" s="88"/>
      <c r="L348" s="88"/>
      <c r="M348" s="88"/>
      <c r="N348" s="88"/>
      <c r="O348" s="88"/>
      <c r="P348" s="88"/>
      <c r="Q348" s="88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</row>
    <row r="349" spans="1:32" ht="24" customHeight="1">
      <c r="A349" s="19"/>
      <c r="B349" s="58"/>
      <c r="C349" s="59"/>
      <c r="D349" s="59"/>
      <c r="E349" s="59"/>
      <c r="F349" s="60"/>
      <c r="G349" s="85"/>
      <c r="H349" s="59"/>
      <c r="I349" s="86"/>
      <c r="J349" s="105"/>
      <c r="K349" s="88"/>
      <c r="L349" s="88"/>
      <c r="M349" s="88"/>
      <c r="N349" s="88"/>
      <c r="O349" s="88"/>
      <c r="P349" s="88"/>
      <c r="Q349" s="88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</row>
    <row r="350" spans="1:32" ht="24" customHeight="1">
      <c r="A350" s="19"/>
      <c r="B350" s="58"/>
      <c r="C350" s="59"/>
      <c r="D350" s="59"/>
      <c r="E350" s="59"/>
      <c r="F350" s="60"/>
      <c r="G350" s="85"/>
      <c r="H350" s="59"/>
      <c r="I350" s="86"/>
      <c r="J350" s="105"/>
      <c r="K350" s="88"/>
      <c r="L350" s="88"/>
      <c r="M350" s="88"/>
      <c r="N350" s="88"/>
      <c r="O350" s="88"/>
      <c r="P350" s="88"/>
      <c r="Q350" s="88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</row>
    <row r="351" spans="1:32" ht="24" customHeight="1">
      <c r="A351" s="19"/>
      <c r="B351" s="58"/>
      <c r="C351" s="59"/>
      <c r="D351" s="59"/>
      <c r="E351" s="59"/>
      <c r="F351" s="60"/>
      <c r="G351" s="85"/>
      <c r="H351" s="59"/>
      <c r="I351" s="86"/>
      <c r="J351" s="105"/>
      <c r="K351" s="88"/>
      <c r="L351" s="88"/>
      <c r="M351" s="88"/>
      <c r="N351" s="88"/>
      <c r="O351" s="88"/>
      <c r="P351" s="88"/>
      <c r="Q351" s="88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</row>
    <row r="352" spans="1:32" ht="24" customHeight="1">
      <c r="A352" s="19"/>
      <c r="B352" s="58"/>
      <c r="C352" s="59"/>
      <c r="D352" s="59"/>
      <c r="E352" s="59"/>
      <c r="F352" s="60"/>
      <c r="G352" s="85"/>
      <c r="H352" s="59"/>
      <c r="I352" s="86"/>
      <c r="J352" s="105"/>
      <c r="K352" s="88"/>
      <c r="L352" s="88"/>
      <c r="M352" s="88"/>
      <c r="N352" s="88"/>
      <c r="O352" s="88"/>
      <c r="P352" s="88"/>
      <c r="Q352" s="88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</row>
    <row r="353" spans="1:32" ht="24" customHeight="1">
      <c r="A353" s="19"/>
      <c r="B353" s="58"/>
      <c r="C353" s="59"/>
      <c r="D353" s="59"/>
      <c r="E353" s="59"/>
      <c r="F353" s="60"/>
      <c r="G353" s="85"/>
      <c r="H353" s="59"/>
      <c r="I353" s="86"/>
      <c r="J353" s="105"/>
      <c r="K353" s="88"/>
      <c r="L353" s="88"/>
      <c r="M353" s="88"/>
      <c r="N353" s="88"/>
      <c r="O353" s="88"/>
      <c r="P353" s="88"/>
      <c r="Q353" s="88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</row>
    <row r="354" spans="1:32" ht="24" customHeight="1">
      <c r="A354" s="19"/>
      <c r="B354" s="58"/>
      <c r="C354" s="59"/>
      <c r="D354" s="59"/>
      <c r="E354" s="59"/>
      <c r="F354" s="60"/>
      <c r="G354" s="85"/>
      <c r="H354" s="59"/>
      <c r="I354" s="86"/>
      <c r="J354" s="105"/>
      <c r="K354" s="88"/>
      <c r="L354" s="88"/>
      <c r="M354" s="88"/>
      <c r="N354" s="88"/>
      <c r="O354" s="88"/>
      <c r="P354" s="88"/>
      <c r="Q354" s="88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</row>
    <row r="355" spans="1:32" ht="24" customHeight="1">
      <c r="A355" s="19"/>
      <c r="B355" s="58"/>
      <c r="C355" s="59"/>
      <c r="D355" s="59"/>
      <c r="E355" s="59"/>
      <c r="F355" s="60"/>
      <c r="G355" s="85"/>
      <c r="H355" s="59"/>
      <c r="I355" s="86"/>
      <c r="J355" s="105"/>
      <c r="K355" s="88"/>
      <c r="L355" s="88"/>
      <c r="M355" s="88"/>
      <c r="N355" s="88"/>
      <c r="O355" s="88"/>
      <c r="P355" s="88"/>
      <c r="Q355" s="88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</row>
    <row r="356" spans="1:32" ht="24" customHeight="1">
      <c r="A356" s="19"/>
      <c r="B356" s="58"/>
      <c r="C356" s="59"/>
      <c r="D356" s="59"/>
      <c r="E356" s="59"/>
      <c r="F356" s="60"/>
      <c r="G356" s="85"/>
      <c r="H356" s="59"/>
      <c r="I356" s="86"/>
      <c r="J356" s="105"/>
      <c r="K356" s="88"/>
      <c r="L356" s="88"/>
      <c r="M356" s="88"/>
      <c r="N356" s="88"/>
      <c r="O356" s="88"/>
      <c r="P356" s="88"/>
      <c r="Q356" s="88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</row>
    <row r="357" spans="1:32" ht="24" customHeight="1">
      <c r="A357" s="19"/>
      <c r="B357" s="58"/>
      <c r="C357" s="59"/>
      <c r="D357" s="59"/>
      <c r="E357" s="59"/>
      <c r="F357" s="60"/>
      <c r="G357" s="85"/>
      <c r="H357" s="59"/>
      <c r="I357" s="86"/>
      <c r="J357" s="105"/>
      <c r="K357" s="88"/>
      <c r="L357" s="88"/>
      <c r="M357" s="88"/>
      <c r="N357" s="88"/>
      <c r="O357" s="88"/>
      <c r="P357" s="88"/>
      <c r="Q357" s="88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</row>
    <row r="358" spans="1:32" ht="24" customHeight="1">
      <c r="A358" s="19"/>
      <c r="B358" s="58"/>
      <c r="C358" s="59"/>
      <c r="D358" s="59"/>
      <c r="E358" s="59"/>
      <c r="F358" s="60"/>
      <c r="G358" s="85"/>
      <c r="H358" s="59"/>
      <c r="I358" s="86"/>
      <c r="J358" s="105"/>
      <c r="K358" s="88"/>
      <c r="L358" s="88"/>
      <c r="M358" s="88"/>
      <c r="N358" s="88"/>
      <c r="O358" s="88"/>
      <c r="P358" s="88"/>
      <c r="Q358" s="88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</row>
    <row r="359" spans="1:32" ht="24" customHeight="1">
      <c r="A359" s="19"/>
      <c r="B359" s="58"/>
      <c r="C359" s="59"/>
      <c r="D359" s="59"/>
      <c r="E359" s="59"/>
      <c r="F359" s="60"/>
      <c r="G359" s="85"/>
      <c r="H359" s="59"/>
      <c r="I359" s="86"/>
      <c r="J359" s="105"/>
      <c r="K359" s="88"/>
      <c r="L359" s="88"/>
      <c r="M359" s="88"/>
      <c r="N359" s="88"/>
      <c r="O359" s="88"/>
      <c r="P359" s="88"/>
      <c r="Q359" s="88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</row>
    <row r="360" spans="1:32" ht="24" customHeight="1">
      <c r="A360" s="19"/>
      <c r="B360" s="58"/>
      <c r="C360" s="59"/>
      <c r="D360" s="59"/>
      <c r="E360" s="59"/>
      <c r="F360" s="60"/>
      <c r="G360" s="85"/>
      <c r="H360" s="59"/>
      <c r="I360" s="86"/>
      <c r="J360" s="105"/>
      <c r="K360" s="88"/>
      <c r="L360" s="88"/>
      <c r="M360" s="88"/>
      <c r="N360" s="88"/>
      <c r="O360" s="88"/>
      <c r="P360" s="88"/>
      <c r="Q360" s="88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</row>
    <row r="361" spans="1:32" ht="24" customHeight="1">
      <c r="A361" s="19"/>
      <c r="B361" s="58"/>
      <c r="C361" s="59"/>
      <c r="D361" s="59"/>
      <c r="E361" s="59"/>
      <c r="F361" s="60"/>
      <c r="G361" s="85"/>
      <c r="H361" s="59"/>
      <c r="I361" s="86"/>
      <c r="J361" s="105"/>
      <c r="K361" s="88"/>
      <c r="L361" s="88"/>
      <c r="M361" s="88"/>
      <c r="N361" s="88"/>
      <c r="O361" s="88"/>
      <c r="P361" s="88"/>
      <c r="Q361" s="88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</row>
    <row r="362" spans="1:32" ht="24" customHeight="1">
      <c r="A362" s="19"/>
      <c r="B362" s="58"/>
      <c r="C362" s="59"/>
      <c r="D362" s="59"/>
      <c r="E362" s="59"/>
      <c r="F362" s="60"/>
      <c r="G362" s="85"/>
      <c r="H362" s="59"/>
      <c r="I362" s="86"/>
      <c r="J362" s="105"/>
      <c r="K362" s="88"/>
      <c r="L362" s="88"/>
      <c r="M362" s="88"/>
      <c r="N362" s="88"/>
      <c r="O362" s="88"/>
      <c r="P362" s="88"/>
      <c r="Q362" s="88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</row>
    <row r="363" spans="1:32" ht="24" customHeight="1">
      <c r="A363" s="19"/>
      <c r="B363" s="58"/>
      <c r="C363" s="59"/>
      <c r="D363" s="59"/>
      <c r="E363" s="59"/>
      <c r="F363" s="60"/>
      <c r="G363" s="85"/>
      <c r="H363" s="59"/>
      <c r="I363" s="86"/>
      <c r="J363" s="105"/>
      <c r="K363" s="88"/>
      <c r="L363" s="88"/>
      <c r="M363" s="88"/>
      <c r="N363" s="88"/>
      <c r="O363" s="88"/>
      <c r="P363" s="88"/>
      <c r="Q363" s="88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</row>
    <row r="364" spans="1:32" ht="24" customHeight="1">
      <c r="A364" s="19"/>
      <c r="B364" s="58"/>
      <c r="C364" s="59"/>
      <c r="D364" s="59"/>
      <c r="E364" s="59"/>
      <c r="F364" s="60"/>
      <c r="G364" s="85"/>
      <c r="H364" s="59"/>
      <c r="I364" s="86"/>
      <c r="J364" s="105"/>
      <c r="K364" s="88"/>
      <c r="L364" s="88"/>
      <c r="M364" s="88"/>
      <c r="N364" s="88"/>
      <c r="O364" s="88"/>
      <c r="P364" s="88"/>
      <c r="Q364" s="88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</row>
    <row r="365" spans="1:32" ht="24" customHeight="1">
      <c r="A365" s="19"/>
      <c r="B365" s="58"/>
      <c r="C365" s="59"/>
      <c r="D365" s="59"/>
      <c r="E365" s="59"/>
      <c r="F365" s="60"/>
      <c r="G365" s="85"/>
      <c r="H365" s="59"/>
      <c r="I365" s="86"/>
      <c r="J365" s="105"/>
      <c r="K365" s="88"/>
      <c r="L365" s="88"/>
      <c r="M365" s="88"/>
      <c r="N365" s="88"/>
      <c r="O365" s="88"/>
      <c r="P365" s="88"/>
      <c r="Q365" s="88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</row>
    <row r="366" spans="1:32" ht="24" customHeight="1">
      <c r="A366" s="19"/>
      <c r="B366" s="58"/>
      <c r="C366" s="59"/>
      <c r="D366" s="59"/>
      <c r="E366" s="59"/>
      <c r="F366" s="60"/>
      <c r="G366" s="85"/>
      <c r="H366" s="59"/>
      <c r="I366" s="86"/>
      <c r="J366" s="105"/>
      <c r="K366" s="88"/>
      <c r="L366" s="88"/>
      <c r="M366" s="88"/>
      <c r="N366" s="88"/>
      <c r="O366" s="88"/>
      <c r="P366" s="88"/>
      <c r="Q366" s="88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</row>
    <row r="367" spans="1:32" ht="24" customHeight="1">
      <c r="A367" s="19"/>
      <c r="B367" s="58"/>
      <c r="C367" s="59"/>
      <c r="D367" s="59"/>
      <c r="E367" s="59"/>
      <c r="F367" s="60"/>
      <c r="G367" s="85"/>
      <c r="H367" s="59"/>
      <c r="I367" s="86"/>
      <c r="J367" s="105"/>
      <c r="K367" s="88"/>
      <c r="L367" s="88"/>
      <c r="M367" s="88"/>
      <c r="N367" s="88"/>
      <c r="O367" s="88"/>
      <c r="P367" s="88"/>
      <c r="Q367" s="88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</row>
    <row r="368" spans="1:32" ht="24" customHeight="1">
      <c r="A368" s="19"/>
      <c r="B368" s="58"/>
      <c r="C368" s="59"/>
      <c r="D368" s="59"/>
      <c r="E368" s="59"/>
      <c r="F368" s="60"/>
      <c r="G368" s="85"/>
      <c r="H368" s="59"/>
      <c r="I368" s="86"/>
      <c r="J368" s="105"/>
      <c r="K368" s="88"/>
      <c r="L368" s="88"/>
      <c r="M368" s="88"/>
      <c r="N368" s="88"/>
      <c r="O368" s="88"/>
      <c r="P368" s="88"/>
      <c r="Q368" s="88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</row>
    <row r="369" spans="1:32" ht="24" customHeight="1">
      <c r="A369" s="19"/>
      <c r="B369" s="58"/>
      <c r="C369" s="59"/>
      <c r="D369" s="59"/>
      <c r="E369" s="59"/>
      <c r="F369" s="60"/>
      <c r="G369" s="85"/>
      <c r="H369" s="59"/>
      <c r="I369" s="86"/>
      <c r="J369" s="105"/>
      <c r="K369" s="88"/>
      <c r="L369" s="88"/>
      <c r="M369" s="88"/>
      <c r="N369" s="88"/>
      <c r="O369" s="88"/>
      <c r="P369" s="88"/>
      <c r="Q369" s="88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</row>
    <row r="370" spans="1:32" ht="24" customHeight="1">
      <c r="A370" s="19"/>
      <c r="B370" s="58"/>
      <c r="C370" s="59"/>
      <c r="D370" s="59"/>
      <c r="E370" s="59"/>
      <c r="F370" s="60"/>
      <c r="G370" s="85"/>
      <c r="H370" s="59"/>
      <c r="I370" s="86"/>
      <c r="J370" s="105"/>
      <c r="K370" s="88"/>
      <c r="L370" s="88"/>
      <c r="M370" s="88"/>
      <c r="N370" s="88"/>
      <c r="O370" s="88"/>
      <c r="P370" s="88"/>
      <c r="Q370" s="88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</row>
    <row r="371" spans="1:32" ht="24" customHeight="1">
      <c r="A371" s="19"/>
      <c r="B371" s="58"/>
      <c r="C371" s="59"/>
      <c r="D371" s="59"/>
      <c r="E371" s="59"/>
      <c r="F371" s="60"/>
      <c r="G371" s="85"/>
      <c r="H371" s="59"/>
      <c r="I371" s="86"/>
      <c r="J371" s="105"/>
      <c r="K371" s="88"/>
      <c r="L371" s="88"/>
      <c r="M371" s="88"/>
      <c r="N371" s="88"/>
      <c r="O371" s="88"/>
      <c r="P371" s="88"/>
      <c r="Q371" s="88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</row>
    <row r="372" spans="1:32" ht="24" customHeight="1">
      <c r="A372" s="19"/>
      <c r="B372" s="58"/>
      <c r="C372" s="59"/>
      <c r="D372" s="59"/>
      <c r="E372" s="59"/>
      <c r="F372" s="60"/>
      <c r="G372" s="85"/>
      <c r="H372" s="59"/>
      <c r="I372" s="86"/>
      <c r="J372" s="105"/>
      <c r="K372" s="88"/>
      <c r="L372" s="88"/>
      <c r="M372" s="88"/>
      <c r="N372" s="88"/>
      <c r="O372" s="88"/>
      <c r="P372" s="88"/>
      <c r="Q372" s="88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</row>
    <row r="373" spans="1:32" ht="24" customHeight="1">
      <c r="A373" s="19"/>
      <c r="B373" s="58"/>
      <c r="C373" s="59"/>
      <c r="D373" s="59"/>
      <c r="E373" s="59"/>
      <c r="F373" s="60"/>
      <c r="G373" s="85"/>
      <c r="H373" s="59"/>
      <c r="I373" s="86"/>
      <c r="J373" s="105"/>
      <c r="K373" s="88"/>
      <c r="L373" s="88"/>
      <c r="M373" s="88"/>
      <c r="N373" s="88"/>
      <c r="O373" s="88"/>
      <c r="P373" s="88"/>
      <c r="Q373" s="88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</row>
    <row r="374" spans="1:32" ht="24" customHeight="1">
      <c r="A374" s="19"/>
      <c r="B374" s="58"/>
      <c r="C374" s="59"/>
      <c r="D374" s="59"/>
      <c r="E374" s="59"/>
      <c r="F374" s="60"/>
      <c r="G374" s="85"/>
      <c r="H374" s="59"/>
      <c r="I374" s="86"/>
      <c r="J374" s="105"/>
      <c r="K374" s="88"/>
      <c r="L374" s="88"/>
      <c r="M374" s="88"/>
      <c r="N374" s="88"/>
      <c r="O374" s="88"/>
      <c r="P374" s="88"/>
      <c r="Q374" s="88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</row>
    <row r="375" spans="1:32" ht="24" customHeight="1">
      <c r="A375" s="19"/>
      <c r="B375" s="58"/>
      <c r="C375" s="59"/>
      <c r="D375" s="59"/>
      <c r="E375" s="59"/>
      <c r="F375" s="60"/>
      <c r="G375" s="85"/>
      <c r="H375" s="59"/>
      <c r="I375" s="86"/>
      <c r="J375" s="105"/>
      <c r="K375" s="88"/>
      <c r="L375" s="88"/>
      <c r="M375" s="88"/>
      <c r="N375" s="88"/>
      <c r="O375" s="88"/>
      <c r="P375" s="88"/>
      <c r="Q375" s="88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</row>
    <row r="376" spans="1:32" ht="24" customHeight="1">
      <c r="A376" s="19"/>
      <c r="B376" s="58"/>
      <c r="C376" s="59"/>
      <c r="D376" s="59"/>
      <c r="E376" s="59"/>
      <c r="F376" s="60"/>
      <c r="G376" s="85"/>
      <c r="H376" s="59"/>
      <c r="I376" s="86"/>
      <c r="J376" s="105"/>
      <c r="K376" s="88"/>
      <c r="L376" s="88"/>
      <c r="M376" s="88"/>
      <c r="N376" s="88"/>
      <c r="O376" s="88"/>
      <c r="P376" s="88"/>
      <c r="Q376" s="88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</row>
    <row r="377" spans="1:32" ht="24" customHeight="1">
      <c r="A377" s="19"/>
      <c r="B377" s="58"/>
      <c r="C377" s="59"/>
      <c r="D377" s="59"/>
      <c r="E377" s="59"/>
      <c r="F377" s="60"/>
      <c r="G377" s="85"/>
      <c r="H377" s="59"/>
      <c r="I377" s="86"/>
      <c r="J377" s="105"/>
      <c r="K377" s="88"/>
      <c r="L377" s="88"/>
      <c r="M377" s="88"/>
      <c r="N377" s="88"/>
      <c r="O377" s="88"/>
      <c r="P377" s="88"/>
      <c r="Q377" s="88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</row>
    <row r="378" spans="1:32" ht="24" customHeight="1">
      <c r="A378" s="19"/>
      <c r="B378" s="58"/>
      <c r="C378" s="59"/>
      <c r="D378" s="59"/>
      <c r="E378" s="59"/>
      <c r="F378" s="60"/>
      <c r="G378" s="85"/>
      <c r="H378" s="59"/>
      <c r="I378" s="86"/>
      <c r="J378" s="105"/>
      <c r="K378" s="88"/>
      <c r="L378" s="88"/>
      <c r="M378" s="88"/>
      <c r="N378" s="88"/>
      <c r="O378" s="88"/>
      <c r="P378" s="88"/>
      <c r="Q378" s="88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</row>
    <row r="379" spans="1:32" ht="24" customHeight="1">
      <c r="A379" s="19"/>
      <c r="B379" s="58"/>
      <c r="C379" s="59"/>
      <c r="D379" s="59"/>
      <c r="E379" s="59"/>
      <c r="F379" s="60"/>
      <c r="G379" s="85"/>
      <c r="H379" s="59"/>
      <c r="I379" s="86"/>
      <c r="J379" s="105"/>
      <c r="K379" s="88"/>
      <c r="L379" s="88"/>
      <c r="M379" s="88"/>
      <c r="N379" s="88"/>
      <c r="O379" s="88"/>
      <c r="P379" s="88"/>
      <c r="Q379" s="88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</row>
    <row r="380" spans="1:32" ht="24" customHeight="1">
      <c r="A380" s="19"/>
      <c r="B380" s="58"/>
      <c r="C380" s="59"/>
      <c r="D380" s="59"/>
      <c r="E380" s="59"/>
      <c r="F380" s="60"/>
      <c r="G380" s="85"/>
      <c r="H380" s="59"/>
      <c r="I380" s="86"/>
      <c r="J380" s="105"/>
      <c r="K380" s="88"/>
      <c r="L380" s="88"/>
      <c r="M380" s="88"/>
      <c r="N380" s="88"/>
      <c r="O380" s="88"/>
      <c r="P380" s="88"/>
      <c r="Q380" s="88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</row>
    <row r="381" spans="1:32" ht="24" customHeight="1">
      <c r="A381" s="19"/>
      <c r="B381" s="58"/>
      <c r="C381" s="59"/>
      <c r="D381" s="59"/>
      <c r="E381" s="59"/>
      <c r="F381" s="60"/>
      <c r="G381" s="85"/>
      <c r="H381" s="59"/>
      <c r="I381" s="86"/>
      <c r="J381" s="105"/>
      <c r="K381" s="88"/>
      <c r="L381" s="88"/>
      <c r="M381" s="88"/>
      <c r="N381" s="88"/>
      <c r="O381" s="88"/>
      <c r="P381" s="88"/>
      <c r="Q381" s="88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</row>
    <row r="382" spans="1:32" ht="24" customHeight="1">
      <c r="A382" s="19"/>
      <c r="B382" s="58"/>
      <c r="C382" s="59"/>
      <c r="D382" s="59"/>
      <c r="E382" s="59"/>
      <c r="F382" s="60"/>
      <c r="G382" s="85"/>
      <c r="H382" s="59"/>
      <c r="I382" s="86"/>
      <c r="J382" s="105"/>
      <c r="K382" s="88"/>
      <c r="L382" s="88"/>
      <c r="M382" s="88"/>
      <c r="N382" s="88"/>
      <c r="O382" s="88"/>
      <c r="P382" s="88"/>
      <c r="Q382" s="88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</row>
    <row r="383" spans="1:32" ht="24" customHeight="1">
      <c r="A383" s="19"/>
      <c r="B383" s="58"/>
      <c r="C383" s="59"/>
      <c r="D383" s="59"/>
      <c r="E383" s="59"/>
      <c r="F383" s="60"/>
      <c r="G383" s="85"/>
      <c r="H383" s="59"/>
      <c r="I383" s="86"/>
      <c r="J383" s="105"/>
      <c r="K383" s="88"/>
      <c r="L383" s="88"/>
      <c r="M383" s="88"/>
      <c r="N383" s="88"/>
      <c r="O383" s="88"/>
      <c r="P383" s="88"/>
      <c r="Q383" s="88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</row>
    <row r="384" spans="1:32" ht="24" customHeight="1">
      <c r="A384" s="19"/>
      <c r="B384" s="58"/>
      <c r="C384" s="59"/>
      <c r="D384" s="59"/>
      <c r="E384" s="59"/>
      <c r="F384" s="60"/>
      <c r="G384" s="85"/>
      <c r="H384" s="59"/>
      <c r="I384" s="86"/>
      <c r="J384" s="105"/>
      <c r="K384" s="88"/>
      <c r="L384" s="88"/>
      <c r="M384" s="88"/>
      <c r="N384" s="88"/>
      <c r="O384" s="88"/>
      <c r="P384" s="88"/>
      <c r="Q384" s="88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</row>
    <row r="385" spans="1:32" ht="24" customHeight="1">
      <c r="A385" s="19"/>
      <c r="B385" s="58"/>
      <c r="C385" s="59"/>
      <c r="D385" s="59"/>
      <c r="E385" s="59"/>
      <c r="F385" s="60"/>
      <c r="G385" s="85"/>
      <c r="H385" s="59"/>
      <c r="I385" s="86"/>
      <c r="J385" s="105"/>
      <c r="K385" s="88"/>
      <c r="L385" s="88"/>
      <c r="M385" s="88"/>
      <c r="N385" s="88"/>
      <c r="O385" s="88"/>
      <c r="P385" s="88"/>
      <c r="Q385" s="88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</row>
    <row r="386" spans="1:32" ht="24" customHeight="1">
      <c r="A386" s="19"/>
      <c r="B386" s="58"/>
      <c r="C386" s="59"/>
      <c r="D386" s="59"/>
      <c r="E386" s="59"/>
      <c r="F386" s="60"/>
      <c r="G386" s="85"/>
      <c r="H386" s="59"/>
      <c r="I386" s="86"/>
      <c r="J386" s="105"/>
      <c r="K386" s="88"/>
      <c r="L386" s="88"/>
      <c r="M386" s="88"/>
      <c r="N386" s="88"/>
      <c r="O386" s="88"/>
      <c r="P386" s="88"/>
      <c r="Q386" s="88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</row>
    <row r="387" spans="1:32" ht="24" customHeight="1">
      <c r="A387" s="19"/>
      <c r="B387" s="58"/>
      <c r="C387" s="59"/>
      <c r="D387" s="59"/>
      <c r="E387" s="59"/>
      <c r="F387" s="60"/>
      <c r="G387" s="85"/>
      <c r="H387" s="59"/>
      <c r="I387" s="86"/>
      <c r="J387" s="105"/>
      <c r="K387" s="88"/>
      <c r="L387" s="88"/>
      <c r="M387" s="88"/>
      <c r="N387" s="88"/>
      <c r="O387" s="88"/>
      <c r="P387" s="88"/>
      <c r="Q387" s="88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</row>
    <row r="388" spans="1:32" ht="24" customHeight="1">
      <c r="A388" s="19"/>
      <c r="B388" s="58"/>
      <c r="C388" s="59"/>
      <c r="D388" s="59"/>
      <c r="E388" s="59"/>
      <c r="F388" s="60"/>
      <c r="G388" s="85"/>
      <c r="H388" s="59"/>
      <c r="I388" s="86"/>
      <c r="J388" s="105"/>
      <c r="K388" s="88"/>
      <c r="L388" s="88"/>
      <c r="M388" s="88"/>
      <c r="N388" s="88"/>
      <c r="O388" s="88"/>
      <c r="P388" s="88"/>
      <c r="Q388" s="88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</row>
    <row r="389" spans="1:32" ht="24" customHeight="1">
      <c r="A389" s="19"/>
      <c r="B389" s="58"/>
      <c r="C389" s="59"/>
      <c r="D389" s="59"/>
      <c r="E389" s="59"/>
      <c r="F389" s="60"/>
      <c r="G389" s="85"/>
      <c r="H389" s="59"/>
      <c r="I389" s="86"/>
      <c r="J389" s="105"/>
      <c r="K389" s="88"/>
      <c r="L389" s="88"/>
      <c r="M389" s="88"/>
      <c r="N389" s="88"/>
      <c r="O389" s="88"/>
      <c r="P389" s="88"/>
      <c r="Q389" s="88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</row>
    <row r="390" spans="1:32" ht="24" customHeight="1">
      <c r="A390" s="19"/>
      <c r="B390" s="58"/>
      <c r="C390" s="59"/>
      <c r="D390" s="59"/>
      <c r="E390" s="59"/>
      <c r="F390" s="60"/>
      <c r="G390" s="85"/>
      <c r="H390" s="59"/>
      <c r="I390" s="86"/>
      <c r="J390" s="105"/>
      <c r="K390" s="88"/>
      <c r="L390" s="88"/>
      <c r="M390" s="88"/>
      <c r="N390" s="88"/>
      <c r="O390" s="88"/>
      <c r="P390" s="88"/>
      <c r="Q390" s="88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</row>
    <row r="391" spans="1:32" ht="24" customHeight="1">
      <c r="A391" s="19"/>
      <c r="B391" s="58"/>
      <c r="C391" s="59"/>
      <c r="D391" s="59"/>
      <c r="E391" s="59"/>
      <c r="F391" s="60"/>
      <c r="G391" s="85"/>
      <c r="H391" s="59"/>
      <c r="I391" s="86"/>
      <c r="J391" s="105"/>
      <c r="K391" s="88"/>
      <c r="L391" s="88"/>
      <c r="M391" s="88"/>
      <c r="N391" s="88"/>
      <c r="O391" s="88"/>
      <c r="P391" s="88"/>
      <c r="Q391" s="88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</row>
    <row r="392" spans="1:32" ht="24" customHeight="1">
      <c r="A392" s="19"/>
      <c r="B392" s="58"/>
      <c r="C392" s="59"/>
      <c r="D392" s="59"/>
      <c r="E392" s="59"/>
      <c r="F392" s="60"/>
      <c r="G392" s="85"/>
      <c r="H392" s="59"/>
      <c r="I392" s="86"/>
      <c r="J392" s="105"/>
      <c r="K392" s="88"/>
      <c r="L392" s="88"/>
      <c r="M392" s="88"/>
      <c r="N392" s="88"/>
      <c r="O392" s="88"/>
      <c r="P392" s="88"/>
      <c r="Q392" s="88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</row>
    <row r="393" spans="1:32" ht="24" customHeight="1">
      <c r="A393" s="19"/>
      <c r="B393" s="58"/>
      <c r="C393" s="59"/>
      <c r="D393" s="59"/>
      <c r="E393" s="59"/>
      <c r="F393" s="60"/>
      <c r="G393" s="85"/>
      <c r="H393" s="59"/>
      <c r="I393" s="86"/>
      <c r="J393" s="105"/>
      <c r="K393" s="88"/>
      <c r="L393" s="88"/>
      <c r="M393" s="88"/>
      <c r="N393" s="88"/>
      <c r="O393" s="88"/>
      <c r="P393" s="88"/>
      <c r="Q393" s="88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</row>
    <row r="394" spans="1:32" ht="24" customHeight="1">
      <c r="A394" s="19"/>
      <c r="B394" s="58"/>
      <c r="C394" s="59"/>
      <c r="D394" s="59"/>
      <c r="E394" s="59"/>
      <c r="F394" s="60"/>
      <c r="G394" s="85"/>
      <c r="H394" s="59"/>
      <c r="I394" s="86"/>
      <c r="J394" s="105"/>
      <c r="K394" s="88"/>
      <c r="L394" s="88"/>
      <c r="M394" s="88"/>
      <c r="N394" s="88"/>
      <c r="O394" s="88"/>
      <c r="P394" s="88"/>
      <c r="Q394" s="88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</row>
    <row r="395" spans="1:32" ht="24" customHeight="1">
      <c r="A395" s="19"/>
      <c r="B395" s="58"/>
      <c r="C395" s="59"/>
      <c r="D395" s="59"/>
      <c r="E395" s="59"/>
      <c r="F395" s="60"/>
      <c r="G395" s="85"/>
      <c r="H395" s="59"/>
      <c r="I395" s="86"/>
      <c r="J395" s="105"/>
      <c r="K395" s="88"/>
      <c r="L395" s="88"/>
      <c r="M395" s="88"/>
      <c r="N395" s="88"/>
      <c r="O395" s="88"/>
      <c r="P395" s="88"/>
      <c r="Q395" s="88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</row>
    <row r="396" spans="1:32" ht="24" customHeight="1">
      <c r="A396" s="19"/>
      <c r="B396" s="58"/>
      <c r="C396" s="59"/>
      <c r="D396" s="59"/>
      <c r="E396" s="59"/>
      <c r="F396" s="60"/>
      <c r="G396" s="85"/>
      <c r="H396" s="59"/>
      <c r="I396" s="86"/>
      <c r="J396" s="105"/>
      <c r="K396" s="88"/>
      <c r="L396" s="88"/>
      <c r="M396" s="88"/>
      <c r="N396" s="88"/>
      <c r="O396" s="88"/>
      <c r="P396" s="88"/>
      <c r="Q396" s="88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</row>
    <row r="397" spans="1:32" ht="24" customHeight="1">
      <c r="A397" s="19"/>
      <c r="B397" s="58"/>
      <c r="C397" s="59"/>
      <c r="D397" s="59"/>
      <c r="E397" s="59"/>
      <c r="F397" s="60"/>
      <c r="G397" s="85"/>
      <c r="H397" s="59"/>
      <c r="I397" s="86"/>
      <c r="J397" s="105"/>
      <c r="K397" s="88"/>
      <c r="L397" s="88"/>
      <c r="M397" s="88"/>
      <c r="N397" s="88"/>
      <c r="O397" s="88"/>
      <c r="P397" s="88"/>
      <c r="Q397" s="88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</row>
    <row r="398" spans="1:32" ht="24" customHeight="1">
      <c r="A398" s="19"/>
      <c r="B398" s="58"/>
      <c r="C398" s="59"/>
      <c r="D398" s="59"/>
      <c r="E398" s="59"/>
      <c r="F398" s="60"/>
      <c r="G398" s="85"/>
      <c r="H398" s="59"/>
      <c r="I398" s="86"/>
      <c r="J398" s="105"/>
      <c r="K398" s="88"/>
      <c r="L398" s="88"/>
      <c r="M398" s="88"/>
      <c r="N398" s="88"/>
      <c r="O398" s="88"/>
      <c r="P398" s="88"/>
      <c r="Q398" s="88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</row>
    <row r="399" spans="1:32" ht="24" customHeight="1">
      <c r="A399" s="19"/>
      <c r="B399" s="58"/>
      <c r="C399" s="59"/>
      <c r="D399" s="59"/>
      <c r="E399" s="59"/>
      <c r="F399" s="60"/>
      <c r="G399" s="85"/>
      <c r="H399" s="59"/>
      <c r="I399" s="86"/>
      <c r="J399" s="105"/>
      <c r="K399" s="88"/>
      <c r="L399" s="88"/>
      <c r="M399" s="88"/>
      <c r="N399" s="88"/>
      <c r="O399" s="88"/>
      <c r="P399" s="88"/>
      <c r="Q399" s="88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</row>
    <row r="400" spans="1:32" ht="24" customHeight="1">
      <c r="A400" s="19"/>
      <c r="B400" s="58"/>
      <c r="C400" s="59"/>
      <c r="D400" s="59"/>
      <c r="E400" s="59"/>
      <c r="F400" s="60"/>
      <c r="G400" s="85"/>
      <c r="H400" s="59"/>
      <c r="I400" s="86"/>
      <c r="J400" s="105"/>
      <c r="K400" s="88"/>
      <c r="L400" s="88"/>
      <c r="M400" s="88"/>
      <c r="N400" s="88"/>
      <c r="O400" s="88"/>
      <c r="P400" s="88"/>
      <c r="Q400" s="88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</row>
    <row r="401" spans="1:32" ht="24" customHeight="1">
      <c r="A401" s="19"/>
      <c r="B401" s="58"/>
      <c r="C401" s="59"/>
      <c r="D401" s="59"/>
      <c r="E401" s="59"/>
      <c r="F401" s="60"/>
      <c r="G401" s="85"/>
      <c r="H401" s="59"/>
      <c r="I401" s="86"/>
      <c r="J401" s="105"/>
      <c r="K401" s="88"/>
      <c r="L401" s="88"/>
      <c r="M401" s="88"/>
      <c r="N401" s="88"/>
      <c r="O401" s="88"/>
      <c r="P401" s="88"/>
      <c r="Q401" s="88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</row>
    <row r="402" spans="1:32" ht="24" customHeight="1">
      <c r="A402" s="19"/>
      <c r="B402" s="58"/>
      <c r="C402" s="59"/>
      <c r="D402" s="59"/>
      <c r="E402" s="59"/>
      <c r="F402" s="60"/>
      <c r="G402" s="85"/>
      <c r="H402" s="59"/>
      <c r="I402" s="86"/>
      <c r="J402" s="105"/>
      <c r="K402" s="88"/>
      <c r="L402" s="88"/>
      <c r="M402" s="88"/>
      <c r="N402" s="88"/>
      <c r="O402" s="88"/>
      <c r="P402" s="88"/>
      <c r="Q402" s="88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</row>
    <row r="403" spans="1:32" ht="24" customHeight="1">
      <c r="A403" s="19"/>
      <c r="B403" s="58"/>
      <c r="C403" s="59"/>
      <c r="D403" s="59"/>
      <c r="E403" s="59"/>
      <c r="F403" s="60"/>
      <c r="G403" s="85"/>
      <c r="H403" s="59"/>
      <c r="I403" s="86"/>
      <c r="J403" s="105"/>
      <c r="K403" s="88"/>
      <c r="L403" s="88"/>
      <c r="M403" s="88"/>
      <c r="N403" s="88"/>
      <c r="O403" s="88"/>
      <c r="P403" s="88"/>
      <c r="Q403" s="88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</row>
    <row r="404" spans="1:32" ht="24" customHeight="1">
      <c r="A404" s="19"/>
      <c r="B404" s="58"/>
      <c r="C404" s="59"/>
      <c r="D404" s="59"/>
      <c r="E404" s="59"/>
      <c r="F404" s="60"/>
      <c r="G404" s="85"/>
      <c r="H404" s="59"/>
      <c r="I404" s="86"/>
      <c r="J404" s="105"/>
      <c r="K404" s="88"/>
      <c r="L404" s="88"/>
      <c r="M404" s="88"/>
      <c r="N404" s="88"/>
      <c r="O404" s="88"/>
      <c r="P404" s="88"/>
      <c r="Q404" s="88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</row>
    <row r="405" spans="1:32" ht="24" customHeight="1">
      <c r="A405" s="19"/>
      <c r="B405" s="58"/>
      <c r="C405" s="59"/>
      <c r="D405" s="59"/>
      <c r="E405" s="59"/>
      <c r="F405" s="60"/>
      <c r="G405" s="85"/>
      <c r="H405" s="59"/>
      <c r="I405" s="86"/>
      <c r="J405" s="105"/>
      <c r="K405" s="88"/>
      <c r="L405" s="88"/>
      <c r="M405" s="88"/>
      <c r="N405" s="88"/>
      <c r="O405" s="88"/>
      <c r="P405" s="88"/>
      <c r="Q405" s="88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</row>
    <row r="406" spans="1:32" ht="24" customHeight="1">
      <c r="A406" s="19"/>
      <c r="B406" s="58"/>
      <c r="C406" s="59"/>
      <c r="D406" s="59"/>
      <c r="E406" s="59"/>
      <c r="F406" s="60"/>
      <c r="G406" s="85"/>
      <c r="H406" s="59"/>
      <c r="I406" s="86"/>
      <c r="J406" s="105"/>
      <c r="K406" s="88"/>
      <c r="L406" s="88"/>
      <c r="M406" s="88"/>
      <c r="N406" s="88"/>
      <c r="O406" s="88"/>
      <c r="P406" s="88"/>
      <c r="Q406" s="88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</row>
    <row r="407" spans="1:32" ht="24" customHeight="1">
      <c r="A407" s="19"/>
      <c r="B407" s="58"/>
      <c r="C407" s="59"/>
      <c r="D407" s="59"/>
      <c r="E407" s="59"/>
      <c r="F407" s="60"/>
      <c r="G407" s="85"/>
      <c r="H407" s="59"/>
      <c r="I407" s="86"/>
      <c r="J407" s="105"/>
      <c r="K407" s="88"/>
      <c r="L407" s="88"/>
      <c r="M407" s="88"/>
      <c r="N407" s="88"/>
      <c r="O407" s="88"/>
      <c r="P407" s="88"/>
      <c r="Q407" s="88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</row>
    <row r="408" spans="1:32" ht="24" customHeight="1">
      <c r="A408" s="19"/>
      <c r="B408" s="58"/>
      <c r="C408" s="59"/>
      <c r="D408" s="59"/>
      <c r="E408" s="59"/>
      <c r="F408" s="60"/>
      <c r="G408" s="85"/>
      <c r="H408" s="59"/>
      <c r="I408" s="86"/>
      <c r="J408" s="105"/>
      <c r="K408" s="88"/>
      <c r="L408" s="88"/>
      <c r="M408" s="88"/>
      <c r="N408" s="88"/>
      <c r="O408" s="88"/>
      <c r="P408" s="88"/>
      <c r="Q408" s="88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</row>
    <row r="409" spans="1:32" ht="24" customHeight="1">
      <c r="A409" s="19"/>
      <c r="B409" s="58"/>
      <c r="C409" s="59"/>
      <c r="D409" s="59"/>
      <c r="E409" s="59"/>
      <c r="F409" s="60"/>
      <c r="G409" s="85"/>
      <c r="H409" s="59"/>
      <c r="I409" s="86"/>
      <c r="J409" s="105"/>
      <c r="K409" s="88"/>
      <c r="L409" s="88"/>
      <c r="M409" s="88"/>
      <c r="N409" s="88"/>
      <c r="O409" s="88"/>
      <c r="P409" s="88"/>
      <c r="Q409" s="88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</row>
    <row r="410" spans="1:32" ht="24" customHeight="1">
      <c r="A410" s="19"/>
      <c r="B410" s="58"/>
      <c r="C410" s="59"/>
      <c r="D410" s="59"/>
      <c r="E410" s="59"/>
      <c r="F410" s="60"/>
      <c r="G410" s="85"/>
      <c r="H410" s="59"/>
      <c r="I410" s="86"/>
      <c r="J410" s="105"/>
      <c r="K410" s="88"/>
      <c r="L410" s="88"/>
      <c r="M410" s="88"/>
      <c r="N410" s="88"/>
      <c r="O410" s="88"/>
      <c r="P410" s="88"/>
      <c r="Q410" s="88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</row>
    <row r="411" spans="1:32" ht="24" customHeight="1">
      <c r="A411" s="19"/>
      <c r="B411" s="58"/>
      <c r="C411" s="59"/>
      <c r="D411" s="59"/>
      <c r="E411" s="59"/>
      <c r="F411" s="60"/>
      <c r="G411" s="85"/>
      <c r="H411" s="59"/>
      <c r="I411" s="86"/>
      <c r="J411" s="105"/>
      <c r="K411" s="88"/>
      <c r="L411" s="88"/>
      <c r="M411" s="88"/>
      <c r="N411" s="88"/>
      <c r="O411" s="88"/>
      <c r="P411" s="88"/>
      <c r="Q411" s="88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</row>
    <row r="412" spans="1:32" ht="24" customHeight="1">
      <c r="A412" s="19"/>
      <c r="B412" s="58"/>
      <c r="C412" s="59"/>
      <c r="D412" s="59"/>
      <c r="E412" s="59"/>
      <c r="F412" s="60"/>
      <c r="G412" s="85"/>
      <c r="H412" s="59"/>
      <c r="I412" s="86"/>
      <c r="J412" s="105"/>
      <c r="K412" s="88"/>
      <c r="L412" s="88"/>
      <c r="M412" s="88"/>
      <c r="N412" s="88"/>
      <c r="O412" s="88"/>
      <c r="P412" s="88"/>
      <c r="Q412" s="88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</row>
    <row r="413" spans="1:32" ht="24" customHeight="1">
      <c r="A413" s="19"/>
      <c r="B413" s="58"/>
      <c r="C413" s="59"/>
      <c r="D413" s="59"/>
      <c r="E413" s="59"/>
      <c r="F413" s="60"/>
      <c r="G413" s="85"/>
      <c r="H413" s="59"/>
      <c r="I413" s="86"/>
      <c r="J413" s="105"/>
      <c r="K413" s="88"/>
      <c r="L413" s="88"/>
      <c r="M413" s="88"/>
      <c r="N413" s="88"/>
      <c r="O413" s="88"/>
      <c r="P413" s="88"/>
      <c r="Q413" s="88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</row>
    <row r="414" spans="1:32" ht="24" customHeight="1">
      <c r="A414" s="19"/>
      <c r="B414" s="58"/>
      <c r="C414" s="59"/>
      <c r="D414" s="59"/>
      <c r="E414" s="59"/>
      <c r="F414" s="60"/>
      <c r="G414" s="85"/>
      <c r="H414" s="59"/>
      <c r="I414" s="86"/>
      <c r="J414" s="105"/>
      <c r="K414" s="88"/>
      <c r="L414" s="88"/>
      <c r="M414" s="88"/>
      <c r="N414" s="88"/>
      <c r="O414" s="88"/>
      <c r="P414" s="88"/>
      <c r="Q414" s="88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</row>
    <row r="415" spans="1:32" ht="24" customHeight="1">
      <c r="A415" s="19"/>
      <c r="B415" s="58"/>
      <c r="C415" s="59"/>
      <c r="D415" s="59"/>
      <c r="E415" s="59"/>
      <c r="F415" s="60"/>
      <c r="G415" s="85"/>
      <c r="H415" s="59"/>
      <c r="I415" s="86"/>
      <c r="J415" s="105"/>
      <c r="K415" s="88"/>
      <c r="L415" s="88"/>
      <c r="M415" s="88"/>
      <c r="N415" s="88"/>
      <c r="O415" s="88"/>
      <c r="P415" s="88"/>
      <c r="Q415" s="88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</row>
    <row r="416" spans="1:32" ht="24" customHeight="1">
      <c r="A416" s="19"/>
      <c r="B416" s="58"/>
      <c r="C416" s="59"/>
      <c r="D416" s="59"/>
      <c r="E416" s="59"/>
      <c r="F416" s="60"/>
      <c r="G416" s="85"/>
      <c r="H416" s="59"/>
      <c r="I416" s="86"/>
      <c r="J416" s="105"/>
      <c r="K416" s="88"/>
      <c r="L416" s="88"/>
      <c r="M416" s="88"/>
      <c r="N416" s="88"/>
      <c r="O416" s="88"/>
      <c r="P416" s="88"/>
      <c r="Q416" s="88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</row>
    <row r="417" spans="1:32" ht="24" customHeight="1">
      <c r="A417" s="19"/>
      <c r="B417" s="58"/>
      <c r="C417" s="59"/>
      <c r="D417" s="59"/>
      <c r="E417" s="59"/>
      <c r="F417" s="60"/>
      <c r="G417" s="85"/>
      <c r="H417" s="59"/>
      <c r="I417" s="86"/>
      <c r="J417" s="105"/>
      <c r="K417" s="88"/>
      <c r="L417" s="88"/>
      <c r="M417" s="88"/>
      <c r="N417" s="88"/>
      <c r="O417" s="88"/>
      <c r="P417" s="88"/>
      <c r="Q417" s="88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</row>
    <row r="418" spans="1:32" ht="24" customHeight="1">
      <c r="A418" s="19"/>
      <c r="B418" s="58"/>
      <c r="C418" s="59"/>
      <c r="D418" s="59"/>
      <c r="E418" s="59"/>
      <c r="F418" s="60"/>
      <c r="G418" s="85"/>
      <c r="H418" s="59"/>
      <c r="I418" s="86"/>
      <c r="J418" s="105"/>
      <c r="K418" s="88"/>
      <c r="L418" s="88"/>
      <c r="M418" s="88"/>
      <c r="N418" s="88"/>
      <c r="O418" s="88"/>
      <c r="P418" s="88"/>
      <c r="Q418" s="88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</row>
    <row r="419" spans="1:32" ht="24" customHeight="1">
      <c r="A419" s="19"/>
      <c r="B419" s="58"/>
      <c r="C419" s="59"/>
      <c r="D419" s="59"/>
      <c r="E419" s="59"/>
      <c r="F419" s="60"/>
      <c r="G419" s="85"/>
      <c r="H419" s="59"/>
      <c r="I419" s="86"/>
      <c r="J419" s="105"/>
      <c r="K419" s="88"/>
      <c r="L419" s="88"/>
      <c r="M419" s="88"/>
      <c r="N419" s="88"/>
      <c r="O419" s="88"/>
      <c r="P419" s="88"/>
      <c r="Q419" s="88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</row>
    <row r="420" spans="1:32" ht="24" customHeight="1">
      <c r="A420" s="19"/>
      <c r="B420" s="58"/>
      <c r="C420" s="59"/>
      <c r="D420" s="59"/>
      <c r="E420" s="59"/>
      <c r="F420" s="60"/>
      <c r="G420" s="85"/>
      <c r="H420" s="59"/>
      <c r="I420" s="86"/>
      <c r="J420" s="105"/>
      <c r="K420" s="88"/>
      <c r="L420" s="88"/>
      <c r="M420" s="88"/>
      <c r="N420" s="88"/>
      <c r="O420" s="88"/>
      <c r="P420" s="88"/>
      <c r="Q420" s="88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</row>
    <row r="421" spans="1:32" ht="24" customHeight="1">
      <c r="A421" s="19"/>
      <c r="B421" s="58"/>
      <c r="C421" s="59"/>
      <c r="D421" s="59"/>
      <c r="E421" s="59"/>
      <c r="F421" s="60"/>
      <c r="G421" s="85"/>
      <c r="H421" s="59"/>
      <c r="I421" s="86"/>
      <c r="J421" s="105"/>
      <c r="K421" s="88"/>
      <c r="L421" s="88"/>
      <c r="M421" s="88"/>
      <c r="N421" s="88"/>
      <c r="O421" s="88"/>
      <c r="P421" s="88"/>
      <c r="Q421" s="88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</row>
    <row r="422" spans="1:32" ht="24" customHeight="1">
      <c r="A422" s="19"/>
      <c r="B422" s="58"/>
      <c r="C422" s="59"/>
      <c r="D422" s="59"/>
      <c r="E422" s="59"/>
      <c r="F422" s="60"/>
      <c r="G422" s="85"/>
      <c r="H422" s="59"/>
      <c r="I422" s="86"/>
      <c r="J422" s="105"/>
      <c r="K422" s="88"/>
      <c r="L422" s="88"/>
      <c r="M422" s="88"/>
      <c r="N422" s="88"/>
      <c r="O422" s="88"/>
      <c r="P422" s="88"/>
      <c r="Q422" s="88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</row>
    <row r="423" spans="1:32" ht="24" customHeight="1">
      <c r="A423" s="19"/>
      <c r="B423" s="58"/>
      <c r="C423" s="59"/>
      <c r="D423" s="59"/>
      <c r="E423" s="59"/>
      <c r="F423" s="60"/>
      <c r="G423" s="85"/>
      <c r="H423" s="59"/>
      <c r="I423" s="86"/>
      <c r="J423" s="105"/>
      <c r="K423" s="88"/>
      <c r="L423" s="88"/>
      <c r="M423" s="88"/>
      <c r="N423" s="88"/>
      <c r="O423" s="88"/>
      <c r="P423" s="88"/>
      <c r="Q423" s="88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</row>
    <row r="424" spans="1:32" ht="24" customHeight="1">
      <c r="A424" s="19"/>
      <c r="B424" s="58"/>
      <c r="C424" s="59"/>
      <c r="D424" s="59"/>
      <c r="E424" s="59"/>
      <c r="F424" s="60"/>
      <c r="G424" s="85"/>
      <c r="H424" s="59"/>
      <c r="I424" s="86"/>
      <c r="J424" s="105"/>
      <c r="K424" s="88"/>
      <c r="L424" s="88"/>
      <c r="M424" s="88"/>
      <c r="N424" s="88"/>
      <c r="O424" s="88"/>
      <c r="P424" s="88"/>
      <c r="Q424" s="88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</row>
    <row r="425" spans="1:32" ht="24" customHeight="1">
      <c r="A425" s="19"/>
      <c r="B425" s="58"/>
      <c r="C425" s="59"/>
      <c r="D425" s="59"/>
      <c r="E425" s="59"/>
      <c r="F425" s="60"/>
      <c r="G425" s="85"/>
      <c r="H425" s="59"/>
      <c r="I425" s="86"/>
      <c r="J425" s="105"/>
      <c r="K425" s="88"/>
      <c r="L425" s="88"/>
      <c r="M425" s="88"/>
      <c r="N425" s="88"/>
      <c r="O425" s="88"/>
      <c r="P425" s="88"/>
      <c r="Q425" s="88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</row>
    <row r="426" spans="1:32" ht="24" customHeight="1">
      <c r="A426" s="19"/>
      <c r="B426" s="58"/>
      <c r="C426" s="59"/>
      <c r="D426" s="59"/>
      <c r="E426" s="59"/>
      <c r="F426" s="60"/>
      <c r="G426" s="85"/>
      <c r="H426" s="59"/>
      <c r="I426" s="86"/>
      <c r="J426" s="105"/>
      <c r="K426" s="88"/>
      <c r="L426" s="88"/>
      <c r="M426" s="88"/>
      <c r="N426" s="88"/>
      <c r="O426" s="88"/>
      <c r="P426" s="88"/>
      <c r="Q426" s="88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</row>
    <row r="427" spans="1:32" ht="24" customHeight="1">
      <c r="A427" s="19"/>
      <c r="B427" s="58"/>
      <c r="C427" s="59"/>
      <c r="D427" s="59"/>
      <c r="E427" s="59"/>
      <c r="F427" s="60"/>
      <c r="G427" s="85"/>
      <c r="H427" s="59"/>
      <c r="I427" s="86"/>
      <c r="J427" s="105"/>
      <c r="K427" s="88"/>
      <c r="L427" s="88"/>
      <c r="M427" s="88"/>
      <c r="N427" s="88"/>
      <c r="O427" s="88"/>
      <c r="P427" s="88"/>
      <c r="Q427" s="88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</row>
    <row r="428" spans="1:32" ht="24" customHeight="1">
      <c r="A428" s="19"/>
      <c r="B428" s="58"/>
      <c r="C428" s="59"/>
      <c r="D428" s="59"/>
      <c r="E428" s="59"/>
      <c r="F428" s="60"/>
      <c r="G428" s="85"/>
      <c r="H428" s="59"/>
      <c r="I428" s="86"/>
      <c r="J428" s="105"/>
      <c r="K428" s="88"/>
      <c r="L428" s="88"/>
      <c r="M428" s="88"/>
      <c r="N428" s="88"/>
      <c r="O428" s="88"/>
      <c r="P428" s="88"/>
      <c r="Q428" s="88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</row>
    <row r="429" spans="1:32" ht="24" customHeight="1">
      <c r="A429" s="19"/>
      <c r="B429" s="58"/>
      <c r="C429" s="59"/>
      <c r="D429" s="59"/>
      <c r="E429" s="59"/>
      <c r="F429" s="60"/>
      <c r="G429" s="85"/>
      <c r="H429" s="59"/>
      <c r="I429" s="86"/>
      <c r="J429" s="105"/>
      <c r="K429" s="88"/>
      <c r="L429" s="88"/>
      <c r="M429" s="88"/>
      <c r="N429" s="88"/>
      <c r="O429" s="88"/>
      <c r="P429" s="88"/>
      <c r="Q429" s="88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</row>
    <row r="430" spans="1:32" ht="24" customHeight="1">
      <c r="A430" s="19"/>
      <c r="B430" s="58"/>
      <c r="C430" s="59"/>
      <c r="D430" s="59"/>
      <c r="E430" s="59"/>
      <c r="F430" s="60"/>
      <c r="G430" s="85"/>
      <c r="H430" s="59"/>
      <c r="I430" s="86"/>
      <c r="J430" s="105"/>
      <c r="K430" s="88"/>
      <c r="L430" s="88"/>
      <c r="M430" s="88"/>
      <c r="N430" s="88"/>
      <c r="O430" s="88"/>
      <c r="P430" s="88"/>
      <c r="Q430" s="88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</row>
    <row r="431" spans="1:32" ht="24" customHeight="1">
      <c r="A431" s="19"/>
      <c r="B431" s="58"/>
      <c r="C431" s="59"/>
      <c r="D431" s="59"/>
      <c r="E431" s="59"/>
      <c r="F431" s="60"/>
      <c r="G431" s="85"/>
      <c r="H431" s="59"/>
      <c r="I431" s="86"/>
      <c r="J431" s="105"/>
      <c r="K431" s="88"/>
      <c r="L431" s="88"/>
      <c r="M431" s="88"/>
      <c r="N431" s="88"/>
      <c r="O431" s="88"/>
      <c r="P431" s="88"/>
      <c r="Q431" s="88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</row>
    <row r="432" spans="1:32" ht="24" customHeight="1">
      <c r="A432" s="19"/>
      <c r="B432" s="58"/>
      <c r="C432" s="59"/>
      <c r="D432" s="59"/>
      <c r="E432" s="59"/>
      <c r="F432" s="60"/>
      <c r="G432" s="85"/>
      <c r="H432" s="59"/>
      <c r="I432" s="86"/>
      <c r="J432" s="105"/>
      <c r="K432" s="88"/>
      <c r="L432" s="88"/>
      <c r="M432" s="88"/>
      <c r="N432" s="88"/>
      <c r="O432" s="88"/>
      <c r="P432" s="88"/>
      <c r="Q432" s="88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</row>
    <row r="433" spans="1:32" ht="24" customHeight="1">
      <c r="A433" s="19"/>
      <c r="B433" s="58"/>
      <c r="C433" s="59"/>
      <c r="D433" s="59"/>
      <c r="E433" s="59"/>
      <c r="F433" s="60"/>
      <c r="G433" s="85"/>
      <c r="H433" s="59"/>
      <c r="I433" s="86"/>
      <c r="J433" s="105"/>
      <c r="K433" s="88"/>
      <c r="L433" s="88"/>
      <c r="M433" s="88"/>
      <c r="N433" s="88"/>
      <c r="O433" s="88"/>
      <c r="P433" s="88"/>
      <c r="Q433" s="88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</row>
    <row r="434" spans="1:32" ht="24" customHeight="1">
      <c r="A434" s="19"/>
      <c r="B434" s="58"/>
      <c r="C434" s="59"/>
      <c r="D434" s="59"/>
      <c r="E434" s="59"/>
      <c r="F434" s="60"/>
      <c r="G434" s="85"/>
      <c r="H434" s="59"/>
      <c r="I434" s="86"/>
      <c r="J434" s="105"/>
      <c r="K434" s="88"/>
      <c r="L434" s="88"/>
      <c r="M434" s="88"/>
      <c r="N434" s="88"/>
      <c r="O434" s="88"/>
      <c r="P434" s="88"/>
      <c r="Q434" s="88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</row>
    <row r="435" spans="1:32" ht="24" customHeight="1">
      <c r="A435" s="19"/>
      <c r="B435" s="58"/>
      <c r="C435" s="59"/>
      <c r="D435" s="59"/>
      <c r="E435" s="59"/>
      <c r="F435" s="60"/>
      <c r="G435" s="85"/>
      <c r="H435" s="59"/>
      <c r="I435" s="86"/>
      <c r="J435" s="105"/>
      <c r="K435" s="88"/>
      <c r="L435" s="88"/>
      <c r="M435" s="88"/>
      <c r="N435" s="88"/>
      <c r="O435" s="88"/>
      <c r="P435" s="88"/>
      <c r="Q435" s="88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</row>
    <row r="436" spans="1:32" ht="24" customHeight="1">
      <c r="A436" s="19"/>
      <c r="B436" s="58"/>
      <c r="C436" s="59"/>
      <c r="D436" s="59"/>
      <c r="E436" s="59"/>
      <c r="F436" s="60"/>
      <c r="G436" s="85"/>
      <c r="H436" s="59"/>
      <c r="I436" s="86"/>
      <c r="J436" s="105"/>
      <c r="K436" s="88"/>
      <c r="L436" s="88"/>
      <c r="M436" s="88"/>
      <c r="N436" s="88"/>
      <c r="O436" s="88"/>
      <c r="P436" s="88"/>
      <c r="Q436" s="88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</row>
    <row r="437" spans="1:32" ht="24" customHeight="1">
      <c r="A437" s="19"/>
      <c r="B437" s="58"/>
      <c r="C437" s="59"/>
      <c r="D437" s="59"/>
      <c r="E437" s="59"/>
      <c r="F437" s="60"/>
      <c r="G437" s="85"/>
      <c r="H437" s="59"/>
      <c r="I437" s="86"/>
      <c r="J437" s="105"/>
      <c r="K437" s="88"/>
      <c r="L437" s="88"/>
      <c r="M437" s="88"/>
      <c r="N437" s="88"/>
      <c r="O437" s="88"/>
      <c r="P437" s="88"/>
      <c r="Q437" s="88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</row>
    <row r="438" spans="1:32" ht="24" customHeight="1">
      <c r="A438" s="19"/>
      <c r="B438" s="58"/>
      <c r="C438" s="59"/>
      <c r="D438" s="59"/>
      <c r="E438" s="59"/>
      <c r="F438" s="60"/>
      <c r="G438" s="85"/>
      <c r="H438" s="59"/>
      <c r="I438" s="86"/>
      <c r="J438" s="105"/>
      <c r="K438" s="88"/>
      <c r="L438" s="88"/>
      <c r="M438" s="88"/>
      <c r="N438" s="88"/>
      <c r="O438" s="88"/>
      <c r="P438" s="88"/>
      <c r="Q438" s="88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</row>
    <row r="439" spans="1:32" ht="24" customHeight="1">
      <c r="A439" s="19"/>
      <c r="B439" s="58"/>
      <c r="C439" s="59"/>
      <c r="D439" s="59"/>
      <c r="E439" s="59"/>
      <c r="F439" s="60"/>
      <c r="G439" s="85"/>
      <c r="H439" s="59"/>
      <c r="I439" s="86"/>
      <c r="J439" s="105"/>
      <c r="K439" s="88"/>
      <c r="L439" s="88"/>
      <c r="M439" s="88"/>
      <c r="N439" s="88"/>
      <c r="O439" s="88"/>
      <c r="P439" s="88"/>
      <c r="Q439" s="88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</row>
    <row r="440" spans="1:32" ht="24" customHeight="1">
      <c r="A440" s="19"/>
      <c r="B440" s="58"/>
      <c r="C440" s="59"/>
      <c r="D440" s="59"/>
      <c r="E440" s="59"/>
      <c r="F440" s="60"/>
      <c r="G440" s="85"/>
      <c r="H440" s="59"/>
      <c r="I440" s="86"/>
      <c r="J440" s="105"/>
      <c r="K440" s="88"/>
      <c r="L440" s="88"/>
      <c r="M440" s="88"/>
      <c r="N440" s="88"/>
      <c r="O440" s="88"/>
      <c r="P440" s="88"/>
      <c r="Q440" s="88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</row>
    <row r="441" spans="1:32" ht="24" customHeight="1">
      <c r="A441" s="19"/>
      <c r="B441" s="58"/>
      <c r="C441" s="59"/>
      <c r="D441" s="59"/>
      <c r="E441" s="59"/>
      <c r="F441" s="60"/>
      <c r="G441" s="85"/>
      <c r="H441" s="59"/>
      <c r="I441" s="86"/>
      <c r="J441" s="105"/>
      <c r="K441" s="88"/>
      <c r="L441" s="88"/>
      <c r="M441" s="88"/>
      <c r="N441" s="88"/>
      <c r="O441" s="88"/>
      <c r="P441" s="88"/>
      <c r="Q441" s="88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</row>
    <row r="442" spans="1:32" ht="24" customHeight="1">
      <c r="A442" s="19"/>
      <c r="B442" s="58"/>
      <c r="C442" s="59"/>
      <c r="D442" s="59"/>
      <c r="E442" s="59"/>
      <c r="F442" s="60"/>
      <c r="G442" s="85"/>
      <c r="H442" s="59"/>
      <c r="I442" s="86"/>
      <c r="J442" s="105"/>
      <c r="K442" s="88"/>
      <c r="L442" s="88"/>
      <c r="M442" s="88"/>
      <c r="N442" s="88"/>
      <c r="O442" s="88"/>
      <c r="P442" s="88"/>
      <c r="Q442" s="88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</row>
    <row r="443" spans="1:32" ht="24" customHeight="1">
      <c r="A443" s="19"/>
      <c r="B443" s="58"/>
      <c r="C443" s="59"/>
      <c r="D443" s="59"/>
      <c r="E443" s="59"/>
      <c r="F443" s="60"/>
      <c r="G443" s="85"/>
      <c r="H443" s="59"/>
      <c r="I443" s="86"/>
      <c r="J443" s="105"/>
      <c r="K443" s="88"/>
      <c r="L443" s="88"/>
      <c r="M443" s="88"/>
      <c r="N443" s="88"/>
      <c r="O443" s="88"/>
      <c r="P443" s="88"/>
      <c r="Q443" s="88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</row>
    <row r="444" spans="1:32" ht="24" customHeight="1">
      <c r="A444" s="19"/>
      <c r="B444" s="58"/>
      <c r="C444" s="59"/>
      <c r="D444" s="59"/>
      <c r="E444" s="59"/>
      <c r="F444" s="60"/>
      <c r="G444" s="85"/>
      <c r="H444" s="59"/>
      <c r="I444" s="86"/>
      <c r="J444" s="105"/>
      <c r="K444" s="88"/>
      <c r="L444" s="88"/>
      <c r="M444" s="88"/>
      <c r="N444" s="88"/>
      <c r="O444" s="88"/>
      <c r="P444" s="88"/>
      <c r="Q444" s="88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</row>
    <row r="445" spans="1:32" ht="24" customHeight="1">
      <c r="A445" s="19"/>
      <c r="B445" s="58"/>
      <c r="C445" s="59"/>
      <c r="D445" s="59"/>
      <c r="E445" s="59"/>
      <c r="F445" s="60"/>
      <c r="G445" s="85"/>
      <c r="H445" s="59"/>
      <c r="I445" s="86"/>
      <c r="J445" s="105"/>
      <c r="K445" s="88"/>
      <c r="L445" s="88"/>
      <c r="M445" s="88"/>
      <c r="N445" s="88"/>
      <c r="O445" s="88"/>
      <c r="P445" s="88"/>
      <c r="Q445" s="88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</row>
    <row r="446" spans="1:32" ht="24" customHeight="1">
      <c r="A446" s="19"/>
      <c r="B446" s="58"/>
      <c r="C446" s="59"/>
      <c r="D446" s="59"/>
      <c r="E446" s="59"/>
      <c r="F446" s="60"/>
      <c r="G446" s="85"/>
      <c r="H446" s="59"/>
      <c r="I446" s="86"/>
      <c r="J446" s="105"/>
      <c r="K446" s="88"/>
      <c r="L446" s="88"/>
      <c r="M446" s="88"/>
      <c r="N446" s="88"/>
      <c r="O446" s="88"/>
      <c r="P446" s="88"/>
      <c r="Q446" s="88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</row>
    <row r="447" spans="1:32" ht="24" customHeight="1">
      <c r="A447" s="19"/>
      <c r="B447" s="58"/>
      <c r="C447" s="59"/>
      <c r="D447" s="59"/>
      <c r="E447" s="59"/>
      <c r="F447" s="60"/>
      <c r="G447" s="85"/>
      <c r="H447" s="59"/>
      <c r="I447" s="86"/>
      <c r="J447" s="105"/>
      <c r="K447" s="88"/>
      <c r="L447" s="88"/>
      <c r="M447" s="88"/>
      <c r="N447" s="88"/>
      <c r="O447" s="88"/>
      <c r="P447" s="88"/>
      <c r="Q447" s="88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</row>
    <row r="448" spans="1:32" ht="24" customHeight="1">
      <c r="A448" s="19"/>
      <c r="B448" s="58"/>
      <c r="C448" s="59"/>
      <c r="D448" s="59"/>
      <c r="E448" s="59"/>
      <c r="F448" s="60"/>
      <c r="G448" s="85"/>
      <c r="H448" s="59"/>
      <c r="I448" s="86"/>
      <c r="J448" s="105"/>
      <c r="K448" s="88"/>
      <c r="L448" s="88"/>
      <c r="M448" s="88"/>
      <c r="N448" s="88"/>
      <c r="O448" s="88"/>
      <c r="P448" s="88"/>
      <c r="Q448" s="88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</row>
    <row r="449" spans="1:32" ht="24" customHeight="1">
      <c r="A449" s="19"/>
      <c r="B449" s="58"/>
      <c r="C449" s="59"/>
      <c r="D449" s="59"/>
      <c r="E449" s="59"/>
      <c r="F449" s="60"/>
      <c r="G449" s="85"/>
      <c r="H449" s="59"/>
      <c r="I449" s="86"/>
      <c r="J449" s="105"/>
      <c r="K449" s="88"/>
      <c r="L449" s="88"/>
      <c r="M449" s="88"/>
      <c r="N449" s="88"/>
      <c r="O449" s="88"/>
      <c r="P449" s="88"/>
      <c r="Q449" s="88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</row>
    <row r="450" spans="1:32" ht="24" customHeight="1">
      <c r="A450" s="19"/>
      <c r="B450" s="58"/>
      <c r="C450" s="59"/>
      <c r="D450" s="59"/>
      <c r="E450" s="59"/>
      <c r="F450" s="60"/>
      <c r="G450" s="85"/>
      <c r="H450" s="59"/>
      <c r="I450" s="86"/>
      <c r="J450" s="105"/>
      <c r="K450" s="88"/>
      <c r="L450" s="88"/>
      <c r="M450" s="88"/>
      <c r="N450" s="88"/>
      <c r="O450" s="88"/>
      <c r="P450" s="88"/>
      <c r="Q450" s="88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</row>
    <row r="451" spans="1:32" ht="24" customHeight="1">
      <c r="A451" s="19"/>
      <c r="B451" s="58"/>
      <c r="C451" s="59"/>
      <c r="D451" s="59"/>
      <c r="E451" s="59"/>
      <c r="F451" s="60"/>
      <c r="G451" s="85"/>
      <c r="H451" s="59"/>
      <c r="I451" s="86"/>
      <c r="J451" s="105"/>
      <c r="K451" s="88"/>
      <c r="L451" s="88"/>
      <c r="M451" s="88"/>
      <c r="N451" s="88"/>
      <c r="O451" s="88"/>
      <c r="P451" s="88"/>
      <c r="Q451" s="88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</row>
    <row r="452" spans="1:32" ht="24" customHeight="1">
      <c r="A452" s="19"/>
      <c r="B452" s="58"/>
      <c r="C452" s="59"/>
      <c r="D452" s="59"/>
      <c r="E452" s="59"/>
      <c r="F452" s="60"/>
      <c r="G452" s="85"/>
      <c r="H452" s="59"/>
      <c r="I452" s="86"/>
      <c r="J452" s="105"/>
      <c r="K452" s="88"/>
      <c r="L452" s="88"/>
      <c r="M452" s="88"/>
      <c r="N452" s="88"/>
      <c r="O452" s="88"/>
      <c r="P452" s="88"/>
      <c r="Q452" s="88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</row>
    <row r="453" spans="1:32" ht="24" customHeight="1">
      <c r="A453" s="19"/>
      <c r="B453" s="58"/>
      <c r="C453" s="59"/>
      <c r="D453" s="59"/>
      <c r="E453" s="59"/>
      <c r="F453" s="60"/>
      <c r="G453" s="85"/>
      <c r="H453" s="59"/>
      <c r="I453" s="86"/>
      <c r="J453" s="105"/>
      <c r="K453" s="88"/>
      <c r="L453" s="88"/>
      <c r="M453" s="88"/>
      <c r="N453" s="88"/>
      <c r="O453" s="88"/>
      <c r="P453" s="88"/>
      <c r="Q453" s="88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</row>
    <row r="454" spans="1:32" ht="24" customHeight="1">
      <c r="A454" s="19"/>
      <c r="B454" s="58"/>
      <c r="C454" s="59"/>
      <c r="D454" s="59"/>
      <c r="E454" s="59"/>
      <c r="F454" s="60"/>
      <c r="G454" s="85"/>
      <c r="H454" s="59"/>
      <c r="I454" s="86"/>
      <c r="J454" s="105"/>
      <c r="K454" s="88"/>
      <c r="L454" s="88"/>
      <c r="M454" s="88"/>
      <c r="N454" s="88"/>
      <c r="O454" s="88"/>
      <c r="P454" s="88"/>
      <c r="Q454" s="88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</row>
    <row r="455" spans="1:32" ht="24" customHeight="1">
      <c r="A455" s="19"/>
      <c r="B455" s="58"/>
      <c r="C455" s="59"/>
      <c r="D455" s="59"/>
      <c r="E455" s="59"/>
      <c r="F455" s="60"/>
      <c r="G455" s="85"/>
      <c r="H455" s="59"/>
      <c r="I455" s="86"/>
      <c r="J455" s="105"/>
      <c r="K455" s="88"/>
      <c r="L455" s="88"/>
      <c r="M455" s="88"/>
      <c r="N455" s="88"/>
      <c r="O455" s="88"/>
      <c r="P455" s="88"/>
      <c r="Q455" s="88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</row>
    <row r="456" spans="1:32" ht="24" customHeight="1">
      <c r="A456" s="19"/>
      <c r="B456" s="58"/>
      <c r="C456" s="59"/>
      <c r="D456" s="59"/>
      <c r="E456" s="59"/>
      <c r="F456" s="60"/>
      <c r="G456" s="85"/>
      <c r="H456" s="59"/>
      <c r="I456" s="86"/>
      <c r="J456" s="105"/>
      <c r="K456" s="88"/>
      <c r="L456" s="88"/>
      <c r="M456" s="88"/>
      <c r="N456" s="88"/>
      <c r="O456" s="88"/>
      <c r="P456" s="88"/>
      <c r="Q456" s="88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</row>
    <row r="457" spans="1:32" ht="24" customHeight="1">
      <c r="A457" s="19"/>
      <c r="B457" s="58"/>
      <c r="C457" s="59"/>
      <c r="D457" s="59"/>
      <c r="E457" s="59"/>
      <c r="F457" s="60"/>
      <c r="G457" s="85"/>
      <c r="H457" s="59"/>
      <c r="I457" s="86"/>
      <c r="J457" s="105"/>
      <c r="K457" s="88"/>
      <c r="L457" s="88"/>
      <c r="M457" s="88"/>
      <c r="N457" s="88"/>
      <c r="O457" s="88"/>
      <c r="P457" s="88"/>
      <c r="Q457" s="88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</row>
    <row r="458" spans="1:32" ht="24" customHeight="1">
      <c r="A458" s="19"/>
      <c r="B458" s="58"/>
      <c r="C458" s="59"/>
      <c r="D458" s="59"/>
      <c r="E458" s="59"/>
      <c r="F458" s="60"/>
      <c r="G458" s="85"/>
      <c r="H458" s="59"/>
      <c r="I458" s="86"/>
      <c r="J458" s="105"/>
      <c r="K458" s="88"/>
      <c r="L458" s="88"/>
      <c r="M458" s="88"/>
      <c r="N458" s="88"/>
      <c r="O458" s="88"/>
      <c r="P458" s="88"/>
      <c r="Q458" s="88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</row>
    <row r="459" spans="1:32" ht="24" customHeight="1">
      <c r="A459" s="19"/>
      <c r="B459" s="58"/>
      <c r="C459" s="59"/>
      <c r="D459" s="59"/>
      <c r="E459" s="59"/>
      <c r="F459" s="60"/>
      <c r="G459" s="85"/>
      <c r="H459" s="59"/>
      <c r="I459" s="86"/>
      <c r="J459" s="105"/>
      <c r="K459" s="88"/>
      <c r="L459" s="88"/>
      <c r="M459" s="88"/>
      <c r="N459" s="88"/>
      <c r="O459" s="88"/>
      <c r="P459" s="88"/>
      <c r="Q459" s="88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</row>
    <row r="460" spans="1:32" ht="24" customHeight="1">
      <c r="A460" s="19"/>
      <c r="B460" s="58"/>
      <c r="C460" s="59"/>
      <c r="D460" s="59"/>
      <c r="E460" s="59"/>
      <c r="F460" s="60"/>
      <c r="G460" s="85"/>
      <c r="H460" s="59"/>
      <c r="I460" s="86"/>
      <c r="J460" s="105"/>
      <c r="K460" s="88"/>
      <c r="L460" s="88"/>
      <c r="M460" s="88"/>
      <c r="N460" s="88"/>
      <c r="O460" s="88"/>
      <c r="P460" s="88"/>
      <c r="Q460" s="88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</row>
    <row r="461" spans="1:32" ht="24" customHeight="1">
      <c r="A461" s="19"/>
      <c r="B461" s="58"/>
      <c r="C461" s="59"/>
      <c r="D461" s="59"/>
      <c r="E461" s="59"/>
      <c r="F461" s="60"/>
      <c r="G461" s="85"/>
      <c r="H461" s="59"/>
      <c r="I461" s="86"/>
      <c r="J461" s="105"/>
      <c r="K461" s="88"/>
      <c r="L461" s="88"/>
      <c r="M461" s="88"/>
      <c r="N461" s="88"/>
      <c r="O461" s="88"/>
      <c r="P461" s="88"/>
      <c r="Q461" s="88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</row>
    <row r="462" spans="1:32" ht="24" customHeight="1">
      <c r="A462" s="19"/>
      <c r="B462" s="58"/>
      <c r="C462" s="59"/>
      <c r="D462" s="59"/>
      <c r="E462" s="59"/>
      <c r="F462" s="60"/>
      <c r="G462" s="85"/>
      <c r="H462" s="59"/>
      <c r="I462" s="86"/>
      <c r="J462" s="105"/>
      <c r="K462" s="88"/>
      <c r="L462" s="88"/>
      <c r="M462" s="88"/>
      <c r="N462" s="88"/>
      <c r="O462" s="88"/>
      <c r="P462" s="88"/>
      <c r="Q462" s="88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</row>
    <row r="463" spans="1:32" ht="24" customHeight="1">
      <c r="A463" s="19"/>
      <c r="B463" s="58"/>
      <c r="C463" s="59"/>
      <c r="D463" s="59"/>
      <c r="E463" s="59"/>
      <c r="F463" s="60"/>
      <c r="G463" s="85"/>
      <c r="H463" s="59"/>
      <c r="I463" s="86"/>
      <c r="J463" s="105"/>
      <c r="K463" s="88"/>
      <c r="L463" s="88"/>
      <c r="M463" s="88"/>
      <c r="N463" s="88"/>
      <c r="O463" s="88"/>
      <c r="P463" s="88"/>
      <c r="Q463" s="88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</row>
    <row r="464" spans="1:32" ht="24" customHeight="1">
      <c r="A464" s="19"/>
      <c r="B464" s="58"/>
      <c r="C464" s="59"/>
      <c r="D464" s="59"/>
      <c r="E464" s="59"/>
      <c r="F464" s="60"/>
      <c r="G464" s="85"/>
      <c r="H464" s="59"/>
      <c r="I464" s="86"/>
      <c r="J464" s="105"/>
      <c r="K464" s="88"/>
      <c r="L464" s="88"/>
      <c r="M464" s="88"/>
      <c r="N464" s="88"/>
      <c r="O464" s="88"/>
      <c r="P464" s="88"/>
      <c r="Q464" s="88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</row>
    <row r="465" spans="1:32" ht="24" customHeight="1">
      <c r="A465" s="19"/>
      <c r="B465" s="58"/>
      <c r="C465" s="59"/>
      <c r="D465" s="59"/>
      <c r="E465" s="59"/>
      <c r="F465" s="60"/>
      <c r="G465" s="85"/>
      <c r="H465" s="59"/>
      <c r="I465" s="86"/>
      <c r="J465" s="105"/>
      <c r="K465" s="88"/>
      <c r="L465" s="88"/>
      <c r="M465" s="88"/>
      <c r="N465" s="88"/>
      <c r="O465" s="88"/>
      <c r="P465" s="88"/>
      <c r="Q465" s="88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</row>
    <row r="466" spans="1:32" ht="24" customHeight="1">
      <c r="A466" s="19"/>
      <c r="B466" s="58"/>
      <c r="C466" s="59"/>
      <c r="D466" s="59"/>
      <c r="E466" s="59"/>
      <c r="F466" s="60"/>
      <c r="G466" s="85"/>
      <c r="H466" s="59"/>
      <c r="I466" s="86"/>
      <c r="J466" s="105"/>
      <c r="K466" s="88"/>
      <c r="L466" s="88"/>
      <c r="M466" s="88"/>
      <c r="N466" s="88"/>
      <c r="O466" s="88"/>
      <c r="P466" s="88"/>
      <c r="Q466" s="88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</row>
    <row r="467" spans="1:32" ht="24" customHeight="1">
      <c r="A467" s="19"/>
      <c r="B467" s="58"/>
      <c r="C467" s="59"/>
      <c r="D467" s="59"/>
      <c r="E467" s="59"/>
      <c r="F467" s="60"/>
      <c r="G467" s="85"/>
      <c r="H467" s="59"/>
      <c r="I467" s="86"/>
      <c r="J467" s="105"/>
      <c r="K467" s="88"/>
      <c r="L467" s="88"/>
      <c r="M467" s="88"/>
      <c r="N467" s="88"/>
      <c r="O467" s="88"/>
      <c r="P467" s="88"/>
      <c r="Q467" s="88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</row>
    <row r="468" spans="1:32" ht="24" customHeight="1">
      <c r="A468" s="19"/>
      <c r="B468" s="58"/>
      <c r="C468" s="59"/>
      <c r="D468" s="59"/>
      <c r="E468" s="59"/>
      <c r="F468" s="60"/>
      <c r="G468" s="85"/>
      <c r="H468" s="59"/>
      <c r="I468" s="86"/>
      <c r="J468" s="105"/>
      <c r="K468" s="88"/>
      <c r="L468" s="88"/>
      <c r="M468" s="88"/>
      <c r="N468" s="88"/>
      <c r="O468" s="88"/>
      <c r="P468" s="88"/>
      <c r="Q468" s="88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</row>
    <row r="469" spans="1:32" ht="24" customHeight="1">
      <c r="A469" s="19"/>
      <c r="B469" s="58"/>
      <c r="C469" s="59"/>
      <c r="D469" s="59"/>
      <c r="E469" s="59"/>
      <c r="F469" s="60"/>
      <c r="G469" s="85"/>
      <c r="H469" s="59"/>
      <c r="I469" s="86"/>
      <c r="J469" s="105"/>
      <c r="K469" s="88"/>
      <c r="L469" s="88"/>
      <c r="M469" s="88"/>
      <c r="N469" s="88"/>
      <c r="O469" s="88"/>
      <c r="P469" s="88"/>
      <c r="Q469" s="88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</row>
    <row r="470" spans="1:32" ht="24" customHeight="1">
      <c r="A470" s="19"/>
      <c r="B470" s="58"/>
      <c r="C470" s="59"/>
      <c r="D470" s="59"/>
      <c r="E470" s="59"/>
      <c r="F470" s="60"/>
      <c r="G470" s="85"/>
      <c r="H470" s="59"/>
      <c r="I470" s="86"/>
      <c r="J470" s="105"/>
      <c r="K470" s="88"/>
      <c r="L470" s="88"/>
      <c r="M470" s="88"/>
      <c r="N470" s="88"/>
      <c r="O470" s="88"/>
      <c r="P470" s="88"/>
      <c r="Q470" s="88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</row>
    <row r="471" spans="1:32" ht="24" customHeight="1">
      <c r="A471" s="19"/>
      <c r="B471" s="58"/>
      <c r="C471" s="59"/>
      <c r="D471" s="59"/>
      <c r="E471" s="59"/>
      <c r="F471" s="60"/>
      <c r="G471" s="85"/>
      <c r="H471" s="59"/>
      <c r="I471" s="86"/>
      <c r="J471" s="105"/>
      <c r="K471" s="88"/>
      <c r="L471" s="88"/>
      <c r="M471" s="88"/>
      <c r="N471" s="88"/>
      <c r="O471" s="88"/>
      <c r="P471" s="88"/>
      <c r="Q471" s="88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</row>
    <row r="472" spans="1:32" ht="24" customHeight="1">
      <c r="A472" s="19"/>
      <c r="B472" s="58"/>
      <c r="C472" s="59"/>
      <c r="D472" s="59"/>
      <c r="E472" s="59"/>
      <c r="F472" s="60"/>
      <c r="G472" s="85"/>
      <c r="H472" s="59"/>
      <c r="I472" s="86"/>
      <c r="J472" s="105"/>
      <c r="K472" s="88"/>
      <c r="L472" s="88"/>
      <c r="M472" s="88"/>
      <c r="N472" s="88"/>
      <c r="O472" s="88"/>
      <c r="P472" s="88"/>
      <c r="Q472" s="88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</row>
    <row r="473" spans="1:32" ht="24" customHeight="1">
      <c r="A473" s="19"/>
      <c r="B473" s="58"/>
      <c r="C473" s="59"/>
      <c r="D473" s="59"/>
      <c r="E473" s="59"/>
      <c r="F473" s="60"/>
      <c r="G473" s="85"/>
      <c r="H473" s="59"/>
      <c r="I473" s="86"/>
      <c r="J473" s="105"/>
      <c r="K473" s="88"/>
      <c r="L473" s="88"/>
      <c r="M473" s="88"/>
      <c r="N473" s="88"/>
      <c r="O473" s="88"/>
      <c r="P473" s="88"/>
      <c r="Q473" s="88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</row>
    <row r="474" spans="1:32" ht="24" customHeight="1">
      <c r="A474" s="19"/>
      <c r="B474" s="58"/>
      <c r="C474" s="59"/>
      <c r="D474" s="59"/>
      <c r="E474" s="59"/>
      <c r="F474" s="60"/>
      <c r="G474" s="85"/>
      <c r="H474" s="59"/>
      <c r="I474" s="86"/>
      <c r="J474" s="105"/>
      <c r="K474" s="88"/>
      <c r="L474" s="88"/>
      <c r="M474" s="88"/>
      <c r="N474" s="88"/>
      <c r="O474" s="88"/>
      <c r="P474" s="88"/>
      <c r="Q474" s="88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</row>
    <row r="475" spans="1:32" ht="24" customHeight="1">
      <c r="A475" s="19"/>
      <c r="B475" s="58"/>
      <c r="C475" s="59"/>
      <c r="D475" s="59"/>
      <c r="E475" s="59"/>
      <c r="F475" s="60"/>
      <c r="G475" s="85"/>
      <c r="H475" s="59"/>
      <c r="I475" s="86"/>
      <c r="J475" s="105"/>
      <c r="K475" s="88"/>
      <c r="L475" s="88"/>
      <c r="M475" s="88"/>
      <c r="N475" s="88"/>
      <c r="O475" s="88"/>
      <c r="P475" s="88"/>
      <c r="Q475" s="88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</row>
    <row r="476" spans="1:32" ht="24" customHeight="1">
      <c r="A476" s="19"/>
      <c r="B476" s="58"/>
      <c r="C476" s="59"/>
      <c r="D476" s="59"/>
      <c r="E476" s="59"/>
      <c r="F476" s="60"/>
      <c r="G476" s="85"/>
      <c r="H476" s="59"/>
      <c r="I476" s="86"/>
      <c r="J476" s="105"/>
      <c r="K476" s="88"/>
      <c r="L476" s="88"/>
      <c r="M476" s="88"/>
      <c r="N476" s="88"/>
      <c r="O476" s="88"/>
      <c r="P476" s="88"/>
      <c r="Q476" s="88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</row>
    <row r="477" spans="1:32" ht="24" customHeight="1">
      <c r="A477" s="19"/>
      <c r="B477" s="58"/>
      <c r="C477" s="59"/>
      <c r="D477" s="59"/>
      <c r="E477" s="59"/>
      <c r="F477" s="60"/>
      <c r="G477" s="85"/>
      <c r="H477" s="59"/>
      <c r="I477" s="86"/>
      <c r="J477" s="105"/>
      <c r="K477" s="88"/>
      <c r="L477" s="88"/>
      <c r="M477" s="88"/>
      <c r="N477" s="88"/>
      <c r="O477" s="88"/>
      <c r="P477" s="88"/>
      <c r="Q477" s="88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</row>
    <row r="478" spans="1:32" ht="24" customHeight="1">
      <c r="A478" s="19"/>
      <c r="B478" s="58"/>
      <c r="C478" s="59"/>
      <c r="D478" s="59"/>
      <c r="E478" s="59"/>
      <c r="F478" s="60"/>
      <c r="G478" s="85"/>
      <c r="H478" s="59"/>
      <c r="I478" s="86"/>
      <c r="J478" s="105"/>
      <c r="K478" s="88"/>
      <c r="L478" s="88"/>
      <c r="M478" s="88"/>
      <c r="N478" s="88"/>
      <c r="O478" s="88"/>
      <c r="P478" s="88"/>
      <c r="Q478" s="88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</row>
    <row r="479" spans="1:32" ht="24" customHeight="1">
      <c r="A479" s="19"/>
      <c r="B479" s="58"/>
      <c r="C479" s="59"/>
      <c r="D479" s="59"/>
      <c r="E479" s="59"/>
      <c r="F479" s="60"/>
      <c r="G479" s="85"/>
      <c r="H479" s="59"/>
      <c r="I479" s="86"/>
      <c r="J479" s="105"/>
      <c r="K479" s="88"/>
      <c r="L479" s="88"/>
      <c r="M479" s="88"/>
      <c r="N479" s="88"/>
      <c r="O479" s="88"/>
      <c r="P479" s="88"/>
      <c r="Q479" s="88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</row>
    <row r="480" spans="1:32" ht="24" customHeight="1">
      <c r="A480" s="19"/>
      <c r="B480" s="58"/>
      <c r="C480" s="59"/>
      <c r="D480" s="59"/>
      <c r="E480" s="59"/>
      <c r="F480" s="60"/>
      <c r="G480" s="85"/>
      <c r="H480" s="59"/>
      <c r="I480" s="86"/>
      <c r="J480" s="105"/>
      <c r="K480" s="88"/>
      <c r="L480" s="88"/>
      <c r="M480" s="88"/>
      <c r="N480" s="88"/>
      <c r="O480" s="88"/>
      <c r="P480" s="88"/>
      <c r="Q480" s="88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</row>
    <row r="481" spans="1:32" ht="24" customHeight="1">
      <c r="A481" s="19"/>
      <c r="B481" s="58"/>
      <c r="C481" s="59"/>
      <c r="D481" s="59"/>
      <c r="E481" s="59"/>
      <c r="F481" s="60"/>
      <c r="G481" s="85"/>
      <c r="H481" s="59"/>
      <c r="I481" s="86"/>
      <c r="J481" s="105"/>
      <c r="K481" s="88"/>
      <c r="L481" s="88"/>
      <c r="M481" s="88"/>
      <c r="N481" s="88"/>
      <c r="O481" s="88"/>
      <c r="P481" s="88"/>
      <c r="Q481" s="88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</row>
    <row r="482" spans="1:32" ht="24" customHeight="1">
      <c r="A482" s="19"/>
      <c r="B482" s="58"/>
      <c r="C482" s="59"/>
      <c r="D482" s="59"/>
      <c r="E482" s="59"/>
      <c r="F482" s="60"/>
      <c r="G482" s="85"/>
      <c r="H482" s="59"/>
      <c r="I482" s="86"/>
      <c r="J482" s="105"/>
      <c r="K482" s="88"/>
      <c r="L482" s="88"/>
      <c r="M482" s="88"/>
      <c r="N482" s="88"/>
      <c r="O482" s="88"/>
      <c r="P482" s="88"/>
      <c r="Q482" s="88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</row>
    <row r="483" spans="1:32" ht="24" customHeight="1">
      <c r="A483" s="19"/>
      <c r="B483" s="58"/>
      <c r="C483" s="59"/>
      <c r="D483" s="59"/>
      <c r="E483" s="59"/>
      <c r="F483" s="60"/>
      <c r="G483" s="85"/>
      <c r="H483" s="59"/>
      <c r="I483" s="86"/>
      <c r="J483" s="105"/>
      <c r="K483" s="88"/>
      <c r="L483" s="88"/>
      <c r="M483" s="88"/>
      <c r="N483" s="88"/>
      <c r="O483" s="88"/>
      <c r="P483" s="88"/>
      <c r="Q483" s="88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</row>
    <row r="484" spans="1:32" ht="24" customHeight="1">
      <c r="A484" s="19"/>
      <c r="B484" s="58"/>
      <c r="C484" s="59"/>
      <c r="D484" s="59"/>
      <c r="E484" s="59"/>
      <c r="F484" s="60"/>
      <c r="G484" s="85"/>
      <c r="H484" s="59"/>
      <c r="I484" s="86"/>
      <c r="J484" s="105"/>
      <c r="K484" s="88"/>
      <c r="L484" s="88"/>
      <c r="M484" s="88"/>
      <c r="N484" s="88"/>
      <c r="O484" s="88"/>
      <c r="P484" s="88"/>
      <c r="Q484" s="88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</row>
    <row r="485" spans="1:32" ht="24" customHeight="1">
      <c r="A485" s="19"/>
      <c r="B485" s="58"/>
      <c r="C485" s="59"/>
      <c r="D485" s="59"/>
      <c r="E485" s="59"/>
      <c r="F485" s="60"/>
      <c r="G485" s="85"/>
      <c r="H485" s="59"/>
      <c r="I485" s="86"/>
      <c r="J485" s="105"/>
      <c r="K485" s="88"/>
      <c r="L485" s="88"/>
      <c r="M485" s="88"/>
      <c r="N485" s="88"/>
      <c r="O485" s="88"/>
      <c r="P485" s="88"/>
      <c r="Q485" s="88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</row>
    <row r="486" spans="1:32" ht="24" customHeight="1">
      <c r="A486" s="19"/>
      <c r="B486" s="58"/>
      <c r="C486" s="59"/>
      <c r="D486" s="59"/>
      <c r="E486" s="59"/>
      <c r="F486" s="60"/>
      <c r="G486" s="85"/>
      <c r="H486" s="59"/>
      <c r="I486" s="86"/>
      <c r="J486" s="105"/>
      <c r="K486" s="88"/>
      <c r="L486" s="88"/>
      <c r="M486" s="88"/>
      <c r="N486" s="88"/>
      <c r="O486" s="88"/>
      <c r="P486" s="88"/>
      <c r="Q486" s="88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</row>
    <row r="487" spans="1:32" ht="24" customHeight="1">
      <c r="A487" s="19"/>
      <c r="B487" s="58"/>
      <c r="C487" s="59"/>
      <c r="D487" s="59"/>
      <c r="E487" s="59"/>
      <c r="F487" s="60"/>
      <c r="G487" s="85"/>
      <c r="H487" s="59"/>
      <c r="I487" s="86"/>
      <c r="J487" s="105"/>
      <c r="K487" s="88"/>
      <c r="L487" s="88"/>
      <c r="M487" s="88"/>
      <c r="N487" s="88"/>
      <c r="O487" s="88"/>
      <c r="P487" s="88"/>
      <c r="Q487" s="88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</row>
    <row r="488" spans="1:32" ht="24" customHeight="1">
      <c r="A488" s="19"/>
      <c r="B488" s="58"/>
      <c r="C488" s="59"/>
      <c r="D488" s="59"/>
      <c r="E488" s="59"/>
      <c r="F488" s="60"/>
      <c r="G488" s="85"/>
      <c r="H488" s="59"/>
      <c r="I488" s="86"/>
      <c r="J488" s="105"/>
      <c r="K488" s="88"/>
      <c r="L488" s="88"/>
      <c r="M488" s="88"/>
      <c r="N488" s="88"/>
      <c r="O488" s="88"/>
      <c r="P488" s="88"/>
      <c r="Q488" s="88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</row>
    <row r="489" spans="1:32" ht="24" customHeight="1">
      <c r="A489" s="19"/>
      <c r="B489" s="58"/>
      <c r="C489" s="59"/>
      <c r="D489" s="59"/>
      <c r="E489" s="59"/>
      <c r="F489" s="60"/>
      <c r="G489" s="85"/>
      <c r="H489" s="59"/>
      <c r="I489" s="86"/>
      <c r="J489" s="105"/>
      <c r="K489" s="88"/>
      <c r="L489" s="88"/>
      <c r="M489" s="88"/>
      <c r="N489" s="88"/>
      <c r="O489" s="88"/>
      <c r="P489" s="88"/>
      <c r="Q489" s="88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</row>
    <row r="490" spans="1:32" ht="24" customHeight="1">
      <c r="A490" s="19"/>
      <c r="B490" s="58"/>
      <c r="C490" s="59"/>
      <c r="D490" s="59"/>
      <c r="E490" s="59"/>
      <c r="F490" s="60"/>
      <c r="G490" s="85"/>
      <c r="H490" s="59"/>
      <c r="I490" s="86"/>
      <c r="J490" s="105"/>
      <c r="K490" s="88"/>
      <c r="L490" s="88"/>
      <c r="M490" s="88"/>
      <c r="N490" s="88"/>
      <c r="O490" s="88"/>
      <c r="P490" s="88"/>
      <c r="Q490" s="88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</row>
    <row r="491" spans="1:32" ht="24" customHeight="1">
      <c r="A491" s="19"/>
      <c r="B491" s="58"/>
      <c r="C491" s="59"/>
      <c r="D491" s="59"/>
      <c r="E491" s="59"/>
      <c r="F491" s="60"/>
      <c r="G491" s="85"/>
      <c r="H491" s="59"/>
      <c r="I491" s="86"/>
      <c r="J491" s="105"/>
      <c r="K491" s="88"/>
      <c r="L491" s="88"/>
      <c r="M491" s="88"/>
      <c r="N491" s="88"/>
      <c r="O491" s="88"/>
      <c r="P491" s="88"/>
      <c r="Q491" s="88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</row>
    <row r="492" spans="1:32" ht="24" customHeight="1">
      <c r="A492" s="19"/>
      <c r="B492" s="58"/>
      <c r="C492" s="59"/>
      <c r="D492" s="59"/>
      <c r="E492" s="59"/>
      <c r="F492" s="60"/>
      <c r="G492" s="85"/>
      <c r="H492" s="59"/>
      <c r="I492" s="86"/>
      <c r="J492" s="105"/>
      <c r="K492" s="88"/>
      <c r="L492" s="88"/>
      <c r="M492" s="88"/>
      <c r="N492" s="88"/>
      <c r="O492" s="88"/>
      <c r="P492" s="88"/>
      <c r="Q492" s="88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</row>
    <row r="493" spans="1:32" ht="24" customHeight="1">
      <c r="A493" s="19"/>
      <c r="B493" s="58"/>
      <c r="C493" s="59"/>
      <c r="D493" s="59"/>
      <c r="E493" s="59"/>
      <c r="F493" s="60"/>
      <c r="G493" s="85"/>
      <c r="H493" s="59"/>
      <c r="I493" s="86"/>
      <c r="J493" s="105"/>
      <c r="K493" s="88"/>
      <c r="L493" s="88"/>
      <c r="M493" s="88"/>
      <c r="N493" s="88"/>
      <c r="O493" s="88"/>
      <c r="P493" s="88"/>
      <c r="Q493" s="88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</row>
    <row r="494" spans="1:32" ht="24" customHeight="1">
      <c r="A494" s="19"/>
      <c r="B494" s="58"/>
      <c r="C494" s="59"/>
      <c r="D494" s="59"/>
      <c r="E494" s="59"/>
      <c r="F494" s="60"/>
      <c r="G494" s="85"/>
      <c r="H494" s="59"/>
      <c r="I494" s="86"/>
      <c r="J494" s="105"/>
      <c r="K494" s="88"/>
      <c r="L494" s="88"/>
      <c r="M494" s="88"/>
      <c r="N494" s="88"/>
      <c r="O494" s="88"/>
      <c r="P494" s="88"/>
      <c r="Q494" s="88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</row>
    <row r="495" spans="1:32" ht="24" customHeight="1">
      <c r="A495" s="19"/>
      <c r="B495" s="58"/>
      <c r="C495" s="59"/>
      <c r="D495" s="59"/>
      <c r="E495" s="59"/>
      <c r="F495" s="60"/>
      <c r="G495" s="85"/>
      <c r="H495" s="59"/>
      <c r="I495" s="86"/>
      <c r="J495" s="105"/>
      <c r="K495" s="88"/>
      <c r="L495" s="88"/>
      <c r="M495" s="88"/>
      <c r="N495" s="88"/>
      <c r="O495" s="88"/>
      <c r="P495" s="88"/>
      <c r="Q495" s="88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</row>
    <row r="496" spans="1:32" ht="24" customHeight="1">
      <c r="A496" s="19"/>
      <c r="B496" s="58"/>
      <c r="C496" s="59"/>
      <c r="D496" s="59"/>
      <c r="E496" s="59"/>
      <c r="F496" s="60"/>
      <c r="G496" s="85"/>
      <c r="H496" s="59"/>
      <c r="I496" s="86"/>
      <c r="J496" s="105"/>
      <c r="K496" s="88"/>
      <c r="L496" s="88"/>
      <c r="M496" s="88"/>
      <c r="N496" s="88"/>
      <c r="O496" s="88"/>
      <c r="P496" s="88"/>
      <c r="Q496" s="88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</row>
    <row r="497" spans="1:32" ht="24" customHeight="1">
      <c r="A497" s="19"/>
      <c r="B497" s="58"/>
      <c r="C497" s="59"/>
      <c r="D497" s="59"/>
      <c r="E497" s="59"/>
      <c r="F497" s="60"/>
      <c r="G497" s="85"/>
      <c r="H497" s="59"/>
      <c r="I497" s="86"/>
      <c r="J497" s="105"/>
      <c r="K497" s="88"/>
      <c r="L497" s="88"/>
      <c r="M497" s="88"/>
      <c r="N497" s="88"/>
      <c r="O497" s="88"/>
      <c r="P497" s="88"/>
      <c r="Q497" s="88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</row>
    <row r="498" spans="1:32" ht="24" customHeight="1">
      <c r="A498" s="19"/>
      <c r="B498" s="58"/>
      <c r="C498" s="59"/>
      <c r="D498" s="59"/>
      <c r="E498" s="59"/>
      <c r="F498" s="60"/>
      <c r="G498" s="85"/>
      <c r="H498" s="59"/>
      <c r="I498" s="86"/>
      <c r="J498" s="105"/>
      <c r="K498" s="88"/>
      <c r="L498" s="88"/>
      <c r="M498" s="88"/>
      <c r="N498" s="88"/>
      <c r="O498" s="88"/>
      <c r="P498" s="88"/>
      <c r="Q498" s="88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</row>
    <row r="499" spans="1:32" ht="24" customHeight="1">
      <c r="A499" s="19"/>
      <c r="B499" s="58"/>
      <c r="C499" s="59"/>
      <c r="D499" s="59"/>
      <c r="E499" s="59"/>
      <c r="F499" s="60"/>
      <c r="G499" s="85"/>
      <c r="H499" s="59"/>
      <c r="I499" s="86"/>
      <c r="J499" s="105"/>
      <c r="K499" s="88"/>
      <c r="L499" s="88"/>
      <c r="M499" s="88"/>
      <c r="N499" s="88"/>
      <c r="O499" s="88"/>
      <c r="P499" s="88"/>
      <c r="Q499" s="88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</row>
    <row r="500" spans="1:32" ht="24" customHeight="1">
      <c r="A500" s="19"/>
      <c r="B500" s="58"/>
      <c r="C500" s="59"/>
      <c r="D500" s="59"/>
      <c r="E500" s="59"/>
      <c r="F500" s="60"/>
      <c r="G500" s="85"/>
      <c r="H500" s="59"/>
      <c r="I500" s="86"/>
      <c r="J500" s="105"/>
      <c r="K500" s="88"/>
      <c r="L500" s="88"/>
      <c r="M500" s="88"/>
      <c r="N500" s="88"/>
      <c r="O500" s="88"/>
      <c r="P500" s="88"/>
      <c r="Q500" s="88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</row>
    <row r="501" spans="1:32" ht="24" customHeight="1">
      <c r="A501" s="19"/>
      <c r="B501" s="58"/>
      <c r="C501" s="59"/>
      <c r="D501" s="59"/>
      <c r="E501" s="59"/>
      <c r="F501" s="60"/>
      <c r="G501" s="85"/>
      <c r="H501" s="59"/>
      <c r="I501" s="86"/>
      <c r="J501" s="105"/>
      <c r="K501" s="88"/>
      <c r="L501" s="88"/>
      <c r="M501" s="88"/>
      <c r="N501" s="88"/>
      <c r="O501" s="88"/>
      <c r="P501" s="88"/>
      <c r="Q501" s="88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</row>
    <row r="502" spans="1:32" ht="24" customHeight="1">
      <c r="A502" s="19"/>
      <c r="B502" s="58"/>
      <c r="C502" s="59"/>
      <c r="D502" s="59"/>
      <c r="E502" s="59"/>
      <c r="F502" s="60"/>
      <c r="G502" s="85"/>
      <c r="H502" s="59"/>
      <c r="I502" s="86"/>
      <c r="J502" s="105"/>
      <c r="K502" s="88"/>
      <c r="L502" s="88"/>
      <c r="M502" s="88"/>
      <c r="N502" s="88"/>
      <c r="O502" s="88"/>
      <c r="P502" s="88"/>
      <c r="Q502" s="88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</row>
    <row r="503" spans="1:32" ht="24" customHeight="1">
      <c r="A503" s="19"/>
      <c r="B503" s="58"/>
      <c r="C503" s="59"/>
      <c r="D503" s="59"/>
      <c r="E503" s="59"/>
      <c r="F503" s="60"/>
      <c r="G503" s="85"/>
      <c r="H503" s="59"/>
      <c r="I503" s="86"/>
      <c r="J503" s="105"/>
      <c r="K503" s="88"/>
      <c r="L503" s="88"/>
      <c r="M503" s="88"/>
      <c r="N503" s="88"/>
      <c r="O503" s="88"/>
      <c r="P503" s="88"/>
      <c r="Q503" s="88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</row>
    <row r="504" spans="1:32" ht="24" customHeight="1">
      <c r="A504" s="19"/>
      <c r="B504" s="58"/>
      <c r="C504" s="59"/>
      <c r="D504" s="59"/>
      <c r="E504" s="59"/>
      <c r="F504" s="60"/>
      <c r="G504" s="85"/>
      <c r="H504" s="59"/>
      <c r="I504" s="86"/>
      <c r="J504" s="105"/>
      <c r="K504" s="88"/>
      <c r="L504" s="88"/>
      <c r="M504" s="88"/>
      <c r="N504" s="88"/>
      <c r="O504" s="88"/>
      <c r="P504" s="88"/>
      <c r="Q504" s="88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</row>
    <row r="505" spans="1:32" ht="24" customHeight="1">
      <c r="A505" s="19"/>
      <c r="B505" s="58"/>
      <c r="C505" s="59"/>
      <c r="D505" s="59"/>
      <c r="E505" s="59"/>
      <c r="F505" s="60"/>
      <c r="G505" s="85"/>
      <c r="H505" s="59"/>
      <c r="I505" s="86"/>
      <c r="J505" s="105"/>
      <c r="K505" s="88"/>
      <c r="L505" s="88"/>
      <c r="M505" s="88"/>
      <c r="N505" s="88"/>
      <c r="O505" s="88"/>
      <c r="P505" s="88"/>
      <c r="Q505" s="88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</row>
    <row r="506" spans="1:32" ht="24" customHeight="1">
      <c r="A506" s="19"/>
      <c r="B506" s="58"/>
      <c r="C506" s="59"/>
      <c r="D506" s="59"/>
      <c r="E506" s="59"/>
      <c r="F506" s="60"/>
      <c r="G506" s="85"/>
      <c r="H506" s="59"/>
      <c r="I506" s="86"/>
      <c r="J506" s="105"/>
      <c r="K506" s="88"/>
      <c r="L506" s="88"/>
      <c r="M506" s="88"/>
      <c r="N506" s="88"/>
      <c r="O506" s="88"/>
      <c r="P506" s="88"/>
      <c r="Q506" s="88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</row>
    <row r="507" spans="1:32" ht="24" customHeight="1">
      <c r="A507" s="19"/>
      <c r="B507" s="58"/>
      <c r="C507" s="59"/>
      <c r="D507" s="59"/>
      <c r="E507" s="59"/>
      <c r="F507" s="60"/>
      <c r="G507" s="85"/>
      <c r="H507" s="59"/>
      <c r="I507" s="86"/>
      <c r="J507" s="105"/>
      <c r="K507" s="88"/>
      <c r="L507" s="88"/>
      <c r="M507" s="88"/>
      <c r="N507" s="88"/>
      <c r="O507" s="88"/>
      <c r="P507" s="88"/>
      <c r="Q507" s="88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</row>
    <row r="508" spans="1:32" ht="24" customHeight="1">
      <c r="A508" s="19"/>
      <c r="B508" s="58"/>
      <c r="C508" s="59"/>
      <c r="D508" s="59"/>
      <c r="E508" s="59"/>
      <c r="F508" s="60"/>
      <c r="G508" s="85"/>
      <c r="H508" s="59"/>
      <c r="I508" s="86"/>
      <c r="J508" s="105"/>
      <c r="K508" s="88"/>
      <c r="L508" s="88"/>
      <c r="M508" s="88"/>
      <c r="N508" s="88"/>
      <c r="O508" s="88"/>
      <c r="P508" s="88"/>
      <c r="Q508" s="88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</row>
    <row r="509" spans="1:32" ht="24" customHeight="1">
      <c r="A509" s="19"/>
      <c r="B509" s="58"/>
      <c r="C509" s="59"/>
      <c r="D509" s="59"/>
      <c r="E509" s="59"/>
      <c r="F509" s="60"/>
      <c r="G509" s="85"/>
      <c r="H509" s="59"/>
      <c r="I509" s="86"/>
      <c r="J509" s="105"/>
      <c r="K509" s="88"/>
      <c r="L509" s="88"/>
      <c r="M509" s="88"/>
      <c r="N509" s="88"/>
      <c r="O509" s="88"/>
      <c r="P509" s="88"/>
      <c r="Q509" s="88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</row>
    <row r="510" spans="1:32" ht="24" customHeight="1">
      <c r="A510" s="19"/>
      <c r="B510" s="58"/>
      <c r="C510" s="59"/>
      <c r="D510" s="59"/>
      <c r="E510" s="59"/>
      <c r="F510" s="60"/>
      <c r="G510" s="85"/>
      <c r="H510" s="59"/>
      <c r="I510" s="86"/>
      <c r="J510" s="105"/>
      <c r="K510" s="88"/>
      <c r="L510" s="88"/>
      <c r="M510" s="88"/>
      <c r="N510" s="88"/>
      <c r="O510" s="88"/>
      <c r="P510" s="88"/>
      <c r="Q510" s="88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</row>
    <row r="511" spans="1:32" ht="24" customHeight="1">
      <c r="A511" s="19"/>
      <c r="B511" s="58"/>
      <c r="C511" s="59"/>
      <c r="D511" s="59"/>
      <c r="E511" s="59"/>
      <c r="F511" s="60"/>
      <c r="G511" s="85"/>
      <c r="H511" s="59"/>
      <c r="I511" s="86"/>
      <c r="J511" s="105"/>
      <c r="K511" s="88"/>
      <c r="L511" s="88"/>
      <c r="M511" s="88"/>
      <c r="N511" s="88"/>
      <c r="O511" s="88"/>
      <c r="P511" s="88"/>
      <c r="Q511" s="88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</row>
    <row r="512" spans="1:32" ht="24" customHeight="1">
      <c r="A512" s="19"/>
      <c r="B512" s="58"/>
      <c r="C512" s="59"/>
      <c r="D512" s="59"/>
      <c r="E512" s="59"/>
      <c r="F512" s="60"/>
      <c r="G512" s="85"/>
      <c r="H512" s="59"/>
      <c r="I512" s="86"/>
      <c r="J512" s="105"/>
      <c r="K512" s="88"/>
      <c r="L512" s="88"/>
      <c r="M512" s="88"/>
      <c r="N512" s="88"/>
      <c r="O512" s="88"/>
      <c r="P512" s="88"/>
      <c r="Q512" s="88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</row>
    <row r="513" spans="1:32" ht="24" customHeight="1">
      <c r="A513" s="19"/>
      <c r="B513" s="58"/>
      <c r="C513" s="59"/>
      <c r="D513" s="59"/>
      <c r="E513" s="59"/>
      <c r="F513" s="60"/>
      <c r="G513" s="85"/>
      <c r="H513" s="59"/>
      <c r="I513" s="86"/>
      <c r="J513" s="105"/>
      <c r="K513" s="88"/>
      <c r="L513" s="88"/>
      <c r="M513" s="88"/>
      <c r="N513" s="88"/>
      <c r="O513" s="88"/>
      <c r="P513" s="88"/>
      <c r="Q513" s="88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</row>
    <row r="514" spans="1:32" ht="24" customHeight="1">
      <c r="A514" s="19"/>
      <c r="B514" s="58"/>
      <c r="C514" s="59"/>
      <c r="D514" s="59"/>
      <c r="E514" s="59"/>
      <c r="F514" s="60"/>
      <c r="G514" s="85"/>
      <c r="H514" s="59"/>
      <c r="I514" s="86"/>
      <c r="J514" s="105"/>
      <c r="K514" s="88"/>
      <c r="L514" s="88"/>
      <c r="M514" s="88"/>
      <c r="N514" s="88"/>
      <c r="O514" s="88"/>
      <c r="P514" s="88"/>
      <c r="Q514" s="88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</row>
    <row r="515" spans="1:32" ht="24" customHeight="1">
      <c r="A515" s="19"/>
      <c r="B515" s="58"/>
      <c r="C515" s="59"/>
      <c r="D515" s="59"/>
      <c r="E515" s="59"/>
      <c r="F515" s="60"/>
      <c r="G515" s="85"/>
      <c r="H515" s="59"/>
      <c r="I515" s="86"/>
      <c r="J515" s="105"/>
      <c r="K515" s="88"/>
      <c r="L515" s="88"/>
      <c r="M515" s="88"/>
      <c r="N515" s="88"/>
      <c r="O515" s="88"/>
      <c r="P515" s="88"/>
      <c r="Q515" s="88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</row>
    <row r="516" spans="1:32" ht="24" customHeight="1">
      <c r="A516" s="19"/>
      <c r="B516" s="58"/>
      <c r="C516" s="59"/>
      <c r="D516" s="59"/>
      <c r="E516" s="59"/>
      <c r="F516" s="60"/>
      <c r="G516" s="85"/>
      <c r="H516" s="59"/>
      <c r="I516" s="86"/>
      <c r="J516" s="105"/>
      <c r="K516" s="88"/>
      <c r="L516" s="88"/>
      <c r="M516" s="88"/>
      <c r="N516" s="88"/>
      <c r="O516" s="88"/>
      <c r="P516" s="88"/>
      <c r="Q516" s="88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</row>
    <row r="517" spans="1:32" ht="24" customHeight="1">
      <c r="A517" s="19"/>
      <c r="B517" s="58"/>
      <c r="C517" s="59"/>
      <c r="D517" s="59"/>
      <c r="E517" s="59"/>
      <c r="F517" s="60"/>
      <c r="G517" s="85"/>
      <c r="H517" s="59"/>
      <c r="I517" s="86"/>
      <c r="J517" s="105"/>
      <c r="K517" s="88"/>
      <c r="L517" s="88"/>
      <c r="M517" s="88"/>
      <c r="N517" s="88"/>
      <c r="O517" s="88"/>
      <c r="P517" s="88"/>
      <c r="Q517" s="88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</row>
    <row r="518" spans="1:32" ht="24" customHeight="1">
      <c r="A518" s="19"/>
      <c r="B518" s="58"/>
      <c r="C518" s="59"/>
      <c r="D518" s="59"/>
      <c r="E518" s="59"/>
      <c r="F518" s="60"/>
      <c r="G518" s="85"/>
      <c r="H518" s="59"/>
      <c r="I518" s="86"/>
      <c r="J518" s="105"/>
      <c r="K518" s="88"/>
      <c r="L518" s="88"/>
      <c r="M518" s="88"/>
      <c r="N518" s="88"/>
      <c r="O518" s="88"/>
      <c r="P518" s="88"/>
      <c r="Q518" s="88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</row>
    <row r="519" spans="1:32" ht="24" customHeight="1">
      <c r="A519" s="19"/>
      <c r="B519" s="58"/>
      <c r="C519" s="59"/>
      <c r="D519" s="59"/>
      <c r="E519" s="59"/>
      <c r="F519" s="60"/>
      <c r="G519" s="85"/>
      <c r="H519" s="59"/>
      <c r="I519" s="86"/>
      <c r="J519" s="105"/>
      <c r="K519" s="88"/>
      <c r="L519" s="88"/>
      <c r="M519" s="88"/>
      <c r="N519" s="88"/>
      <c r="O519" s="88"/>
      <c r="P519" s="88"/>
      <c r="Q519" s="88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</row>
    <row r="520" spans="1:32" ht="24" customHeight="1">
      <c r="A520" s="19"/>
      <c r="B520" s="58"/>
      <c r="C520" s="59"/>
      <c r="D520" s="59"/>
      <c r="E520" s="59"/>
      <c r="F520" s="60"/>
      <c r="G520" s="85"/>
      <c r="H520" s="59"/>
      <c r="I520" s="86"/>
      <c r="J520" s="105"/>
      <c r="K520" s="88"/>
      <c r="L520" s="88"/>
      <c r="M520" s="88"/>
      <c r="N520" s="88"/>
      <c r="O520" s="88"/>
      <c r="P520" s="88"/>
      <c r="Q520" s="88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</row>
    <row r="521" spans="1:32" ht="24" customHeight="1">
      <c r="A521" s="19"/>
      <c r="B521" s="58"/>
      <c r="C521" s="59"/>
      <c r="D521" s="59"/>
      <c r="E521" s="59"/>
      <c r="F521" s="60"/>
      <c r="G521" s="85"/>
      <c r="H521" s="59"/>
      <c r="I521" s="86"/>
      <c r="J521" s="105"/>
      <c r="K521" s="88"/>
      <c r="L521" s="88"/>
      <c r="M521" s="88"/>
      <c r="N521" s="88"/>
      <c r="O521" s="88"/>
      <c r="P521" s="88"/>
      <c r="Q521" s="88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</row>
    <row r="522" spans="1:32" ht="24" customHeight="1">
      <c r="A522" s="19"/>
      <c r="B522" s="58"/>
      <c r="C522" s="59"/>
      <c r="D522" s="59"/>
      <c r="E522" s="59"/>
      <c r="F522" s="60"/>
      <c r="G522" s="85"/>
      <c r="H522" s="59"/>
      <c r="I522" s="86"/>
      <c r="J522" s="105"/>
      <c r="K522" s="88"/>
      <c r="L522" s="88"/>
      <c r="M522" s="88"/>
      <c r="N522" s="88"/>
      <c r="O522" s="88"/>
      <c r="P522" s="88"/>
      <c r="Q522" s="88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</row>
    <row r="523" spans="1:32" ht="24" customHeight="1">
      <c r="A523" s="19"/>
      <c r="B523" s="58"/>
      <c r="C523" s="59"/>
      <c r="D523" s="59"/>
      <c r="E523" s="59"/>
      <c r="F523" s="60"/>
      <c r="G523" s="85"/>
      <c r="H523" s="59"/>
      <c r="I523" s="86"/>
      <c r="J523" s="105"/>
      <c r="K523" s="88"/>
      <c r="L523" s="88"/>
      <c r="M523" s="88"/>
      <c r="N523" s="88"/>
      <c r="O523" s="88"/>
      <c r="P523" s="88"/>
      <c r="Q523" s="88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</row>
    <row r="524" spans="1:32" ht="24" customHeight="1">
      <c r="A524" s="19"/>
      <c r="B524" s="58"/>
      <c r="C524" s="59"/>
      <c r="D524" s="59"/>
      <c r="E524" s="59"/>
      <c r="F524" s="60"/>
      <c r="G524" s="85"/>
      <c r="H524" s="59"/>
      <c r="I524" s="86"/>
      <c r="J524" s="105"/>
      <c r="K524" s="88"/>
      <c r="L524" s="88"/>
      <c r="M524" s="88"/>
      <c r="N524" s="88"/>
      <c r="O524" s="88"/>
      <c r="P524" s="88"/>
      <c r="Q524" s="88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</row>
    <row r="525" spans="1:32" ht="24" customHeight="1">
      <c r="A525" s="19"/>
      <c r="B525" s="58"/>
      <c r="C525" s="59"/>
      <c r="D525" s="59"/>
      <c r="E525" s="59"/>
      <c r="F525" s="60"/>
      <c r="G525" s="85"/>
      <c r="H525" s="59"/>
      <c r="I525" s="86"/>
      <c r="J525" s="105"/>
      <c r="K525" s="88"/>
      <c r="L525" s="88"/>
      <c r="M525" s="88"/>
      <c r="N525" s="88"/>
      <c r="O525" s="88"/>
      <c r="P525" s="88"/>
      <c r="Q525" s="88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</row>
    <row r="526" spans="1:32" ht="24" customHeight="1">
      <c r="A526" s="19"/>
      <c r="B526" s="58"/>
      <c r="C526" s="59"/>
      <c r="D526" s="59"/>
      <c r="E526" s="59"/>
      <c r="F526" s="60"/>
      <c r="G526" s="85"/>
      <c r="H526" s="59"/>
      <c r="I526" s="86"/>
      <c r="J526" s="105"/>
      <c r="K526" s="88"/>
      <c r="L526" s="88"/>
      <c r="M526" s="88"/>
      <c r="N526" s="88"/>
      <c r="O526" s="88"/>
      <c r="P526" s="88"/>
      <c r="Q526" s="88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</row>
    <row r="527" spans="1:32" ht="24" customHeight="1">
      <c r="A527" s="19"/>
      <c r="B527" s="58"/>
      <c r="C527" s="59"/>
      <c r="D527" s="59"/>
      <c r="E527" s="59"/>
      <c r="F527" s="60"/>
      <c r="G527" s="85"/>
      <c r="H527" s="59"/>
      <c r="I527" s="86"/>
      <c r="J527" s="105"/>
      <c r="K527" s="88"/>
      <c r="L527" s="88"/>
      <c r="M527" s="88"/>
      <c r="N527" s="88"/>
      <c r="O527" s="88"/>
      <c r="P527" s="88"/>
      <c r="Q527" s="88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</row>
    <row r="528" spans="1:32" ht="24" customHeight="1">
      <c r="A528" s="19"/>
      <c r="B528" s="58"/>
      <c r="C528" s="59"/>
      <c r="D528" s="59"/>
      <c r="E528" s="59"/>
      <c r="F528" s="60"/>
      <c r="G528" s="85"/>
      <c r="H528" s="59"/>
      <c r="I528" s="86"/>
      <c r="J528" s="105"/>
      <c r="K528" s="88"/>
      <c r="L528" s="88"/>
      <c r="M528" s="88"/>
      <c r="N528" s="88"/>
      <c r="O528" s="88"/>
      <c r="P528" s="88"/>
      <c r="Q528" s="88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</row>
    <row r="529" spans="1:32" ht="24" customHeight="1">
      <c r="A529" s="19"/>
      <c r="B529" s="58"/>
      <c r="C529" s="59"/>
      <c r="D529" s="59"/>
      <c r="E529" s="59"/>
      <c r="F529" s="60"/>
      <c r="G529" s="85"/>
      <c r="H529" s="59"/>
      <c r="I529" s="86"/>
      <c r="J529" s="105"/>
      <c r="K529" s="88"/>
      <c r="L529" s="88"/>
      <c r="M529" s="88"/>
      <c r="N529" s="88"/>
      <c r="O529" s="88"/>
      <c r="P529" s="88"/>
      <c r="Q529" s="88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</row>
    <row r="530" spans="1:32" ht="24" customHeight="1">
      <c r="A530" s="19"/>
      <c r="B530" s="58"/>
      <c r="C530" s="59"/>
      <c r="D530" s="59"/>
      <c r="E530" s="59"/>
      <c r="F530" s="60"/>
      <c r="G530" s="85"/>
      <c r="H530" s="59"/>
      <c r="I530" s="86"/>
      <c r="J530" s="105"/>
      <c r="K530" s="88"/>
      <c r="L530" s="88"/>
      <c r="M530" s="88"/>
      <c r="N530" s="88"/>
      <c r="O530" s="88"/>
      <c r="P530" s="88"/>
      <c r="Q530" s="88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</row>
    <row r="531" spans="1:32" ht="24" customHeight="1">
      <c r="A531" s="19"/>
      <c r="B531" s="58"/>
      <c r="C531" s="59"/>
      <c r="D531" s="59"/>
      <c r="E531" s="59"/>
      <c r="F531" s="60"/>
      <c r="G531" s="85"/>
      <c r="H531" s="59"/>
      <c r="I531" s="86"/>
      <c r="J531" s="105"/>
      <c r="K531" s="88"/>
      <c r="L531" s="88"/>
      <c r="M531" s="88"/>
      <c r="N531" s="88"/>
      <c r="O531" s="88"/>
      <c r="P531" s="88"/>
      <c r="Q531" s="88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</row>
    <row r="532" spans="1:32" ht="24" customHeight="1">
      <c r="A532" s="19"/>
      <c r="B532" s="58"/>
      <c r="C532" s="59"/>
      <c r="D532" s="59"/>
      <c r="E532" s="59"/>
      <c r="F532" s="60"/>
      <c r="G532" s="85"/>
      <c r="H532" s="59"/>
      <c r="I532" s="86"/>
      <c r="J532" s="105"/>
      <c r="K532" s="88"/>
      <c r="L532" s="88"/>
      <c r="M532" s="88"/>
      <c r="N532" s="88"/>
      <c r="O532" s="88"/>
      <c r="P532" s="88"/>
      <c r="Q532" s="88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</row>
    <row r="533" spans="1:32" ht="24" customHeight="1">
      <c r="A533" s="19"/>
      <c r="B533" s="58"/>
      <c r="C533" s="59"/>
      <c r="D533" s="59"/>
      <c r="E533" s="59"/>
      <c r="F533" s="60"/>
      <c r="G533" s="85"/>
      <c r="H533" s="59"/>
      <c r="I533" s="86"/>
      <c r="J533" s="105"/>
      <c r="K533" s="88"/>
      <c r="L533" s="88"/>
      <c r="M533" s="88"/>
      <c r="N533" s="88"/>
      <c r="O533" s="88"/>
      <c r="P533" s="88"/>
      <c r="Q533" s="88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</row>
    <row r="534" spans="1:32" ht="24" customHeight="1">
      <c r="A534" s="19"/>
      <c r="B534" s="58"/>
      <c r="C534" s="59"/>
      <c r="D534" s="59"/>
      <c r="E534" s="59"/>
      <c r="F534" s="60"/>
      <c r="G534" s="85"/>
      <c r="H534" s="59"/>
      <c r="I534" s="86"/>
      <c r="J534" s="105"/>
      <c r="K534" s="88"/>
      <c r="L534" s="88"/>
      <c r="M534" s="88"/>
      <c r="N534" s="88"/>
      <c r="O534" s="88"/>
      <c r="P534" s="88"/>
      <c r="Q534" s="88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</row>
    <row r="535" spans="1:32" ht="24" customHeight="1">
      <c r="A535" s="19"/>
      <c r="B535" s="58"/>
      <c r="C535" s="59"/>
      <c r="D535" s="59"/>
      <c r="E535" s="59"/>
      <c r="F535" s="60"/>
      <c r="G535" s="85"/>
      <c r="H535" s="59"/>
      <c r="I535" s="86"/>
      <c r="J535" s="105"/>
      <c r="K535" s="88"/>
      <c r="L535" s="88"/>
      <c r="M535" s="88"/>
      <c r="N535" s="88"/>
      <c r="O535" s="88"/>
      <c r="P535" s="88"/>
      <c r="Q535" s="88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</row>
    <row r="536" spans="1:32" ht="24" customHeight="1">
      <c r="A536" s="19"/>
      <c r="B536" s="58"/>
      <c r="C536" s="59"/>
      <c r="D536" s="59"/>
      <c r="E536" s="59"/>
      <c r="F536" s="60"/>
      <c r="G536" s="85"/>
      <c r="H536" s="59"/>
      <c r="I536" s="86"/>
      <c r="J536" s="105"/>
      <c r="K536" s="88"/>
      <c r="L536" s="88"/>
      <c r="M536" s="88"/>
      <c r="N536" s="88"/>
      <c r="O536" s="88"/>
      <c r="P536" s="88"/>
      <c r="Q536" s="88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</row>
    <row r="537" spans="1:32" ht="24" customHeight="1">
      <c r="A537" s="19"/>
      <c r="B537" s="58"/>
      <c r="C537" s="59"/>
      <c r="D537" s="59"/>
      <c r="E537" s="59"/>
      <c r="F537" s="60"/>
      <c r="G537" s="85"/>
      <c r="H537" s="59"/>
      <c r="I537" s="86"/>
      <c r="J537" s="105"/>
      <c r="K537" s="88"/>
      <c r="L537" s="88"/>
      <c r="M537" s="88"/>
      <c r="N537" s="88"/>
      <c r="O537" s="88"/>
      <c r="P537" s="88"/>
      <c r="Q537" s="88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</row>
    <row r="538" spans="1:32" ht="24" customHeight="1">
      <c r="A538" s="19"/>
      <c r="B538" s="58"/>
      <c r="C538" s="59"/>
      <c r="D538" s="59"/>
      <c r="E538" s="59"/>
      <c r="F538" s="60"/>
      <c r="G538" s="85"/>
      <c r="H538" s="59"/>
      <c r="I538" s="86"/>
      <c r="J538" s="105"/>
      <c r="K538" s="88"/>
      <c r="L538" s="88"/>
      <c r="M538" s="88"/>
      <c r="N538" s="88"/>
      <c r="O538" s="88"/>
      <c r="P538" s="88"/>
      <c r="Q538" s="88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</row>
    <row r="539" spans="1:32" ht="24" customHeight="1">
      <c r="A539" s="19"/>
      <c r="B539" s="58"/>
      <c r="C539" s="59"/>
      <c r="D539" s="59"/>
      <c r="E539" s="59"/>
      <c r="F539" s="60"/>
      <c r="G539" s="85"/>
      <c r="H539" s="59"/>
      <c r="I539" s="86"/>
      <c r="J539" s="105"/>
      <c r="K539" s="88"/>
      <c r="L539" s="88"/>
      <c r="M539" s="88"/>
      <c r="N539" s="88"/>
      <c r="O539" s="88"/>
      <c r="P539" s="88"/>
      <c r="Q539" s="88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</row>
    <row r="540" spans="1:32" ht="24" customHeight="1">
      <c r="A540" s="19"/>
      <c r="B540" s="58"/>
      <c r="C540" s="59"/>
      <c r="D540" s="59"/>
      <c r="E540" s="59"/>
      <c r="F540" s="60"/>
      <c r="G540" s="85"/>
      <c r="H540" s="59"/>
      <c r="I540" s="86"/>
      <c r="J540" s="105"/>
      <c r="K540" s="88"/>
      <c r="L540" s="88"/>
      <c r="M540" s="88"/>
      <c r="N540" s="88"/>
      <c r="O540" s="88"/>
      <c r="P540" s="88"/>
      <c r="Q540" s="88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</row>
    <row r="541" spans="1:32" ht="24" customHeight="1">
      <c r="A541" s="19"/>
      <c r="B541" s="58"/>
      <c r="C541" s="59"/>
      <c r="D541" s="59"/>
      <c r="E541" s="59"/>
      <c r="F541" s="60"/>
      <c r="G541" s="85"/>
      <c r="H541" s="59"/>
      <c r="I541" s="86"/>
      <c r="J541" s="105"/>
      <c r="K541" s="88"/>
      <c r="L541" s="88"/>
      <c r="M541" s="88"/>
      <c r="N541" s="88"/>
      <c r="O541" s="88"/>
      <c r="P541" s="88"/>
      <c r="Q541" s="88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</row>
    <row r="542" spans="1:32" ht="24" customHeight="1">
      <c r="A542" s="19"/>
      <c r="B542" s="58"/>
      <c r="C542" s="59"/>
      <c r="D542" s="59"/>
      <c r="E542" s="59"/>
      <c r="F542" s="60"/>
      <c r="G542" s="85"/>
      <c r="H542" s="59"/>
      <c r="I542" s="86"/>
      <c r="J542" s="105"/>
      <c r="K542" s="88"/>
      <c r="L542" s="88"/>
      <c r="M542" s="88"/>
      <c r="N542" s="88"/>
      <c r="O542" s="88"/>
      <c r="P542" s="88"/>
      <c r="Q542" s="88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</row>
    <row r="543" spans="1:32" ht="24" customHeight="1">
      <c r="A543" s="19"/>
      <c r="B543" s="58"/>
      <c r="C543" s="59"/>
      <c r="D543" s="59"/>
      <c r="E543" s="59"/>
      <c r="F543" s="60"/>
      <c r="G543" s="85"/>
      <c r="H543" s="59"/>
      <c r="I543" s="86"/>
      <c r="J543" s="105"/>
      <c r="K543" s="88"/>
      <c r="L543" s="88"/>
      <c r="M543" s="88"/>
      <c r="N543" s="88"/>
      <c r="O543" s="88"/>
      <c r="P543" s="88"/>
      <c r="Q543" s="88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</row>
    <row r="544" spans="1:32" ht="24" customHeight="1">
      <c r="A544" s="19"/>
      <c r="B544" s="58"/>
      <c r="C544" s="59"/>
      <c r="D544" s="59"/>
      <c r="E544" s="59"/>
      <c r="F544" s="60"/>
      <c r="G544" s="85"/>
      <c r="H544" s="59"/>
      <c r="I544" s="86"/>
      <c r="J544" s="105"/>
      <c r="K544" s="88"/>
      <c r="L544" s="88"/>
      <c r="M544" s="88"/>
      <c r="N544" s="88"/>
      <c r="O544" s="88"/>
      <c r="P544" s="88"/>
      <c r="Q544" s="88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</row>
    <row r="545" spans="1:32" ht="24" customHeight="1">
      <c r="A545" s="19"/>
      <c r="B545" s="58"/>
      <c r="C545" s="59"/>
      <c r="D545" s="59"/>
      <c r="E545" s="59"/>
      <c r="F545" s="60"/>
      <c r="G545" s="85"/>
      <c r="H545" s="59"/>
      <c r="I545" s="86"/>
      <c r="J545" s="105"/>
      <c r="K545" s="88"/>
      <c r="L545" s="88"/>
      <c r="M545" s="88"/>
      <c r="N545" s="88"/>
      <c r="O545" s="88"/>
      <c r="P545" s="88"/>
      <c r="Q545" s="88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</row>
    <row r="546" spans="1:32" ht="24" customHeight="1">
      <c r="A546" s="19"/>
      <c r="B546" s="58"/>
      <c r="C546" s="59"/>
      <c r="D546" s="59"/>
      <c r="E546" s="59"/>
      <c r="F546" s="60"/>
      <c r="G546" s="85"/>
      <c r="H546" s="59"/>
      <c r="I546" s="86"/>
      <c r="J546" s="105"/>
      <c r="K546" s="88"/>
      <c r="L546" s="88"/>
      <c r="M546" s="88"/>
      <c r="N546" s="88"/>
      <c r="O546" s="88"/>
      <c r="P546" s="88"/>
      <c r="Q546" s="88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</row>
    <row r="547" spans="1:32" ht="24" customHeight="1">
      <c r="A547" s="19"/>
      <c r="B547" s="58"/>
      <c r="C547" s="59"/>
      <c r="D547" s="59"/>
      <c r="E547" s="59"/>
      <c r="F547" s="60"/>
      <c r="G547" s="85"/>
      <c r="H547" s="59"/>
      <c r="I547" s="86"/>
      <c r="J547" s="105"/>
      <c r="K547" s="88"/>
      <c r="L547" s="88"/>
      <c r="M547" s="88"/>
      <c r="N547" s="88"/>
      <c r="O547" s="88"/>
      <c r="P547" s="88"/>
      <c r="Q547" s="88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</row>
    <row r="548" spans="1:32" ht="24" customHeight="1">
      <c r="A548" s="19"/>
      <c r="B548" s="58"/>
      <c r="C548" s="59"/>
      <c r="D548" s="59"/>
      <c r="E548" s="59"/>
      <c r="F548" s="60"/>
      <c r="G548" s="85"/>
      <c r="H548" s="59"/>
      <c r="I548" s="86"/>
      <c r="J548" s="105"/>
      <c r="K548" s="88"/>
      <c r="L548" s="88"/>
      <c r="M548" s="88"/>
      <c r="N548" s="88"/>
      <c r="O548" s="88"/>
      <c r="P548" s="88"/>
      <c r="Q548" s="88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</row>
    <row r="549" spans="1:32" ht="24" customHeight="1">
      <c r="A549" s="19"/>
      <c r="B549" s="58"/>
      <c r="C549" s="59"/>
      <c r="D549" s="59"/>
      <c r="E549" s="59"/>
      <c r="F549" s="60"/>
      <c r="G549" s="85"/>
      <c r="H549" s="59"/>
      <c r="I549" s="86"/>
      <c r="J549" s="105"/>
      <c r="K549" s="88"/>
      <c r="L549" s="88"/>
      <c r="M549" s="88"/>
      <c r="N549" s="88"/>
      <c r="O549" s="88"/>
      <c r="P549" s="88"/>
      <c r="Q549" s="88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</row>
    <row r="550" spans="1:32" ht="24" customHeight="1">
      <c r="A550" s="19"/>
      <c r="B550" s="58"/>
      <c r="C550" s="59"/>
      <c r="D550" s="59"/>
      <c r="E550" s="59"/>
      <c r="F550" s="60"/>
      <c r="G550" s="85"/>
      <c r="H550" s="59"/>
      <c r="I550" s="86"/>
      <c r="J550" s="105"/>
      <c r="K550" s="88"/>
      <c r="L550" s="88"/>
      <c r="M550" s="88"/>
      <c r="N550" s="88"/>
      <c r="O550" s="88"/>
      <c r="P550" s="88"/>
      <c r="Q550" s="88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</row>
    <row r="551" spans="1:32" ht="24" customHeight="1">
      <c r="A551" s="19"/>
      <c r="B551" s="58"/>
      <c r="C551" s="59"/>
      <c r="D551" s="59"/>
      <c r="E551" s="59"/>
      <c r="F551" s="60"/>
      <c r="G551" s="85"/>
      <c r="H551" s="59"/>
      <c r="I551" s="86"/>
      <c r="J551" s="105"/>
      <c r="K551" s="88"/>
      <c r="L551" s="88"/>
      <c r="M551" s="88"/>
      <c r="N551" s="88"/>
      <c r="O551" s="88"/>
      <c r="P551" s="88"/>
      <c r="Q551" s="88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</row>
    <row r="552" spans="1:32" ht="24" customHeight="1">
      <c r="A552" s="19"/>
      <c r="B552" s="58"/>
      <c r="C552" s="59"/>
      <c r="D552" s="59"/>
      <c r="E552" s="59"/>
      <c r="F552" s="60"/>
      <c r="G552" s="85"/>
      <c r="H552" s="59"/>
      <c r="I552" s="86"/>
      <c r="J552" s="105"/>
      <c r="K552" s="88"/>
      <c r="L552" s="88"/>
      <c r="M552" s="88"/>
      <c r="N552" s="88"/>
      <c r="O552" s="88"/>
      <c r="P552" s="88"/>
      <c r="Q552" s="88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</row>
    <row r="553" spans="1:32" ht="24" customHeight="1">
      <c r="A553" s="19"/>
      <c r="B553" s="58"/>
      <c r="C553" s="59"/>
      <c r="D553" s="59"/>
      <c r="E553" s="59"/>
      <c r="F553" s="60"/>
      <c r="G553" s="85"/>
      <c r="H553" s="59"/>
      <c r="I553" s="86"/>
      <c r="J553" s="105"/>
      <c r="K553" s="88"/>
      <c r="L553" s="88"/>
      <c r="M553" s="88"/>
      <c r="N553" s="88"/>
      <c r="O553" s="88"/>
      <c r="P553" s="88"/>
      <c r="Q553" s="88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</row>
    <row r="554" spans="1:32" ht="24" customHeight="1">
      <c r="A554" s="19"/>
      <c r="B554" s="58"/>
      <c r="C554" s="59"/>
      <c r="D554" s="59"/>
      <c r="E554" s="59"/>
      <c r="F554" s="60"/>
      <c r="G554" s="85"/>
      <c r="H554" s="59"/>
      <c r="I554" s="86"/>
      <c r="J554" s="105"/>
      <c r="K554" s="88"/>
      <c r="L554" s="88"/>
      <c r="M554" s="88"/>
      <c r="N554" s="88"/>
      <c r="O554" s="88"/>
      <c r="P554" s="88"/>
      <c r="Q554" s="88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</row>
    <row r="555" spans="1:32" ht="24" customHeight="1">
      <c r="A555" s="19"/>
      <c r="B555" s="58"/>
      <c r="C555" s="59"/>
      <c r="D555" s="59"/>
      <c r="E555" s="59"/>
      <c r="F555" s="60"/>
      <c r="G555" s="85"/>
      <c r="H555" s="59"/>
      <c r="I555" s="86"/>
      <c r="J555" s="105"/>
      <c r="K555" s="88"/>
      <c r="L555" s="88"/>
      <c r="M555" s="88"/>
      <c r="N555" s="88"/>
      <c r="O555" s="88"/>
      <c r="P555" s="88"/>
      <c r="Q555" s="88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</row>
    <row r="556" spans="1:32" ht="24" customHeight="1">
      <c r="A556" s="19"/>
      <c r="B556" s="58"/>
      <c r="C556" s="59"/>
      <c r="D556" s="59"/>
      <c r="E556" s="59"/>
      <c r="F556" s="60"/>
      <c r="G556" s="85"/>
      <c r="H556" s="59"/>
      <c r="I556" s="86"/>
      <c r="J556" s="105"/>
      <c r="K556" s="88"/>
      <c r="L556" s="88"/>
      <c r="M556" s="88"/>
      <c r="N556" s="88"/>
      <c r="O556" s="88"/>
      <c r="P556" s="88"/>
      <c r="Q556" s="88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</row>
    <row r="557" spans="1:32" ht="24" customHeight="1">
      <c r="A557" s="19"/>
      <c r="B557" s="58"/>
      <c r="C557" s="59"/>
      <c r="D557" s="59"/>
      <c r="E557" s="59"/>
      <c r="F557" s="60"/>
      <c r="G557" s="85"/>
      <c r="H557" s="59"/>
      <c r="I557" s="86"/>
      <c r="J557" s="105"/>
      <c r="K557" s="88"/>
      <c r="L557" s="88"/>
      <c r="M557" s="88"/>
      <c r="N557" s="88"/>
      <c r="O557" s="88"/>
      <c r="P557" s="88"/>
      <c r="Q557" s="88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</row>
    <row r="558" spans="1:32" ht="24" customHeight="1">
      <c r="A558" s="19"/>
      <c r="B558" s="58"/>
      <c r="C558" s="59"/>
      <c r="D558" s="59"/>
      <c r="E558" s="59"/>
      <c r="F558" s="60"/>
      <c r="G558" s="85"/>
      <c r="H558" s="59"/>
      <c r="I558" s="86"/>
      <c r="J558" s="105"/>
      <c r="K558" s="88"/>
      <c r="L558" s="88"/>
      <c r="M558" s="88"/>
      <c r="N558" s="88"/>
      <c r="O558" s="88"/>
      <c r="P558" s="88"/>
      <c r="Q558" s="88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</row>
    <row r="559" spans="1:32" ht="24" customHeight="1">
      <c r="A559" s="19"/>
      <c r="B559" s="58"/>
      <c r="C559" s="59"/>
      <c r="D559" s="59"/>
      <c r="E559" s="59"/>
      <c r="F559" s="60"/>
      <c r="G559" s="85"/>
      <c r="H559" s="59"/>
      <c r="I559" s="86"/>
      <c r="J559" s="105"/>
      <c r="K559" s="88"/>
      <c r="L559" s="88"/>
      <c r="M559" s="88"/>
      <c r="N559" s="88"/>
      <c r="O559" s="88"/>
      <c r="P559" s="88"/>
      <c r="Q559" s="88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</row>
    <row r="560" spans="1:32" ht="24" customHeight="1">
      <c r="A560" s="19"/>
      <c r="B560" s="58"/>
      <c r="C560" s="59"/>
      <c r="D560" s="59"/>
      <c r="E560" s="59"/>
      <c r="F560" s="60"/>
      <c r="G560" s="85"/>
      <c r="H560" s="59"/>
      <c r="I560" s="86"/>
      <c r="J560" s="105"/>
      <c r="K560" s="88"/>
      <c r="L560" s="88"/>
      <c r="M560" s="88"/>
      <c r="N560" s="88"/>
      <c r="O560" s="88"/>
      <c r="P560" s="88"/>
      <c r="Q560" s="88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</row>
    <row r="561" spans="1:32" ht="24" customHeight="1">
      <c r="A561" s="19"/>
      <c r="B561" s="58"/>
      <c r="C561" s="59"/>
      <c r="D561" s="59"/>
      <c r="E561" s="59"/>
      <c r="F561" s="60"/>
      <c r="G561" s="85"/>
      <c r="H561" s="59"/>
      <c r="I561" s="86"/>
      <c r="J561" s="105"/>
      <c r="K561" s="88"/>
      <c r="L561" s="88"/>
      <c r="M561" s="88"/>
      <c r="N561" s="88"/>
      <c r="O561" s="88"/>
      <c r="P561" s="88"/>
      <c r="Q561" s="88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</row>
    <row r="562" spans="1:32" ht="24" customHeight="1">
      <c r="A562" s="19"/>
      <c r="B562" s="58"/>
      <c r="C562" s="59"/>
      <c r="D562" s="59"/>
      <c r="E562" s="59"/>
      <c r="F562" s="60"/>
      <c r="G562" s="85"/>
      <c r="H562" s="59"/>
      <c r="I562" s="86"/>
      <c r="J562" s="105"/>
      <c r="K562" s="88"/>
      <c r="L562" s="88"/>
      <c r="M562" s="88"/>
      <c r="N562" s="88"/>
      <c r="O562" s="88"/>
      <c r="P562" s="88"/>
      <c r="Q562" s="88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</row>
    <row r="563" spans="1:32" ht="24" customHeight="1">
      <c r="A563" s="19"/>
      <c r="B563" s="58"/>
      <c r="C563" s="59"/>
      <c r="D563" s="59"/>
      <c r="E563" s="59"/>
      <c r="F563" s="60"/>
      <c r="G563" s="85"/>
      <c r="H563" s="59"/>
      <c r="I563" s="86"/>
      <c r="J563" s="105"/>
      <c r="K563" s="88"/>
      <c r="L563" s="88"/>
      <c r="M563" s="88"/>
      <c r="N563" s="88"/>
      <c r="O563" s="88"/>
      <c r="P563" s="88"/>
      <c r="Q563" s="88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</row>
    <row r="564" spans="1:32" ht="24" customHeight="1">
      <c r="A564" s="19"/>
      <c r="B564" s="58"/>
      <c r="C564" s="59"/>
      <c r="D564" s="59"/>
      <c r="E564" s="59"/>
      <c r="F564" s="60"/>
      <c r="G564" s="85"/>
      <c r="H564" s="59"/>
      <c r="I564" s="86"/>
      <c r="J564" s="105"/>
      <c r="K564" s="88"/>
      <c r="L564" s="88"/>
      <c r="M564" s="88"/>
      <c r="N564" s="88"/>
      <c r="O564" s="88"/>
      <c r="P564" s="88"/>
      <c r="Q564" s="88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</row>
    <row r="565" spans="1:32" ht="24" customHeight="1">
      <c r="A565" s="19"/>
      <c r="B565" s="58"/>
      <c r="C565" s="59"/>
      <c r="D565" s="59"/>
      <c r="E565" s="59"/>
      <c r="F565" s="60"/>
      <c r="G565" s="85"/>
      <c r="H565" s="59"/>
      <c r="I565" s="86"/>
      <c r="J565" s="105"/>
      <c r="K565" s="88"/>
      <c r="L565" s="88"/>
      <c r="M565" s="88"/>
      <c r="N565" s="88"/>
      <c r="O565" s="88"/>
      <c r="P565" s="88"/>
      <c r="Q565" s="88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</row>
    <row r="566" spans="1:32" ht="24" customHeight="1">
      <c r="A566" s="19"/>
      <c r="B566" s="58"/>
      <c r="C566" s="59"/>
      <c r="D566" s="59"/>
      <c r="E566" s="59"/>
      <c r="F566" s="60"/>
      <c r="G566" s="85"/>
      <c r="H566" s="59"/>
      <c r="I566" s="86"/>
      <c r="J566" s="105"/>
      <c r="K566" s="88"/>
      <c r="L566" s="88"/>
      <c r="M566" s="88"/>
      <c r="N566" s="88"/>
      <c r="O566" s="88"/>
      <c r="P566" s="88"/>
      <c r="Q566" s="88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</row>
    <row r="567" spans="1:32" ht="24" customHeight="1">
      <c r="A567" s="19"/>
      <c r="B567" s="58"/>
      <c r="C567" s="59"/>
      <c r="D567" s="59"/>
      <c r="E567" s="59"/>
      <c r="F567" s="60"/>
      <c r="G567" s="85"/>
      <c r="H567" s="59"/>
      <c r="I567" s="86"/>
      <c r="J567" s="105"/>
      <c r="K567" s="88"/>
      <c r="L567" s="88"/>
      <c r="M567" s="88"/>
      <c r="N567" s="88"/>
      <c r="O567" s="88"/>
      <c r="P567" s="88"/>
      <c r="Q567" s="88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</row>
    <row r="568" spans="1:32" ht="24" customHeight="1">
      <c r="A568" s="19"/>
      <c r="B568" s="58"/>
      <c r="C568" s="59"/>
      <c r="D568" s="59"/>
      <c r="E568" s="59"/>
      <c r="F568" s="60"/>
      <c r="G568" s="85"/>
      <c r="H568" s="59"/>
      <c r="I568" s="86"/>
      <c r="J568" s="105"/>
      <c r="K568" s="88"/>
      <c r="L568" s="88"/>
      <c r="M568" s="88"/>
      <c r="N568" s="88"/>
      <c r="O568" s="88"/>
      <c r="P568" s="88"/>
      <c r="Q568" s="88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</row>
    <row r="569" spans="1:32" ht="24" customHeight="1">
      <c r="A569" s="19"/>
      <c r="B569" s="58"/>
      <c r="C569" s="59"/>
      <c r="D569" s="59"/>
      <c r="E569" s="59"/>
      <c r="F569" s="60"/>
      <c r="G569" s="85"/>
      <c r="H569" s="59"/>
      <c r="I569" s="86"/>
      <c r="J569" s="105"/>
      <c r="K569" s="88"/>
      <c r="L569" s="88"/>
      <c r="M569" s="88"/>
      <c r="N569" s="88"/>
      <c r="O569" s="88"/>
      <c r="P569" s="88"/>
      <c r="Q569" s="88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</row>
    <row r="570" spans="1:32" ht="24" customHeight="1">
      <c r="A570" s="19"/>
      <c r="B570" s="58"/>
      <c r="C570" s="59"/>
      <c r="D570" s="59"/>
      <c r="E570" s="59"/>
      <c r="F570" s="60"/>
      <c r="G570" s="85"/>
      <c r="H570" s="59"/>
      <c r="I570" s="86"/>
      <c r="J570" s="105"/>
      <c r="K570" s="88"/>
      <c r="L570" s="88"/>
      <c r="M570" s="88"/>
      <c r="N570" s="88"/>
      <c r="O570" s="88"/>
      <c r="P570" s="88"/>
      <c r="Q570" s="88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</row>
    <row r="571" spans="1:32" ht="24" customHeight="1">
      <c r="A571" s="19"/>
      <c r="B571" s="58"/>
      <c r="C571" s="59"/>
      <c r="D571" s="59"/>
      <c r="E571" s="59"/>
      <c r="F571" s="60"/>
      <c r="G571" s="85"/>
      <c r="H571" s="59"/>
      <c r="I571" s="86"/>
      <c r="J571" s="105"/>
      <c r="K571" s="88"/>
      <c r="L571" s="88"/>
      <c r="M571" s="88"/>
      <c r="N571" s="88"/>
      <c r="O571" s="88"/>
      <c r="P571" s="88"/>
      <c r="Q571" s="88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</row>
    <row r="572" spans="1:32" ht="24" customHeight="1">
      <c r="A572" s="19"/>
      <c r="B572" s="58"/>
      <c r="C572" s="59"/>
      <c r="D572" s="59"/>
      <c r="E572" s="59"/>
      <c r="F572" s="60"/>
      <c r="G572" s="85"/>
      <c r="H572" s="59"/>
      <c r="I572" s="86"/>
      <c r="J572" s="105"/>
      <c r="K572" s="88"/>
      <c r="L572" s="88"/>
      <c r="M572" s="88"/>
      <c r="N572" s="88"/>
      <c r="O572" s="88"/>
      <c r="P572" s="88"/>
      <c r="Q572" s="88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</row>
    <row r="573" spans="1:32" ht="24" customHeight="1">
      <c r="A573" s="19"/>
      <c r="B573" s="58"/>
      <c r="C573" s="59"/>
      <c r="D573" s="59"/>
      <c r="E573" s="59"/>
      <c r="F573" s="60"/>
      <c r="G573" s="85"/>
      <c r="H573" s="59"/>
      <c r="I573" s="86"/>
      <c r="J573" s="105"/>
      <c r="K573" s="88"/>
      <c r="L573" s="88"/>
      <c r="M573" s="88"/>
      <c r="N573" s="88"/>
      <c r="O573" s="88"/>
      <c r="P573" s="88"/>
      <c r="Q573" s="88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</row>
    <row r="574" spans="1:32" ht="24" customHeight="1">
      <c r="A574" s="19"/>
      <c r="B574" s="58"/>
      <c r="C574" s="59"/>
      <c r="D574" s="59"/>
      <c r="E574" s="59"/>
      <c r="F574" s="60"/>
      <c r="G574" s="85"/>
      <c r="H574" s="59"/>
      <c r="I574" s="86"/>
      <c r="J574" s="105"/>
      <c r="K574" s="88"/>
      <c r="L574" s="88"/>
      <c r="M574" s="88"/>
      <c r="N574" s="88"/>
      <c r="O574" s="88"/>
      <c r="P574" s="88"/>
      <c r="Q574" s="88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</row>
    <row r="575" spans="1:32" ht="24" customHeight="1">
      <c r="A575" s="19"/>
      <c r="B575" s="58"/>
      <c r="C575" s="59"/>
      <c r="D575" s="59"/>
      <c r="E575" s="59"/>
      <c r="F575" s="60"/>
      <c r="G575" s="85"/>
      <c r="H575" s="59"/>
      <c r="I575" s="86"/>
      <c r="J575" s="105"/>
      <c r="K575" s="88"/>
      <c r="L575" s="88"/>
      <c r="M575" s="88"/>
      <c r="N575" s="88"/>
      <c r="O575" s="88"/>
      <c r="P575" s="88"/>
      <c r="Q575" s="88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</row>
    <row r="576" spans="1:32" ht="24" customHeight="1">
      <c r="A576" s="19"/>
      <c r="B576" s="58"/>
      <c r="C576" s="59"/>
      <c r="D576" s="59"/>
      <c r="E576" s="59"/>
      <c r="F576" s="60"/>
      <c r="G576" s="85"/>
      <c r="H576" s="59"/>
      <c r="I576" s="86"/>
      <c r="J576" s="105"/>
      <c r="K576" s="88"/>
      <c r="L576" s="88"/>
      <c r="M576" s="88"/>
      <c r="N576" s="88"/>
      <c r="O576" s="88"/>
      <c r="P576" s="88"/>
      <c r="Q576" s="88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</row>
    <row r="577" spans="1:32" ht="24" customHeight="1">
      <c r="A577" s="19"/>
      <c r="B577" s="58"/>
      <c r="C577" s="59"/>
      <c r="D577" s="59"/>
      <c r="E577" s="59"/>
      <c r="F577" s="60"/>
      <c r="G577" s="85"/>
      <c r="H577" s="59"/>
      <c r="I577" s="86"/>
      <c r="J577" s="105"/>
      <c r="K577" s="88"/>
      <c r="L577" s="88"/>
      <c r="M577" s="88"/>
      <c r="N577" s="88"/>
      <c r="O577" s="88"/>
      <c r="P577" s="88"/>
      <c r="Q577" s="88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</row>
    <row r="578" spans="1:32" ht="24" customHeight="1">
      <c r="A578" s="19"/>
      <c r="B578" s="58"/>
      <c r="C578" s="59"/>
      <c r="D578" s="59"/>
      <c r="E578" s="59"/>
      <c r="F578" s="60"/>
      <c r="G578" s="85"/>
      <c r="H578" s="59"/>
      <c r="I578" s="86"/>
      <c r="J578" s="105"/>
      <c r="K578" s="88"/>
      <c r="L578" s="88"/>
      <c r="M578" s="88"/>
      <c r="N578" s="88"/>
      <c r="O578" s="88"/>
      <c r="P578" s="88"/>
      <c r="Q578" s="88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</row>
    <row r="579" spans="1:32" ht="24" customHeight="1">
      <c r="A579" s="19"/>
      <c r="B579" s="58"/>
      <c r="C579" s="59"/>
      <c r="D579" s="59"/>
      <c r="E579" s="59"/>
      <c r="F579" s="60"/>
      <c r="G579" s="85"/>
      <c r="H579" s="59"/>
      <c r="I579" s="86"/>
      <c r="J579" s="105"/>
      <c r="K579" s="88"/>
      <c r="L579" s="88"/>
      <c r="M579" s="88"/>
      <c r="N579" s="88"/>
      <c r="O579" s="88"/>
      <c r="P579" s="88"/>
      <c r="Q579" s="88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</row>
    <row r="580" spans="1:32" ht="24" customHeight="1">
      <c r="A580" s="19"/>
      <c r="B580" s="58"/>
      <c r="C580" s="59"/>
      <c r="D580" s="59"/>
      <c r="E580" s="59"/>
      <c r="F580" s="60"/>
      <c r="G580" s="85"/>
      <c r="H580" s="59"/>
      <c r="I580" s="86"/>
      <c r="J580" s="105"/>
      <c r="K580" s="88"/>
      <c r="L580" s="88"/>
      <c r="M580" s="88"/>
      <c r="N580" s="88"/>
      <c r="O580" s="88"/>
      <c r="P580" s="88"/>
      <c r="Q580" s="88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</row>
    <row r="581" spans="1:32" ht="24" customHeight="1">
      <c r="A581" s="19"/>
      <c r="B581" s="58"/>
      <c r="C581" s="59"/>
      <c r="D581" s="59"/>
      <c r="E581" s="59"/>
      <c r="F581" s="60"/>
      <c r="G581" s="85"/>
      <c r="H581" s="59"/>
      <c r="I581" s="86"/>
      <c r="J581" s="105"/>
      <c r="K581" s="88"/>
      <c r="L581" s="88"/>
      <c r="M581" s="88"/>
      <c r="N581" s="88"/>
      <c r="O581" s="88"/>
      <c r="P581" s="88"/>
      <c r="Q581" s="88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</row>
    <row r="582" spans="1:32" ht="24" customHeight="1">
      <c r="A582" s="19"/>
      <c r="B582" s="58"/>
      <c r="C582" s="59"/>
      <c r="D582" s="59"/>
      <c r="E582" s="59"/>
      <c r="F582" s="60"/>
      <c r="G582" s="85"/>
      <c r="H582" s="59"/>
      <c r="I582" s="86"/>
      <c r="J582" s="105"/>
      <c r="K582" s="88"/>
      <c r="L582" s="88"/>
      <c r="M582" s="88"/>
      <c r="N582" s="88"/>
      <c r="O582" s="88"/>
      <c r="P582" s="88"/>
      <c r="Q582" s="88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</row>
    <row r="583" spans="1:32" ht="24" customHeight="1">
      <c r="A583" s="19"/>
      <c r="B583" s="58"/>
      <c r="C583" s="59"/>
      <c r="D583" s="59"/>
      <c r="E583" s="59"/>
      <c r="F583" s="60"/>
      <c r="G583" s="85"/>
      <c r="H583" s="59"/>
      <c r="I583" s="86"/>
      <c r="J583" s="105"/>
      <c r="K583" s="88"/>
      <c r="L583" s="88"/>
      <c r="M583" s="88"/>
      <c r="N583" s="88"/>
      <c r="O583" s="88"/>
      <c r="P583" s="88"/>
      <c r="Q583" s="88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</row>
    <row r="584" spans="1:32" ht="24" customHeight="1">
      <c r="A584" s="19"/>
      <c r="B584" s="58"/>
      <c r="C584" s="59"/>
      <c r="D584" s="59"/>
      <c r="E584" s="59"/>
      <c r="F584" s="60"/>
      <c r="G584" s="85"/>
      <c r="H584" s="59"/>
      <c r="I584" s="86"/>
      <c r="J584" s="105"/>
      <c r="K584" s="88"/>
      <c r="L584" s="88"/>
      <c r="M584" s="88"/>
      <c r="N584" s="88"/>
      <c r="O584" s="88"/>
      <c r="P584" s="88"/>
      <c r="Q584" s="88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</row>
    <row r="585" spans="1:32" ht="24" customHeight="1">
      <c r="A585" s="19"/>
      <c r="B585" s="58"/>
      <c r="C585" s="59"/>
      <c r="D585" s="59"/>
      <c r="E585" s="59"/>
      <c r="F585" s="60"/>
      <c r="G585" s="85"/>
      <c r="H585" s="59"/>
      <c r="I585" s="86"/>
      <c r="J585" s="105"/>
      <c r="K585" s="88"/>
      <c r="L585" s="88"/>
      <c r="M585" s="88"/>
      <c r="N585" s="88"/>
      <c r="O585" s="88"/>
      <c r="P585" s="88"/>
      <c r="Q585" s="88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</row>
    <row r="586" spans="1:32" ht="24" customHeight="1">
      <c r="A586" s="19"/>
      <c r="B586" s="58"/>
      <c r="C586" s="59"/>
      <c r="D586" s="59"/>
      <c r="E586" s="59"/>
      <c r="F586" s="60"/>
      <c r="G586" s="85"/>
      <c r="H586" s="59"/>
      <c r="I586" s="86"/>
      <c r="J586" s="105"/>
      <c r="K586" s="88"/>
      <c r="L586" s="88"/>
      <c r="M586" s="88"/>
      <c r="N586" s="88"/>
      <c r="O586" s="88"/>
      <c r="P586" s="88"/>
      <c r="Q586" s="88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</row>
    <row r="587" spans="1:32" ht="24" customHeight="1">
      <c r="A587" s="19"/>
      <c r="B587" s="58"/>
      <c r="C587" s="59"/>
      <c r="D587" s="59"/>
      <c r="E587" s="59"/>
      <c r="F587" s="60"/>
      <c r="G587" s="85"/>
      <c r="H587" s="59"/>
      <c r="I587" s="86"/>
      <c r="J587" s="105"/>
      <c r="K587" s="88"/>
      <c r="L587" s="88"/>
      <c r="M587" s="88"/>
      <c r="N587" s="88"/>
      <c r="O587" s="88"/>
      <c r="P587" s="88"/>
      <c r="Q587" s="88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</row>
    <row r="588" spans="1:32" ht="24" customHeight="1">
      <c r="A588" s="19"/>
      <c r="B588" s="58"/>
      <c r="C588" s="59"/>
      <c r="D588" s="59"/>
      <c r="E588" s="59"/>
      <c r="F588" s="60"/>
      <c r="G588" s="85"/>
      <c r="H588" s="59"/>
      <c r="I588" s="86"/>
      <c r="J588" s="105"/>
      <c r="K588" s="88"/>
      <c r="L588" s="88"/>
      <c r="M588" s="88"/>
      <c r="N588" s="88"/>
      <c r="O588" s="88"/>
      <c r="P588" s="88"/>
      <c r="Q588" s="88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</row>
    <row r="589" spans="1:32" ht="24" customHeight="1">
      <c r="A589" s="19"/>
      <c r="B589" s="58"/>
      <c r="C589" s="59"/>
      <c r="D589" s="59"/>
      <c r="E589" s="59"/>
      <c r="F589" s="60"/>
      <c r="G589" s="85"/>
      <c r="H589" s="59"/>
      <c r="I589" s="86"/>
      <c r="J589" s="105"/>
      <c r="K589" s="88"/>
      <c r="L589" s="88"/>
      <c r="M589" s="88"/>
      <c r="N589" s="88"/>
      <c r="O589" s="88"/>
      <c r="P589" s="88"/>
      <c r="Q589" s="88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</row>
    <row r="590" spans="1:32" ht="24" customHeight="1">
      <c r="A590" s="19"/>
      <c r="B590" s="58"/>
      <c r="C590" s="59"/>
      <c r="D590" s="59"/>
      <c r="E590" s="59"/>
      <c r="F590" s="60"/>
      <c r="G590" s="85"/>
      <c r="H590" s="59"/>
      <c r="I590" s="86"/>
      <c r="J590" s="105"/>
      <c r="K590" s="88"/>
      <c r="L590" s="88"/>
      <c r="M590" s="88"/>
      <c r="N590" s="88"/>
      <c r="O590" s="88"/>
      <c r="P590" s="88"/>
      <c r="Q590" s="88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</row>
    <row r="591" spans="1:32" ht="24" customHeight="1">
      <c r="A591" s="19"/>
      <c r="B591" s="58"/>
      <c r="C591" s="59"/>
      <c r="D591" s="59"/>
      <c r="E591" s="59"/>
      <c r="F591" s="60"/>
      <c r="G591" s="85"/>
      <c r="H591" s="59"/>
      <c r="I591" s="86"/>
      <c r="J591" s="105"/>
      <c r="K591" s="88"/>
      <c r="L591" s="88"/>
      <c r="M591" s="88"/>
      <c r="N591" s="88"/>
      <c r="O591" s="88"/>
      <c r="P591" s="88"/>
      <c r="Q591" s="88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</row>
    <row r="592" spans="1:32" ht="24" customHeight="1">
      <c r="A592" s="19"/>
      <c r="B592" s="58"/>
      <c r="C592" s="59"/>
      <c r="D592" s="59"/>
      <c r="E592" s="59"/>
      <c r="F592" s="60"/>
      <c r="G592" s="85"/>
      <c r="H592" s="59"/>
      <c r="I592" s="86"/>
      <c r="J592" s="105"/>
      <c r="K592" s="88"/>
      <c r="L592" s="88"/>
      <c r="M592" s="88"/>
      <c r="N592" s="88"/>
      <c r="O592" s="88"/>
      <c r="P592" s="88"/>
      <c r="Q592" s="88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</row>
    <row r="593" spans="1:32" ht="24" customHeight="1">
      <c r="A593" s="19"/>
      <c r="B593" s="58"/>
      <c r="C593" s="59"/>
      <c r="D593" s="59"/>
      <c r="E593" s="59"/>
      <c r="F593" s="60"/>
      <c r="G593" s="85"/>
      <c r="H593" s="59"/>
      <c r="I593" s="86"/>
      <c r="J593" s="105"/>
      <c r="K593" s="88"/>
      <c r="L593" s="88"/>
      <c r="M593" s="88"/>
      <c r="N593" s="88"/>
      <c r="O593" s="88"/>
      <c r="P593" s="88"/>
      <c r="Q593" s="88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</row>
    <row r="594" spans="1:32" ht="24" customHeight="1">
      <c r="A594" s="19"/>
      <c r="B594" s="58"/>
      <c r="C594" s="59"/>
      <c r="D594" s="59"/>
      <c r="E594" s="59"/>
      <c r="F594" s="60"/>
      <c r="G594" s="85"/>
      <c r="H594" s="59"/>
      <c r="I594" s="86"/>
      <c r="J594" s="105"/>
      <c r="K594" s="88"/>
      <c r="L594" s="88"/>
      <c r="M594" s="88"/>
      <c r="N594" s="88"/>
      <c r="O594" s="88"/>
      <c r="P594" s="88"/>
      <c r="Q594" s="88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</row>
    <row r="595" spans="1:32" ht="24" customHeight="1">
      <c r="A595" s="19"/>
      <c r="B595" s="58"/>
      <c r="C595" s="59"/>
      <c r="D595" s="59"/>
      <c r="E595" s="59"/>
      <c r="F595" s="60"/>
      <c r="G595" s="85"/>
      <c r="H595" s="59"/>
      <c r="I595" s="86"/>
      <c r="J595" s="105"/>
      <c r="K595" s="88"/>
      <c r="L595" s="88"/>
      <c r="M595" s="88"/>
      <c r="N595" s="88"/>
      <c r="O595" s="88"/>
      <c r="P595" s="88"/>
      <c r="Q595" s="88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</row>
    <row r="596" spans="1:32" ht="24" customHeight="1">
      <c r="A596" s="19"/>
      <c r="B596" s="58"/>
      <c r="C596" s="59"/>
      <c r="D596" s="59"/>
      <c r="E596" s="59"/>
      <c r="F596" s="60"/>
      <c r="G596" s="85"/>
      <c r="H596" s="59"/>
      <c r="I596" s="86"/>
      <c r="J596" s="105"/>
      <c r="K596" s="88"/>
      <c r="L596" s="88"/>
      <c r="M596" s="88"/>
      <c r="N596" s="88"/>
      <c r="O596" s="88"/>
      <c r="P596" s="88"/>
      <c r="Q596" s="88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</row>
    <row r="597" spans="1:32" ht="24" customHeight="1">
      <c r="A597" s="19"/>
      <c r="B597" s="58"/>
      <c r="C597" s="59"/>
      <c r="D597" s="59"/>
      <c r="E597" s="59"/>
      <c r="F597" s="60"/>
      <c r="G597" s="85"/>
      <c r="H597" s="59"/>
      <c r="I597" s="86"/>
      <c r="J597" s="105"/>
      <c r="K597" s="88"/>
      <c r="L597" s="88"/>
      <c r="M597" s="88"/>
      <c r="N597" s="88"/>
      <c r="O597" s="88"/>
      <c r="P597" s="88"/>
      <c r="Q597" s="88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</row>
    <row r="598" spans="1:32" ht="24" customHeight="1">
      <c r="A598" s="19"/>
      <c r="B598" s="58"/>
      <c r="C598" s="59"/>
      <c r="D598" s="59"/>
      <c r="E598" s="59"/>
      <c r="F598" s="60"/>
      <c r="G598" s="85"/>
      <c r="H598" s="59"/>
      <c r="I598" s="86"/>
      <c r="J598" s="105"/>
      <c r="K598" s="88"/>
      <c r="L598" s="88"/>
      <c r="M598" s="88"/>
      <c r="N598" s="88"/>
      <c r="O598" s="88"/>
      <c r="P598" s="88"/>
      <c r="Q598" s="88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</row>
    <row r="599" spans="1:32" ht="24" customHeight="1">
      <c r="A599" s="19"/>
      <c r="B599" s="58"/>
      <c r="C599" s="59"/>
      <c r="D599" s="59"/>
      <c r="E599" s="59"/>
      <c r="F599" s="60"/>
      <c r="G599" s="85"/>
      <c r="H599" s="59"/>
      <c r="I599" s="86"/>
      <c r="J599" s="105"/>
      <c r="K599" s="88"/>
      <c r="L599" s="88"/>
      <c r="M599" s="88"/>
      <c r="N599" s="88"/>
      <c r="O599" s="88"/>
      <c r="P599" s="88"/>
      <c r="Q599" s="88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</row>
    <row r="600" spans="1:32" ht="24" customHeight="1">
      <c r="A600" s="19"/>
      <c r="B600" s="58"/>
      <c r="C600" s="59"/>
      <c r="D600" s="59"/>
      <c r="E600" s="59"/>
      <c r="F600" s="60"/>
      <c r="G600" s="85"/>
      <c r="H600" s="59"/>
      <c r="I600" s="86"/>
      <c r="J600" s="105"/>
      <c r="K600" s="88"/>
      <c r="L600" s="88"/>
      <c r="M600" s="88"/>
      <c r="N600" s="88"/>
      <c r="O600" s="88"/>
      <c r="P600" s="88"/>
      <c r="Q600" s="88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</row>
    <row r="601" spans="1:32" ht="24" customHeight="1">
      <c r="A601" s="19"/>
      <c r="B601" s="58"/>
      <c r="C601" s="59"/>
      <c r="D601" s="59"/>
      <c r="E601" s="59"/>
      <c r="F601" s="60"/>
      <c r="G601" s="85"/>
      <c r="H601" s="59"/>
      <c r="I601" s="86"/>
      <c r="J601" s="105"/>
      <c r="K601" s="88"/>
      <c r="L601" s="88"/>
      <c r="M601" s="88"/>
      <c r="N601" s="88"/>
      <c r="O601" s="88"/>
      <c r="P601" s="88"/>
      <c r="Q601" s="88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</row>
    <row r="602" spans="1:32" ht="24" customHeight="1">
      <c r="A602" s="19"/>
      <c r="B602" s="58"/>
      <c r="C602" s="59"/>
      <c r="D602" s="59"/>
      <c r="E602" s="59"/>
      <c r="F602" s="60"/>
      <c r="G602" s="85"/>
      <c r="H602" s="59"/>
      <c r="I602" s="86"/>
      <c r="J602" s="105"/>
      <c r="K602" s="88"/>
      <c r="L602" s="88"/>
      <c r="M602" s="88"/>
      <c r="N602" s="88"/>
      <c r="O602" s="88"/>
      <c r="P602" s="88"/>
      <c r="Q602" s="88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</row>
    <row r="603" spans="1:32" ht="24" customHeight="1">
      <c r="A603" s="19"/>
      <c r="B603" s="58"/>
      <c r="C603" s="59"/>
      <c r="D603" s="59"/>
      <c r="E603" s="59"/>
      <c r="F603" s="60"/>
      <c r="G603" s="85"/>
      <c r="H603" s="59"/>
      <c r="I603" s="86"/>
      <c r="J603" s="105"/>
      <c r="K603" s="88"/>
      <c r="L603" s="88"/>
      <c r="M603" s="88"/>
      <c r="N603" s="88"/>
      <c r="O603" s="88"/>
      <c r="P603" s="88"/>
      <c r="Q603" s="88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</row>
    <row r="604" spans="1:32" ht="24" customHeight="1">
      <c r="A604" s="19"/>
      <c r="B604" s="58"/>
      <c r="C604" s="59"/>
      <c r="D604" s="59"/>
      <c r="E604" s="59"/>
      <c r="F604" s="60"/>
      <c r="G604" s="85"/>
      <c r="H604" s="59"/>
      <c r="I604" s="86"/>
      <c r="J604" s="105"/>
      <c r="K604" s="88"/>
      <c r="L604" s="88"/>
      <c r="M604" s="88"/>
      <c r="N604" s="88"/>
      <c r="O604" s="88"/>
      <c r="P604" s="88"/>
      <c r="Q604" s="88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</row>
    <row r="605" spans="1:32" ht="24" customHeight="1">
      <c r="A605" s="19"/>
      <c r="B605" s="58"/>
      <c r="C605" s="59"/>
      <c r="D605" s="59"/>
      <c r="E605" s="59"/>
      <c r="F605" s="60"/>
      <c r="G605" s="85"/>
      <c r="H605" s="59"/>
      <c r="I605" s="86"/>
      <c r="J605" s="105"/>
      <c r="K605" s="88"/>
      <c r="L605" s="88"/>
      <c r="M605" s="88"/>
      <c r="N605" s="88"/>
      <c r="O605" s="88"/>
      <c r="P605" s="88"/>
      <c r="Q605" s="88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</row>
    <row r="606" spans="1:32" ht="24" customHeight="1">
      <c r="A606" s="19"/>
      <c r="B606" s="58"/>
      <c r="C606" s="59"/>
      <c r="D606" s="59"/>
      <c r="E606" s="59"/>
      <c r="F606" s="60"/>
      <c r="G606" s="85"/>
      <c r="H606" s="59"/>
      <c r="I606" s="86"/>
      <c r="J606" s="105"/>
      <c r="K606" s="88"/>
      <c r="L606" s="88"/>
      <c r="M606" s="88"/>
      <c r="N606" s="88"/>
      <c r="O606" s="88"/>
      <c r="P606" s="88"/>
      <c r="Q606" s="88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</row>
    <row r="607" spans="1:32" ht="24" customHeight="1">
      <c r="A607" s="19"/>
      <c r="B607" s="58"/>
      <c r="C607" s="59"/>
      <c r="D607" s="59"/>
      <c r="E607" s="59"/>
      <c r="F607" s="60"/>
      <c r="G607" s="85"/>
      <c r="H607" s="59"/>
      <c r="I607" s="86"/>
      <c r="J607" s="105"/>
      <c r="K607" s="88"/>
      <c r="L607" s="88"/>
      <c r="M607" s="88"/>
      <c r="N607" s="88"/>
      <c r="O607" s="88"/>
      <c r="P607" s="88"/>
      <c r="Q607" s="88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</row>
    <row r="608" spans="1:32" ht="24" customHeight="1">
      <c r="A608" s="19"/>
      <c r="B608" s="58"/>
      <c r="C608" s="59"/>
      <c r="D608" s="59"/>
      <c r="E608" s="59"/>
      <c r="F608" s="60"/>
      <c r="G608" s="85"/>
      <c r="H608" s="59"/>
      <c r="I608" s="86"/>
      <c r="J608" s="105"/>
      <c r="K608" s="88"/>
      <c r="L608" s="88"/>
      <c r="M608" s="88"/>
      <c r="N608" s="88"/>
      <c r="O608" s="88"/>
      <c r="P608" s="88"/>
      <c r="Q608" s="88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</row>
    <row r="609" spans="1:32" ht="24" customHeight="1">
      <c r="A609" s="19"/>
      <c r="B609" s="58"/>
      <c r="C609" s="59"/>
      <c r="D609" s="59"/>
      <c r="E609" s="59"/>
      <c r="F609" s="60"/>
      <c r="G609" s="85"/>
      <c r="H609" s="59"/>
      <c r="I609" s="86"/>
      <c r="J609" s="105"/>
      <c r="K609" s="88"/>
      <c r="L609" s="88"/>
      <c r="M609" s="88"/>
      <c r="N609" s="88"/>
      <c r="O609" s="88"/>
      <c r="P609" s="88"/>
      <c r="Q609" s="88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</row>
    <row r="610" spans="1:32" ht="24" customHeight="1">
      <c r="A610" s="19"/>
      <c r="B610" s="58"/>
      <c r="C610" s="59"/>
      <c r="D610" s="59"/>
      <c r="E610" s="59"/>
      <c r="F610" s="60"/>
      <c r="G610" s="85"/>
      <c r="H610" s="59"/>
      <c r="I610" s="86"/>
      <c r="J610" s="105"/>
      <c r="K610" s="88"/>
      <c r="L610" s="88"/>
      <c r="M610" s="88"/>
      <c r="N610" s="88"/>
      <c r="O610" s="88"/>
      <c r="P610" s="88"/>
      <c r="Q610" s="88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</row>
    <row r="611" spans="1:32" ht="24" customHeight="1">
      <c r="A611" s="19"/>
      <c r="B611" s="58"/>
      <c r="C611" s="59"/>
      <c r="D611" s="59"/>
      <c r="E611" s="59"/>
      <c r="F611" s="60"/>
      <c r="G611" s="85"/>
      <c r="H611" s="59"/>
      <c r="I611" s="86"/>
      <c r="J611" s="105"/>
      <c r="K611" s="88"/>
      <c r="L611" s="88"/>
      <c r="M611" s="88"/>
      <c r="N611" s="88"/>
      <c r="O611" s="88"/>
      <c r="P611" s="88"/>
      <c r="Q611" s="88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</row>
    <row r="612" spans="1:32" ht="24" customHeight="1">
      <c r="A612" s="19"/>
      <c r="B612" s="58"/>
      <c r="C612" s="59"/>
      <c r="D612" s="59"/>
      <c r="E612" s="59"/>
      <c r="F612" s="60"/>
      <c r="G612" s="85"/>
      <c r="H612" s="59"/>
      <c r="I612" s="86"/>
      <c r="J612" s="105"/>
      <c r="K612" s="88"/>
      <c r="L612" s="88"/>
      <c r="M612" s="88"/>
      <c r="N612" s="88"/>
      <c r="O612" s="88"/>
      <c r="P612" s="88"/>
      <c r="Q612" s="88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</row>
    <row r="613" spans="1:32" ht="24" customHeight="1">
      <c r="A613" s="19"/>
      <c r="B613" s="58"/>
      <c r="C613" s="59"/>
      <c r="D613" s="59"/>
      <c r="E613" s="59"/>
      <c r="F613" s="60"/>
      <c r="G613" s="85"/>
      <c r="H613" s="59"/>
      <c r="I613" s="86"/>
      <c r="J613" s="105"/>
      <c r="K613" s="88"/>
      <c r="L613" s="88"/>
      <c r="M613" s="88"/>
      <c r="N613" s="88"/>
      <c r="O613" s="88"/>
      <c r="P613" s="88"/>
      <c r="Q613" s="88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</row>
    <row r="614" spans="1:32" ht="24" customHeight="1">
      <c r="A614" s="19"/>
      <c r="B614" s="58"/>
      <c r="C614" s="59"/>
      <c r="D614" s="59"/>
      <c r="E614" s="59"/>
      <c r="F614" s="60"/>
      <c r="G614" s="85"/>
      <c r="H614" s="59"/>
      <c r="I614" s="86"/>
      <c r="J614" s="105"/>
      <c r="K614" s="88"/>
      <c r="L614" s="88"/>
      <c r="M614" s="88"/>
      <c r="N614" s="88"/>
      <c r="O614" s="88"/>
      <c r="P614" s="88"/>
      <c r="Q614" s="88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</row>
    <row r="615" spans="1:32" ht="24" customHeight="1">
      <c r="A615" s="19"/>
      <c r="B615" s="58"/>
      <c r="C615" s="59"/>
      <c r="D615" s="59"/>
      <c r="E615" s="59"/>
      <c r="F615" s="60"/>
      <c r="G615" s="85"/>
      <c r="H615" s="59"/>
      <c r="I615" s="86"/>
      <c r="J615" s="105"/>
      <c r="K615" s="88"/>
      <c r="L615" s="88"/>
      <c r="M615" s="88"/>
      <c r="N615" s="88"/>
      <c r="O615" s="88"/>
      <c r="P615" s="88"/>
      <c r="Q615" s="88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</row>
    <row r="616" spans="1:32" ht="24" customHeight="1">
      <c r="A616" s="19"/>
      <c r="B616" s="58"/>
      <c r="C616" s="59"/>
      <c r="D616" s="59"/>
      <c r="E616" s="59"/>
      <c r="F616" s="60"/>
      <c r="G616" s="85"/>
      <c r="H616" s="59"/>
      <c r="I616" s="86"/>
      <c r="J616" s="105"/>
      <c r="K616" s="88"/>
      <c r="L616" s="88"/>
      <c r="M616" s="88"/>
      <c r="N616" s="88"/>
      <c r="O616" s="88"/>
      <c r="P616" s="88"/>
      <c r="Q616" s="88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</row>
    <row r="617" spans="1:32" ht="24" customHeight="1">
      <c r="A617" s="19"/>
      <c r="B617" s="58"/>
      <c r="C617" s="59"/>
      <c r="D617" s="59"/>
      <c r="E617" s="59"/>
      <c r="F617" s="60"/>
      <c r="G617" s="85"/>
      <c r="H617" s="59"/>
      <c r="I617" s="86"/>
      <c r="J617" s="105"/>
      <c r="K617" s="88"/>
      <c r="L617" s="88"/>
      <c r="M617" s="88"/>
      <c r="N617" s="88"/>
      <c r="O617" s="88"/>
      <c r="P617" s="88"/>
      <c r="Q617" s="88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</row>
    <row r="618" spans="1:32" ht="24" customHeight="1">
      <c r="A618" s="19"/>
      <c r="B618" s="58"/>
      <c r="C618" s="59"/>
      <c r="D618" s="59"/>
      <c r="E618" s="59"/>
      <c r="F618" s="60"/>
      <c r="G618" s="85"/>
      <c r="H618" s="59"/>
      <c r="I618" s="86"/>
      <c r="J618" s="105"/>
      <c r="K618" s="88"/>
      <c r="L618" s="88"/>
      <c r="M618" s="88"/>
      <c r="N618" s="88"/>
      <c r="O618" s="88"/>
      <c r="P618" s="88"/>
      <c r="Q618" s="88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</row>
    <row r="619" spans="1:32" ht="24" customHeight="1">
      <c r="A619" s="19"/>
      <c r="B619" s="58"/>
      <c r="C619" s="59"/>
      <c r="D619" s="59"/>
      <c r="E619" s="59"/>
      <c r="F619" s="60"/>
      <c r="G619" s="85"/>
      <c r="H619" s="59"/>
      <c r="I619" s="86"/>
      <c r="J619" s="105"/>
      <c r="K619" s="88"/>
      <c r="L619" s="88"/>
      <c r="M619" s="88"/>
      <c r="N619" s="88"/>
      <c r="O619" s="88"/>
      <c r="P619" s="88"/>
      <c r="Q619" s="88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</row>
    <row r="620" spans="1:32" ht="24" customHeight="1">
      <c r="A620" s="19"/>
      <c r="B620" s="58"/>
      <c r="C620" s="59"/>
      <c r="D620" s="59"/>
      <c r="E620" s="59"/>
      <c r="F620" s="60"/>
      <c r="G620" s="85"/>
      <c r="H620" s="59"/>
      <c r="I620" s="86"/>
      <c r="J620" s="105"/>
      <c r="K620" s="88"/>
      <c r="L620" s="88"/>
      <c r="M620" s="88"/>
      <c r="N620" s="88"/>
      <c r="O620" s="88"/>
      <c r="P620" s="88"/>
      <c r="Q620" s="88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</row>
    <row r="621" spans="1:32" ht="24" customHeight="1">
      <c r="A621" s="19"/>
      <c r="B621" s="58"/>
      <c r="C621" s="59"/>
      <c r="D621" s="59"/>
      <c r="E621" s="59"/>
      <c r="F621" s="60"/>
      <c r="G621" s="85"/>
      <c r="H621" s="59"/>
      <c r="I621" s="86"/>
      <c r="J621" s="105"/>
      <c r="K621" s="88"/>
      <c r="L621" s="88"/>
      <c r="M621" s="88"/>
      <c r="N621" s="88"/>
      <c r="O621" s="88"/>
      <c r="P621" s="88"/>
      <c r="Q621" s="88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</row>
    <row r="622" spans="1:32" ht="24" customHeight="1">
      <c r="A622" s="19"/>
      <c r="B622" s="58"/>
      <c r="C622" s="59"/>
      <c r="D622" s="59"/>
      <c r="E622" s="59"/>
      <c r="F622" s="60"/>
      <c r="G622" s="85"/>
      <c r="H622" s="59"/>
      <c r="I622" s="86"/>
      <c r="J622" s="105"/>
      <c r="K622" s="88"/>
      <c r="L622" s="88"/>
      <c r="M622" s="88"/>
      <c r="N622" s="88"/>
      <c r="O622" s="88"/>
      <c r="P622" s="88"/>
      <c r="Q622" s="88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</row>
    <row r="623" spans="1:32" ht="24" customHeight="1">
      <c r="A623" s="19"/>
      <c r="B623" s="58"/>
      <c r="C623" s="59"/>
      <c r="D623" s="59"/>
      <c r="E623" s="59"/>
      <c r="F623" s="60"/>
      <c r="G623" s="85"/>
      <c r="H623" s="59"/>
      <c r="I623" s="86"/>
      <c r="J623" s="105"/>
      <c r="K623" s="88"/>
      <c r="L623" s="88"/>
      <c r="M623" s="88"/>
      <c r="N623" s="88"/>
      <c r="O623" s="88"/>
      <c r="P623" s="88"/>
      <c r="Q623" s="88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</row>
    <row r="624" spans="1:32" ht="24" customHeight="1">
      <c r="A624" s="19"/>
      <c r="B624" s="58"/>
      <c r="C624" s="59"/>
      <c r="D624" s="59"/>
      <c r="E624" s="59"/>
      <c r="F624" s="60"/>
      <c r="G624" s="85"/>
      <c r="H624" s="59"/>
      <c r="I624" s="86"/>
      <c r="J624" s="105"/>
      <c r="K624" s="88"/>
      <c r="L624" s="88"/>
      <c r="M624" s="88"/>
      <c r="N624" s="88"/>
      <c r="O624" s="88"/>
      <c r="P624" s="88"/>
      <c r="Q624" s="88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</row>
    <row r="625" spans="1:32" ht="24" customHeight="1">
      <c r="A625" s="19"/>
      <c r="B625" s="58"/>
      <c r="C625" s="59"/>
      <c r="D625" s="59"/>
      <c r="E625" s="59"/>
      <c r="F625" s="60"/>
      <c r="G625" s="85"/>
      <c r="H625" s="59"/>
      <c r="I625" s="86"/>
      <c r="J625" s="105"/>
      <c r="K625" s="88"/>
      <c r="L625" s="88"/>
      <c r="M625" s="88"/>
      <c r="N625" s="88"/>
      <c r="O625" s="88"/>
      <c r="P625" s="88"/>
      <c r="Q625" s="88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</row>
    <row r="626" spans="1:32" ht="24" customHeight="1">
      <c r="A626" s="19"/>
      <c r="B626" s="58"/>
      <c r="C626" s="59"/>
      <c r="D626" s="59"/>
      <c r="E626" s="59"/>
      <c r="F626" s="60"/>
      <c r="G626" s="85"/>
      <c r="H626" s="59"/>
      <c r="I626" s="86"/>
      <c r="J626" s="105"/>
      <c r="K626" s="88"/>
      <c r="L626" s="88"/>
      <c r="M626" s="88"/>
      <c r="N626" s="88"/>
      <c r="O626" s="88"/>
      <c r="P626" s="88"/>
      <c r="Q626" s="88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</row>
    <row r="627" spans="1:32" ht="24" customHeight="1">
      <c r="A627" s="19"/>
      <c r="B627" s="58"/>
      <c r="C627" s="59"/>
      <c r="D627" s="59"/>
      <c r="E627" s="59"/>
      <c r="F627" s="60"/>
      <c r="G627" s="85"/>
      <c r="H627" s="59"/>
      <c r="I627" s="86"/>
      <c r="J627" s="105"/>
      <c r="K627" s="88"/>
      <c r="L627" s="88"/>
      <c r="M627" s="88"/>
      <c r="N627" s="88"/>
      <c r="O627" s="88"/>
      <c r="P627" s="88"/>
      <c r="Q627" s="88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</row>
    <row r="628" spans="1:32" ht="24" customHeight="1">
      <c r="A628" s="19"/>
      <c r="B628" s="58"/>
      <c r="C628" s="59"/>
      <c r="D628" s="59"/>
      <c r="E628" s="59"/>
      <c r="F628" s="60"/>
      <c r="G628" s="85"/>
      <c r="H628" s="59"/>
      <c r="I628" s="86"/>
      <c r="J628" s="105"/>
      <c r="K628" s="88"/>
      <c r="L628" s="88"/>
      <c r="M628" s="88"/>
      <c r="N628" s="88"/>
      <c r="O628" s="88"/>
      <c r="P628" s="88"/>
      <c r="Q628" s="88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</row>
    <row r="629" spans="1:32" ht="24" customHeight="1">
      <c r="A629" s="19"/>
      <c r="B629" s="58"/>
      <c r="C629" s="59"/>
      <c r="D629" s="59"/>
      <c r="E629" s="59"/>
      <c r="F629" s="60"/>
      <c r="G629" s="85"/>
      <c r="H629" s="59"/>
      <c r="I629" s="86"/>
      <c r="J629" s="105"/>
      <c r="K629" s="88"/>
      <c r="L629" s="88"/>
      <c r="M629" s="88"/>
      <c r="N629" s="88"/>
      <c r="O629" s="88"/>
      <c r="P629" s="88"/>
      <c r="Q629" s="88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</row>
    <row r="630" spans="1:32" ht="24" customHeight="1">
      <c r="A630" s="19"/>
      <c r="B630" s="58"/>
      <c r="C630" s="59"/>
      <c r="D630" s="59"/>
      <c r="E630" s="59"/>
      <c r="F630" s="60"/>
      <c r="G630" s="85"/>
      <c r="H630" s="59"/>
      <c r="I630" s="86"/>
      <c r="J630" s="105"/>
      <c r="K630" s="88"/>
      <c r="L630" s="88"/>
      <c r="M630" s="88"/>
      <c r="N630" s="88"/>
      <c r="O630" s="88"/>
      <c r="P630" s="88"/>
      <c r="Q630" s="88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</row>
    <row r="631" spans="1:32" ht="24" customHeight="1">
      <c r="A631" s="19"/>
      <c r="B631" s="58"/>
      <c r="C631" s="59"/>
      <c r="D631" s="59"/>
      <c r="E631" s="59"/>
      <c r="F631" s="60"/>
      <c r="G631" s="85"/>
      <c r="H631" s="59"/>
      <c r="I631" s="86"/>
      <c r="J631" s="105"/>
      <c r="K631" s="88"/>
      <c r="L631" s="88"/>
      <c r="M631" s="88"/>
      <c r="N631" s="88"/>
      <c r="O631" s="88"/>
      <c r="P631" s="88"/>
      <c r="Q631" s="88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</row>
    <row r="632" spans="1:32" ht="24" customHeight="1">
      <c r="A632" s="19"/>
      <c r="B632" s="58"/>
      <c r="C632" s="59"/>
      <c r="D632" s="59"/>
      <c r="E632" s="59"/>
      <c r="F632" s="60"/>
      <c r="G632" s="85"/>
      <c r="H632" s="59"/>
      <c r="I632" s="86"/>
      <c r="J632" s="105"/>
      <c r="K632" s="88"/>
      <c r="L632" s="88"/>
      <c r="M632" s="88"/>
      <c r="N632" s="88"/>
      <c r="O632" s="88"/>
      <c r="P632" s="88"/>
      <c r="Q632" s="88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</row>
    <row r="633" spans="1:32" ht="24" customHeight="1">
      <c r="A633" s="19"/>
      <c r="B633" s="58"/>
      <c r="C633" s="59"/>
      <c r="D633" s="59"/>
      <c r="E633" s="59"/>
      <c r="F633" s="60"/>
      <c r="G633" s="85"/>
      <c r="H633" s="59"/>
      <c r="I633" s="86"/>
      <c r="J633" s="105"/>
      <c r="K633" s="88"/>
      <c r="L633" s="88"/>
      <c r="M633" s="88"/>
      <c r="N633" s="88"/>
      <c r="O633" s="88"/>
      <c r="P633" s="88"/>
      <c r="Q633" s="88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</row>
    <row r="634" spans="1:32" ht="24" customHeight="1">
      <c r="A634" s="19"/>
      <c r="B634" s="58"/>
      <c r="C634" s="59"/>
      <c r="D634" s="59"/>
      <c r="E634" s="59"/>
      <c r="F634" s="60"/>
      <c r="G634" s="85"/>
      <c r="H634" s="59"/>
      <c r="I634" s="86"/>
      <c r="J634" s="105"/>
      <c r="K634" s="88"/>
      <c r="L634" s="88"/>
      <c r="M634" s="88"/>
      <c r="N634" s="88"/>
      <c r="O634" s="88"/>
      <c r="P634" s="88"/>
      <c r="Q634" s="88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</row>
    <row r="635" spans="1:32" ht="24" customHeight="1">
      <c r="A635" s="19"/>
      <c r="B635" s="58"/>
      <c r="C635" s="59"/>
      <c r="D635" s="59"/>
      <c r="E635" s="59"/>
      <c r="F635" s="60"/>
      <c r="G635" s="85"/>
      <c r="H635" s="59"/>
      <c r="I635" s="86"/>
      <c r="J635" s="105"/>
      <c r="K635" s="88"/>
      <c r="L635" s="88"/>
      <c r="M635" s="88"/>
      <c r="N635" s="88"/>
      <c r="O635" s="88"/>
      <c r="P635" s="88"/>
      <c r="Q635" s="88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</row>
    <row r="636" spans="1:32" ht="24" customHeight="1">
      <c r="A636" s="19"/>
      <c r="B636" s="58"/>
      <c r="C636" s="59"/>
      <c r="D636" s="59"/>
      <c r="E636" s="59"/>
      <c r="F636" s="60"/>
      <c r="G636" s="85"/>
      <c r="H636" s="59"/>
      <c r="I636" s="86"/>
      <c r="J636" s="105"/>
      <c r="K636" s="88"/>
      <c r="L636" s="88"/>
      <c r="M636" s="88"/>
      <c r="N636" s="88"/>
      <c r="O636" s="88"/>
      <c r="P636" s="88"/>
      <c r="Q636" s="88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</row>
    <row r="637" spans="1:32" ht="24" customHeight="1">
      <c r="A637" s="19"/>
      <c r="B637" s="58"/>
      <c r="C637" s="59"/>
      <c r="D637" s="59"/>
      <c r="E637" s="59"/>
      <c r="F637" s="60"/>
      <c r="G637" s="85"/>
      <c r="H637" s="59"/>
      <c r="I637" s="86"/>
      <c r="J637" s="105"/>
      <c r="K637" s="88"/>
      <c r="L637" s="88"/>
      <c r="M637" s="88"/>
      <c r="N637" s="88"/>
      <c r="O637" s="88"/>
      <c r="P637" s="88"/>
      <c r="Q637" s="88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</row>
    <row r="638" spans="1:32" ht="24" customHeight="1">
      <c r="A638" s="19"/>
      <c r="B638" s="58"/>
      <c r="C638" s="59"/>
      <c r="D638" s="59"/>
      <c r="E638" s="59"/>
      <c r="F638" s="60"/>
      <c r="G638" s="85"/>
      <c r="H638" s="59"/>
      <c r="I638" s="86"/>
      <c r="J638" s="105"/>
      <c r="K638" s="88"/>
      <c r="L638" s="88"/>
      <c r="M638" s="88"/>
      <c r="N638" s="88"/>
      <c r="O638" s="88"/>
      <c r="P638" s="88"/>
      <c r="Q638" s="88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</row>
    <row r="639" spans="1:32" ht="24" customHeight="1">
      <c r="A639" s="19"/>
      <c r="B639" s="58"/>
      <c r="C639" s="59"/>
      <c r="D639" s="59"/>
      <c r="E639" s="59"/>
      <c r="F639" s="60"/>
      <c r="G639" s="85"/>
      <c r="H639" s="59"/>
      <c r="I639" s="86"/>
      <c r="J639" s="105"/>
      <c r="K639" s="88"/>
      <c r="L639" s="88"/>
      <c r="M639" s="88"/>
      <c r="N639" s="88"/>
      <c r="O639" s="88"/>
      <c r="P639" s="88"/>
      <c r="Q639" s="88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</row>
    <row r="640" spans="1:32" ht="24" customHeight="1">
      <c r="A640" s="19"/>
      <c r="B640" s="58"/>
      <c r="C640" s="59"/>
      <c r="D640" s="59"/>
      <c r="E640" s="59"/>
      <c r="F640" s="60"/>
      <c r="G640" s="85"/>
      <c r="H640" s="59"/>
      <c r="I640" s="86"/>
      <c r="J640" s="105"/>
      <c r="K640" s="88"/>
      <c r="L640" s="88"/>
      <c r="M640" s="88"/>
      <c r="N640" s="88"/>
      <c r="O640" s="88"/>
      <c r="P640" s="88"/>
      <c r="Q640" s="88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</row>
    <row r="641" spans="1:32" ht="24" customHeight="1">
      <c r="A641" s="19"/>
      <c r="B641" s="58"/>
      <c r="C641" s="59"/>
      <c r="D641" s="59"/>
      <c r="E641" s="59"/>
      <c r="F641" s="60"/>
      <c r="G641" s="85"/>
      <c r="H641" s="59"/>
      <c r="I641" s="86"/>
      <c r="J641" s="105"/>
      <c r="K641" s="88"/>
      <c r="L641" s="88"/>
      <c r="M641" s="88"/>
      <c r="N641" s="88"/>
      <c r="O641" s="88"/>
      <c r="P641" s="88"/>
      <c r="Q641" s="88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</row>
    <row r="642" spans="1:32" ht="24" customHeight="1">
      <c r="A642" s="19"/>
      <c r="B642" s="58"/>
      <c r="C642" s="59"/>
      <c r="D642" s="59"/>
      <c r="E642" s="59"/>
      <c r="F642" s="60"/>
      <c r="G642" s="85"/>
      <c r="H642" s="59"/>
      <c r="I642" s="86"/>
      <c r="J642" s="105"/>
      <c r="K642" s="88"/>
      <c r="L642" s="88"/>
      <c r="M642" s="88"/>
      <c r="N642" s="88"/>
      <c r="O642" s="88"/>
      <c r="P642" s="88"/>
      <c r="Q642" s="88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</row>
    <row r="643" spans="1:32" ht="24" customHeight="1">
      <c r="A643" s="19"/>
      <c r="B643" s="58"/>
      <c r="C643" s="59"/>
      <c r="D643" s="59"/>
      <c r="E643" s="59"/>
      <c r="F643" s="60"/>
      <c r="G643" s="85"/>
      <c r="H643" s="59"/>
      <c r="I643" s="86"/>
      <c r="J643" s="105"/>
      <c r="K643" s="88"/>
      <c r="L643" s="88"/>
      <c r="M643" s="88"/>
      <c r="N643" s="88"/>
      <c r="O643" s="88"/>
      <c r="P643" s="88"/>
      <c r="Q643" s="88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</row>
    <row r="644" spans="1:32" ht="24" customHeight="1">
      <c r="A644" s="19"/>
      <c r="B644" s="58"/>
      <c r="C644" s="59"/>
      <c r="D644" s="59"/>
      <c r="E644" s="59"/>
      <c r="F644" s="60"/>
      <c r="G644" s="85"/>
      <c r="H644" s="59"/>
      <c r="I644" s="86"/>
      <c r="J644" s="105"/>
      <c r="K644" s="88"/>
      <c r="L644" s="88"/>
      <c r="M644" s="88"/>
      <c r="N644" s="88"/>
      <c r="O644" s="88"/>
      <c r="P644" s="88"/>
      <c r="Q644" s="88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</row>
    <row r="645" spans="1:32" ht="24" customHeight="1">
      <c r="A645" s="19"/>
      <c r="B645" s="58"/>
      <c r="C645" s="59"/>
      <c r="D645" s="59"/>
      <c r="E645" s="59"/>
      <c r="F645" s="60"/>
      <c r="G645" s="85"/>
      <c r="H645" s="59"/>
      <c r="I645" s="86"/>
      <c r="J645" s="105"/>
      <c r="K645" s="88"/>
      <c r="L645" s="88"/>
      <c r="M645" s="88"/>
      <c r="N645" s="88"/>
      <c r="O645" s="88"/>
      <c r="P645" s="88"/>
      <c r="Q645" s="88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</row>
    <row r="646" spans="1:32" ht="24" customHeight="1">
      <c r="A646" s="19"/>
      <c r="B646" s="58"/>
      <c r="C646" s="59"/>
      <c r="D646" s="59"/>
      <c r="E646" s="59"/>
      <c r="F646" s="60"/>
      <c r="G646" s="85"/>
      <c r="H646" s="59"/>
      <c r="I646" s="86"/>
      <c r="J646" s="105"/>
      <c r="K646" s="88"/>
      <c r="L646" s="88"/>
      <c r="M646" s="88"/>
      <c r="N646" s="88"/>
      <c r="O646" s="88"/>
      <c r="P646" s="88"/>
      <c r="Q646" s="88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</row>
    <row r="647" spans="1:32" ht="24" customHeight="1">
      <c r="A647" s="19"/>
      <c r="B647" s="58"/>
      <c r="C647" s="59"/>
      <c r="D647" s="59"/>
      <c r="E647" s="59"/>
      <c r="F647" s="60"/>
      <c r="G647" s="85"/>
      <c r="H647" s="59"/>
      <c r="I647" s="86"/>
      <c r="J647" s="105"/>
      <c r="K647" s="88"/>
      <c r="L647" s="88"/>
      <c r="M647" s="88"/>
      <c r="N647" s="88"/>
      <c r="O647" s="88"/>
      <c r="P647" s="88"/>
      <c r="Q647" s="88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</row>
    <row r="648" spans="1:32" ht="24" customHeight="1">
      <c r="A648" s="19"/>
      <c r="B648" s="58"/>
      <c r="C648" s="59"/>
      <c r="D648" s="59"/>
      <c r="E648" s="59"/>
      <c r="F648" s="60"/>
      <c r="G648" s="85"/>
      <c r="H648" s="59"/>
      <c r="I648" s="86"/>
      <c r="J648" s="105"/>
      <c r="K648" s="88"/>
      <c r="L648" s="88"/>
      <c r="M648" s="88"/>
      <c r="N648" s="88"/>
      <c r="O648" s="88"/>
      <c r="P648" s="88"/>
      <c r="Q648" s="88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</row>
    <row r="649" spans="1:32" ht="24" customHeight="1">
      <c r="A649" s="19"/>
      <c r="B649" s="58"/>
      <c r="C649" s="59"/>
      <c r="D649" s="59"/>
      <c r="E649" s="59"/>
      <c r="F649" s="60"/>
      <c r="G649" s="85"/>
      <c r="H649" s="59"/>
      <c r="I649" s="86"/>
      <c r="J649" s="105"/>
      <c r="K649" s="88"/>
      <c r="L649" s="88"/>
      <c r="M649" s="88"/>
      <c r="N649" s="88"/>
      <c r="O649" s="88"/>
      <c r="P649" s="88"/>
      <c r="Q649" s="88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</row>
    <row r="650" spans="1:32" ht="24" customHeight="1">
      <c r="A650" s="19"/>
      <c r="B650" s="58"/>
      <c r="C650" s="59"/>
      <c r="D650" s="59"/>
      <c r="E650" s="59"/>
      <c r="F650" s="60"/>
      <c r="G650" s="85"/>
      <c r="H650" s="59"/>
      <c r="I650" s="86"/>
      <c r="J650" s="105"/>
      <c r="K650" s="88"/>
      <c r="L650" s="88"/>
      <c r="M650" s="88"/>
      <c r="N650" s="88"/>
      <c r="O650" s="88"/>
      <c r="P650" s="88"/>
      <c r="Q650" s="88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</row>
    <row r="651" spans="1:32" ht="24" customHeight="1">
      <c r="A651" s="19"/>
      <c r="B651" s="58"/>
      <c r="C651" s="59"/>
      <c r="D651" s="59"/>
      <c r="E651" s="59"/>
      <c r="F651" s="60"/>
      <c r="G651" s="85"/>
      <c r="H651" s="59"/>
      <c r="I651" s="86"/>
      <c r="J651" s="105"/>
      <c r="K651" s="88"/>
      <c r="L651" s="88"/>
      <c r="M651" s="88"/>
      <c r="N651" s="88"/>
      <c r="O651" s="88"/>
      <c r="P651" s="88"/>
      <c r="Q651" s="88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</row>
    <row r="652" spans="1:32" ht="24" customHeight="1">
      <c r="A652" s="19"/>
      <c r="B652" s="58"/>
      <c r="C652" s="59"/>
      <c r="D652" s="59"/>
      <c r="E652" s="59"/>
      <c r="F652" s="60"/>
      <c r="G652" s="85"/>
      <c r="H652" s="59"/>
      <c r="I652" s="86"/>
      <c r="J652" s="105"/>
      <c r="K652" s="88"/>
      <c r="L652" s="88"/>
      <c r="M652" s="88"/>
      <c r="N652" s="88"/>
      <c r="O652" s="88"/>
      <c r="P652" s="88"/>
      <c r="Q652" s="88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</row>
    <row r="653" spans="1:32" ht="24" customHeight="1">
      <c r="A653" s="19"/>
      <c r="B653" s="58"/>
      <c r="C653" s="59"/>
      <c r="D653" s="59"/>
      <c r="E653" s="59"/>
      <c r="F653" s="60"/>
      <c r="G653" s="85"/>
      <c r="H653" s="59"/>
      <c r="I653" s="86"/>
      <c r="J653" s="105"/>
      <c r="K653" s="88"/>
      <c r="L653" s="88"/>
      <c r="M653" s="88"/>
      <c r="N653" s="88"/>
      <c r="O653" s="88"/>
      <c r="P653" s="88"/>
      <c r="Q653" s="88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</row>
    <row r="654" spans="1:32" ht="24" customHeight="1">
      <c r="A654" s="19"/>
      <c r="B654" s="58"/>
      <c r="C654" s="59"/>
      <c r="D654" s="59"/>
      <c r="E654" s="59"/>
      <c r="F654" s="60"/>
      <c r="G654" s="85"/>
      <c r="H654" s="59"/>
      <c r="I654" s="86"/>
      <c r="J654" s="105"/>
      <c r="K654" s="88"/>
      <c r="L654" s="88"/>
      <c r="M654" s="88"/>
      <c r="N654" s="88"/>
      <c r="O654" s="88"/>
      <c r="P654" s="88"/>
      <c r="Q654" s="88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</row>
    <row r="655" spans="1:32" ht="24" customHeight="1">
      <c r="A655" s="19"/>
      <c r="B655" s="58"/>
      <c r="C655" s="59"/>
      <c r="D655" s="59"/>
      <c r="E655" s="59"/>
      <c r="F655" s="60"/>
      <c r="G655" s="85"/>
      <c r="H655" s="59"/>
      <c r="I655" s="86"/>
      <c r="J655" s="105"/>
      <c r="K655" s="88"/>
      <c r="L655" s="88"/>
      <c r="M655" s="88"/>
      <c r="N655" s="88"/>
      <c r="O655" s="88"/>
      <c r="P655" s="88"/>
      <c r="Q655" s="88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</row>
    <row r="656" spans="1:32" ht="24" customHeight="1">
      <c r="A656" s="19"/>
      <c r="B656" s="58"/>
      <c r="C656" s="59"/>
      <c r="D656" s="59"/>
      <c r="E656" s="59"/>
      <c r="F656" s="60"/>
      <c r="G656" s="85"/>
      <c r="H656" s="59"/>
      <c r="I656" s="86"/>
      <c r="J656" s="105"/>
      <c r="K656" s="88"/>
      <c r="L656" s="88"/>
      <c r="M656" s="88"/>
      <c r="N656" s="88"/>
      <c r="O656" s="88"/>
      <c r="P656" s="88"/>
      <c r="Q656" s="88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</row>
    <row r="657" spans="1:32" ht="24" customHeight="1">
      <c r="A657" s="19"/>
      <c r="B657" s="58"/>
      <c r="C657" s="59"/>
      <c r="D657" s="59"/>
      <c r="E657" s="59"/>
      <c r="F657" s="60"/>
      <c r="G657" s="85"/>
      <c r="H657" s="59"/>
      <c r="I657" s="86"/>
      <c r="J657" s="105"/>
      <c r="K657" s="88"/>
      <c r="L657" s="88"/>
      <c r="M657" s="88"/>
      <c r="N657" s="88"/>
      <c r="O657" s="88"/>
      <c r="P657" s="88"/>
      <c r="Q657" s="88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</row>
    <row r="658" spans="1:32" ht="24" customHeight="1">
      <c r="A658" s="19"/>
      <c r="B658" s="58"/>
      <c r="C658" s="59"/>
      <c r="D658" s="59"/>
      <c r="E658" s="59"/>
      <c r="F658" s="60"/>
      <c r="G658" s="85"/>
      <c r="H658" s="59"/>
      <c r="I658" s="86"/>
      <c r="J658" s="105"/>
      <c r="K658" s="88"/>
      <c r="L658" s="88"/>
      <c r="M658" s="88"/>
      <c r="N658" s="88"/>
      <c r="O658" s="88"/>
      <c r="P658" s="88"/>
      <c r="Q658" s="88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</row>
    <row r="659" spans="1:32" ht="24" customHeight="1">
      <c r="A659" s="19"/>
      <c r="B659" s="58"/>
      <c r="C659" s="59"/>
      <c r="D659" s="59"/>
      <c r="E659" s="59"/>
      <c r="F659" s="60"/>
      <c r="G659" s="85"/>
      <c r="H659" s="59"/>
      <c r="I659" s="86"/>
      <c r="J659" s="105"/>
      <c r="K659" s="88"/>
      <c r="L659" s="88"/>
      <c r="M659" s="88"/>
      <c r="N659" s="88"/>
      <c r="O659" s="88"/>
      <c r="P659" s="88"/>
      <c r="Q659" s="88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</row>
    <row r="660" spans="1:32" ht="24" customHeight="1">
      <c r="A660" s="19"/>
      <c r="B660" s="58"/>
      <c r="C660" s="59"/>
      <c r="D660" s="59"/>
      <c r="E660" s="59"/>
      <c r="F660" s="60"/>
      <c r="G660" s="85"/>
      <c r="H660" s="59"/>
      <c r="I660" s="86"/>
      <c r="J660" s="105"/>
      <c r="K660" s="88"/>
      <c r="L660" s="88"/>
      <c r="M660" s="88"/>
      <c r="N660" s="88"/>
      <c r="O660" s="88"/>
      <c r="P660" s="88"/>
      <c r="Q660" s="88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</row>
    <row r="661" spans="1:32" ht="24" customHeight="1">
      <c r="A661" s="19"/>
      <c r="B661" s="58"/>
      <c r="C661" s="59"/>
      <c r="D661" s="59"/>
      <c r="E661" s="59"/>
      <c r="F661" s="60"/>
      <c r="G661" s="85"/>
      <c r="H661" s="59"/>
      <c r="I661" s="86"/>
      <c r="J661" s="105"/>
      <c r="K661" s="88"/>
      <c r="L661" s="88"/>
      <c r="M661" s="88"/>
      <c r="N661" s="88"/>
      <c r="O661" s="88"/>
      <c r="P661" s="88"/>
      <c r="Q661" s="88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</row>
    <row r="662" spans="1:32" ht="24" customHeight="1">
      <c r="A662" s="19"/>
      <c r="B662" s="58"/>
      <c r="C662" s="59"/>
      <c r="D662" s="59"/>
      <c r="E662" s="59"/>
      <c r="F662" s="60"/>
      <c r="G662" s="85"/>
      <c r="H662" s="59"/>
      <c r="I662" s="86"/>
      <c r="J662" s="105"/>
      <c r="K662" s="88"/>
      <c r="L662" s="88"/>
      <c r="M662" s="88"/>
      <c r="N662" s="88"/>
      <c r="O662" s="88"/>
      <c r="P662" s="88"/>
      <c r="Q662" s="88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</row>
    <row r="663" spans="1:32" ht="24" customHeight="1">
      <c r="A663" s="19"/>
      <c r="B663" s="58"/>
      <c r="C663" s="59"/>
      <c r="D663" s="59"/>
      <c r="E663" s="59"/>
      <c r="F663" s="60"/>
      <c r="G663" s="85"/>
      <c r="H663" s="59"/>
      <c r="I663" s="86"/>
      <c r="J663" s="105"/>
      <c r="K663" s="88"/>
      <c r="L663" s="88"/>
      <c r="M663" s="88"/>
      <c r="N663" s="88"/>
      <c r="O663" s="88"/>
      <c r="P663" s="88"/>
      <c r="Q663" s="88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</row>
    <row r="664" spans="1:32" ht="24" customHeight="1">
      <c r="A664" s="19"/>
      <c r="B664" s="58"/>
      <c r="C664" s="59"/>
      <c r="D664" s="59"/>
      <c r="E664" s="59"/>
      <c r="F664" s="60"/>
      <c r="G664" s="85"/>
      <c r="H664" s="59"/>
      <c r="I664" s="86"/>
      <c r="J664" s="105"/>
      <c r="K664" s="88"/>
      <c r="L664" s="88"/>
      <c r="M664" s="88"/>
      <c r="N664" s="88"/>
      <c r="O664" s="88"/>
      <c r="P664" s="88"/>
      <c r="Q664" s="88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</row>
    <row r="665" spans="1:32" ht="24" customHeight="1">
      <c r="A665" s="19"/>
      <c r="B665" s="58"/>
      <c r="C665" s="59"/>
      <c r="D665" s="59"/>
      <c r="E665" s="59"/>
      <c r="F665" s="60"/>
      <c r="G665" s="85"/>
      <c r="H665" s="59"/>
      <c r="I665" s="86"/>
      <c r="J665" s="105"/>
      <c r="K665" s="88"/>
      <c r="L665" s="88"/>
      <c r="M665" s="88"/>
      <c r="N665" s="88"/>
      <c r="O665" s="88"/>
      <c r="P665" s="88"/>
      <c r="Q665" s="88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</row>
    <row r="666" spans="1:32" ht="24" customHeight="1">
      <c r="A666" s="19"/>
      <c r="B666" s="58"/>
      <c r="C666" s="59"/>
      <c r="D666" s="59"/>
      <c r="E666" s="59"/>
      <c r="F666" s="60"/>
      <c r="G666" s="85"/>
      <c r="H666" s="59"/>
      <c r="I666" s="86"/>
      <c r="J666" s="105"/>
      <c r="K666" s="88"/>
      <c r="L666" s="88"/>
      <c r="M666" s="88"/>
      <c r="N666" s="88"/>
      <c r="O666" s="88"/>
      <c r="P666" s="88"/>
      <c r="Q666" s="88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</row>
    <row r="667" spans="1:32" ht="24" customHeight="1">
      <c r="A667" s="19"/>
      <c r="B667" s="58"/>
      <c r="C667" s="59"/>
      <c r="D667" s="59"/>
      <c r="E667" s="59"/>
      <c r="F667" s="60"/>
      <c r="G667" s="85"/>
      <c r="H667" s="59"/>
      <c r="I667" s="86"/>
      <c r="J667" s="105"/>
      <c r="K667" s="88"/>
      <c r="L667" s="88"/>
      <c r="M667" s="88"/>
      <c r="N667" s="88"/>
      <c r="O667" s="88"/>
      <c r="P667" s="88"/>
      <c r="Q667" s="88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</row>
    <row r="668" spans="1:32" ht="24" customHeight="1">
      <c r="A668" s="19"/>
      <c r="B668" s="58"/>
      <c r="C668" s="59"/>
      <c r="D668" s="59"/>
      <c r="E668" s="59"/>
      <c r="F668" s="60"/>
      <c r="G668" s="85"/>
      <c r="H668" s="59"/>
      <c r="I668" s="86"/>
      <c r="J668" s="105"/>
      <c r="K668" s="88"/>
      <c r="L668" s="88"/>
      <c r="M668" s="88"/>
      <c r="N668" s="88"/>
      <c r="O668" s="88"/>
      <c r="P668" s="88"/>
      <c r="Q668" s="88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</row>
    <row r="669" spans="1:32" ht="24" customHeight="1">
      <c r="A669" s="19"/>
      <c r="B669" s="58"/>
      <c r="C669" s="59"/>
      <c r="D669" s="59"/>
      <c r="E669" s="59"/>
      <c r="F669" s="60"/>
      <c r="G669" s="85"/>
      <c r="H669" s="59"/>
      <c r="I669" s="86"/>
      <c r="J669" s="105"/>
      <c r="K669" s="88"/>
      <c r="L669" s="88"/>
      <c r="M669" s="88"/>
      <c r="N669" s="88"/>
      <c r="O669" s="88"/>
      <c r="P669" s="88"/>
      <c r="Q669" s="88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</row>
    <row r="670" spans="1:32" ht="24" customHeight="1">
      <c r="A670" s="19"/>
      <c r="B670" s="58"/>
      <c r="C670" s="59"/>
      <c r="D670" s="59"/>
      <c r="E670" s="59"/>
      <c r="F670" s="60"/>
      <c r="G670" s="85"/>
      <c r="H670" s="59"/>
      <c r="I670" s="86"/>
      <c r="J670" s="105"/>
      <c r="K670" s="88"/>
      <c r="L670" s="88"/>
      <c r="M670" s="88"/>
      <c r="N670" s="88"/>
      <c r="O670" s="88"/>
      <c r="P670" s="88"/>
      <c r="Q670" s="88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</row>
    <row r="671" spans="1:32" ht="24" customHeight="1">
      <c r="A671" s="19"/>
      <c r="B671" s="58"/>
      <c r="C671" s="59"/>
      <c r="D671" s="59"/>
      <c r="E671" s="59"/>
      <c r="F671" s="60"/>
      <c r="G671" s="85"/>
      <c r="H671" s="59"/>
      <c r="I671" s="86"/>
      <c r="J671" s="105"/>
      <c r="K671" s="88"/>
      <c r="L671" s="88"/>
      <c r="M671" s="88"/>
      <c r="N671" s="88"/>
      <c r="O671" s="88"/>
      <c r="P671" s="88"/>
      <c r="Q671" s="88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</row>
    <row r="672" spans="1:32" ht="24" customHeight="1">
      <c r="A672" s="19"/>
      <c r="B672" s="58"/>
      <c r="C672" s="59"/>
      <c r="D672" s="59"/>
      <c r="E672" s="59"/>
      <c r="F672" s="60"/>
      <c r="G672" s="85"/>
      <c r="H672" s="59"/>
      <c r="I672" s="86"/>
      <c r="J672" s="105"/>
      <c r="K672" s="88"/>
      <c r="L672" s="88"/>
      <c r="M672" s="88"/>
      <c r="N672" s="88"/>
      <c r="O672" s="88"/>
      <c r="P672" s="88"/>
      <c r="Q672" s="88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</row>
    <row r="673" spans="1:32" ht="24" customHeight="1">
      <c r="A673" s="19"/>
      <c r="B673" s="58"/>
      <c r="C673" s="59"/>
      <c r="D673" s="59"/>
      <c r="E673" s="59"/>
      <c r="F673" s="60"/>
      <c r="G673" s="85"/>
      <c r="H673" s="59"/>
      <c r="I673" s="86"/>
      <c r="J673" s="105"/>
      <c r="K673" s="88"/>
      <c r="L673" s="88"/>
      <c r="M673" s="88"/>
      <c r="N673" s="88"/>
      <c r="O673" s="88"/>
      <c r="P673" s="88"/>
      <c r="Q673" s="88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</row>
    <row r="674" spans="1:32" ht="24" customHeight="1">
      <c r="A674" s="19"/>
      <c r="B674" s="58"/>
      <c r="C674" s="59"/>
      <c r="D674" s="59"/>
      <c r="E674" s="59"/>
      <c r="F674" s="60"/>
      <c r="G674" s="85"/>
      <c r="H674" s="59"/>
      <c r="I674" s="86"/>
      <c r="J674" s="105"/>
      <c r="K674" s="88"/>
      <c r="L674" s="88"/>
      <c r="M674" s="88"/>
      <c r="N674" s="88"/>
      <c r="O674" s="88"/>
      <c r="P674" s="88"/>
      <c r="Q674" s="88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</row>
    <row r="675" spans="1:32" ht="24" customHeight="1">
      <c r="A675" s="19"/>
      <c r="B675" s="58"/>
      <c r="C675" s="59"/>
      <c r="D675" s="59"/>
      <c r="E675" s="59"/>
      <c r="F675" s="60"/>
      <c r="G675" s="85"/>
      <c r="H675" s="59"/>
      <c r="I675" s="86"/>
      <c r="J675" s="105"/>
      <c r="K675" s="88"/>
      <c r="L675" s="88"/>
      <c r="M675" s="88"/>
      <c r="N675" s="88"/>
      <c r="O675" s="88"/>
      <c r="P675" s="88"/>
      <c r="Q675" s="88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</row>
    <row r="676" spans="1:32" ht="24" customHeight="1">
      <c r="A676" s="19"/>
      <c r="B676" s="58"/>
      <c r="C676" s="59"/>
      <c r="D676" s="59"/>
      <c r="E676" s="59"/>
      <c r="F676" s="60"/>
      <c r="G676" s="85"/>
      <c r="H676" s="59"/>
      <c r="I676" s="86"/>
      <c r="J676" s="105"/>
      <c r="K676" s="88"/>
      <c r="L676" s="88"/>
      <c r="M676" s="88"/>
      <c r="N676" s="88"/>
      <c r="O676" s="88"/>
      <c r="P676" s="88"/>
      <c r="Q676" s="88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</row>
    <row r="677" spans="1:32" ht="24" customHeight="1">
      <c r="A677" s="19"/>
      <c r="B677" s="58"/>
      <c r="C677" s="59"/>
      <c r="D677" s="59"/>
      <c r="E677" s="59"/>
      <c r="F677" s="60"/>
      <c r="G677" s="85"/>
      <c r="H677" s="59"/>
      <c r="I677" s="86"/>
      <c r="J677" s="105"/>
      <c r="K677" s="88"/>
      <c r="L677" s="88"/>
      <c r="M677" s="88"/>
      <c r="N677" s="88"/>
      <c r="O677" s="88"/>
      <c r="P677" s="88"/>
      <c r="Q677" s="88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</row>
    <row r="678" spans="1:32" ht="24" customHeight="1">
      <c r="A678" s="19"/>
      <c r="B678" s="58"/>
      <c r="C678" s="59"/>
      <c r="D678" s="59"/>
      <c r="E678" s="59"/>
      <c r="F678" s="60"/>
      <c r="G678" s="85"/>
      <c r="H678" s="59"/>
      <c r="I678" s="86"/>
      <c r="J678" s="105"/>
      <c r="K678" s="88"/>
      <c r="L678" s="88"/>
      <c r="M678" s="88"/>
      <c r="N678" s="88"/>
      <c r="O678" s="88"/>
      <c r="P678" s="88"/>
      <c r="Q678" s="88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</row>
    <row r="679" spans="1:32" ht="24" customHeight="1">
      <c r="A679" s="19"/>
      <c r="B679" s="58"/>
      <c r="C679" s="59"/>
      <c r="D679" s="59"/>
      <c r="E679" s="59"/>
      <c r="F679" s="60"/>
      <c r="G679" s="85"/>
      <c r="H679" s="59"/>
      <c r="I679" s="86"/>
      <c r="J679" s="105"/>
      <c r="K679" s="88"/>
      <c r="L679" s="88"/>
      <c r="M679" s="88"/>
      <c r="N679" s="88"/>
      <c r="O679" s="88"/>
      <c r="P679" s="88"/>
      <c r="Q679" s="88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</row>
    <row r="680" spans="1:32" ht="24" customHeight="1">
      <c r="A680" s="19"/>
      <c r="B680" s="58"/>
      <c r="C680" s="59"/>
      <c r="D680" s="59"/>
      <c r="E680" s="59"/>
      <c r="F680" s="60"/>
      <c r="G680" s="85"/>
      <c r="H680" s="59"/>
      <c r="I680" s="86"/>
      <c r="J680" s="105"/>
      <c r="K680" s="88"/>
      <c r="L680" s="88"/>
      <c r="M680" s="88"/>
      <c r="N680" s="88"/>
      <c r="O680" s="88"/>
      <c r="P680" s="88"/>
      <c r="Q680" s="88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</row>
    <row r="681" spans="1:32" ht="24" customHeight="1">
      <c r="A681" s="19"/>
      <c r="B681" s="58"/>
      <c r="C681" s="59"/>
      <c r="D681" s="59"/>
      <c r="E681" s="59"/>
      <c r="F681" s="60"/>
      <c r="G681" s="85"/>
      <c r="H681" s="59"/>
      <c r="I681" s="86"/>
      <c r="J681" s="105"/>
      <c r="K681" s="88"/>
      <c r="L681" s="88"/>
      <c r="M681" s="88"/>
      <c r="N681" s="88"/>
      <c r="O681" s="88"/>
      <c r="P681" s="88"/>
      <c r="Q681" s="88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</row>
    <row r="682" spans="1:32" ht="24" customHeight="1">
      <c r="A682" s="19"/>
      <c r="B682" s="58"/>
      <c r="C682" s="59"/>
      <c r="D682" s="59"/>
      <c r="E682" s="59"/>
      <c r="F682" s="60"/>
      <c r="G682" s="85"/>
      <c r="H682" s="59"/>
      <c r="I682" s="86"/>
      <c r="J682" s="105"/>
      <c r="K682" s="88"/>
      <c r="L682" s="88"/>
      <c r="M682" s="88"/>
      <c r="N682" s="88"/>
      <c r="O682" s="88"/>
      <c r="P682" s="88"/>
      <c r="Q682" s="88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</row>
    <row r="683" spans="1:32" ht="24" customHeight="1">
      <c r="A683" s="19"/>
      <c r="B683" s="58"/>
      <c r="C683" s="59"/>
      <c r="D683" s="59"/>
      <c r="E683" s="59"/>
      <c r="F683" s="60"/>
      <c r="G683" s="85"/>
      <c r="H683" s="59"/>
      <c r="I683" s="86"/>
      <c r="J683" s="105"/>
      <c r="K683" s="88"/>
      <c r="L683" s="88"/>
      <c r="M683" s="88"/>
      <c r="N683" s="88"/>
      <c r="O683" s="88"/>
      <c r="P683" s="88"/>
      <c r="Q683" s="88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</row>
    <row r="684" spans="1:32" ht="24" customHeight="1">
      <c r="A684" s="19"/>
      <c r="B684" s="58"/>
      <c r="C684" s="59"/>
      <c r="D684" s="59"/>
      <c r="E684" s="59"/>
      <c r="F684" s="60"/>
      <c r="G684" s="85"/>
      <c r="H684" s="59"/>
      <c r="I684" s="86"/>
      <c r="J684" s="105"/>
      <c r="K684" s="88"/>
      <c r="L684" s="88"/>
      <c r="M684" s="88"/>
      <c r="N684" s="88"/>
      <c r="O684" s="88"/>
      <c r="P684" s="88"/>
      <c r="Q684" s="88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</row>
    <row r="685" spans="1:32" ht="24" customHeight="1">
      <c r="A685" s="19"/>
      <c r="B685" s="58"/>
      <c r="C685" s="59"/>
      <c r="D685" s="59"/>
      <c r="E685" s="59"/>
      <c r="F685" s="60"/>
      <c r="G685" s="85"/>
      <c r="H685" s="59"/>
      <c r="I685" s="86"/>
      <c r="J685" s="105"/>
      <c r="K685" s="88"/>
      <c r="L685" s="88"/>
      <c r="M685" s="88"/>
      <c r="N685" s="88"/>
      <c r="O685" s="88"/>
      <c r="P685" s="88"/>
      <c r="Q685" s="88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</row>
    <row r="686" spans="1:32" ht="24" customHeight="1">
      <c r="A686" s="19"/>
      <c r="B686" s="58"/>
      <c r="C686" s="59"/>
      <c r="D686" s="59"/>
      <c r="E686" s="59"/>
      <c r="F686" s="60"/>
      <c r="G686" s="85"/>
      <c r="H686" s="59"/>
      <c r="I686" s="86"/>
      <c r="J686" s="105"/>
      <c r="K686" s="88"/>
      <c r="L686" s="88"/>
      <c r="M686" s="88"/>
      <c r="N686" s="88"/>
      <c r="O686" s="88"/>
      <c r="P686" s="88"/>
      <c r="Q686" s="88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</row>
    <row r="687" spans="1:32" ht="24" customHeight="1">
      <c r="A687" s="19"/>
      <c r="B687" s="58"/>
      <c r="C687" s="59"/>
      <c r="D687" s="59"/>
      <c r="E687" s="59"/>
      <c r="F687" s="60"/>
      <c r="G687" s="85"/>
      <c r="H687" s="59"/>
      <c r="I687" s="86"/>
      <c r="J687" s="105"/>
      <c r="K687" s="88"/>
      <c r="L687" s="88"/>
      <c r="M687" s="88"/>
      <c r="N687" s="88"/>
      <c r="O687" s="88"/>
      <c r="P687" s="88"/>
      <c r="Q687" s="88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</row>
    <row r="688" spans="1:32" ht="24" customHeight="1">
      <c r="A688" s="19"/>
      <c r="B688" s="58"/>
      <c r="C688" s="59"/>
      <c r="D688" s="59"/>
      <c r="E688" s="59"/>
      <c r="F688" s="60"/>
      <c r="G688" s="85"/>
      <c r="H688" s="59"/>
      <c r="I688" s="86"/>
      <c r="J688" s="105"/>
      <c r="K688" s="88"/>
      <c r="L688" s="88"/>
      <c r="M688" s="88"/>
      <c r="N688" s="88"/>
      <c r="O688" s="88"/>
      <c r="P688" s="88"/>
      <c r="Q688" s="88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</row>
    <row r="689" spans="1:32" ht="24" customHeight="1">
      <c r="A689" s="19"/>
      <c r="B689" s="58"/>
      <c r="C689" s="59"/>
      <c r="D689" s="59"/>
      <c r="E689" s="59"/>
      <c r="F689" s="60"/>
      <c r="G689" s="85"/>
      <c r="H689" s="59"/>
      <c r="I689" s="86"/>
      <c r="J689" s="105"/>
      <c r="K689" s="88"/>
      <c r="L689" s="88"/>
      <c r="M689" s="88"/>
      <c r="N689" s="88"/>
      <c r="O689" s="88"/>
      <c r="P689" s="88"/>
      <c r="Q689" s="88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</row>
    <row r="690" spans="1:32" ht="24" customHeight="1">
      <c r="A690" s="19"/>
      <c r="B690" s="58"/>
      <c r="C690" s="59"/>
      <c r="D690" s="59"/>
      <c r="E690" s="59"/>
      <c r="F690" s="60"/>
      <c r="G690" s="85"/>
      <c r="H690" s="59"/>
      <c r="I690" s="86"/>
      <c r="J690" s="105"/>
      <c r="K690" s="88"/>
      <c r="L690" s="88"/>
      <c r="M690" s="88"/>
      <c r="N690" s="88"/>
      <c r="O690" s="88"/>
      <c r="P690" s="88"/>
      <c r="Q690" s="88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</row>
    <row r="691" spans="1:32" ht="24" customHeight="1">
      <c r="A691" s="19"/>
      <c r="B691" s="58"/>
      <c r="C691" s="59"/>
      <c r="D691" s="59"/>
      <c r="E691" s="59"/>
      <c r="F691" s="60"/>
      <c r="G691" s="85"/>
      <c r="H691" s="59"/>
      <c r="I691" s="86"/>
      <c r="J691" s="105"/>
      <c r="K691" s="88"/>
      <c r="L691" s="88"/>
      <c r="M691" s="88"/>
      <c r="N691" s="88"/>
      <c r="O691" s="88"/>
      <c r="P691" s="88"/>
      <c r="Q691" s="88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</row>
    <row r="692" spans="1:32" ht="24" customHeight="1">
      <c r="A692" s="19"/>
      <c r="B692" s="58"/>
      <c r="C692" s="59"/>
      <c r="D692" s="59"/>
      <c r="E692" s="59"/>
      <c r="F692" s="60"/>
      <c r="G692" s="85"/>
      <c r="H692" s="59"/>
      <c r="I692" s="86"/>
      <c r="J692" s="105"/>
      <c r="K692" s="88"/>
      <c r="L692" s="88"/>
      <c r="M692" s="88"/>
      <c r="N692" s="88"/>
      <c r="O692" s="88"/>
      <c r="P692" s="88"/>
      <c r="Q692" s="88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</row>
    <row r="693" spans="1:32" ht="24" customHeight="1">
      <c r="A693" s="19"/>
      <c r="B693" s="58"/>
      <c r="C693" s="59"/>
      <c r="D693" s="59"/>
      <c r="E693" s="59"/>
      <c r="F693" s="60"/>
      <c r="G693" s="85"/>
      <c r="H693" s="59"/>
      <c r="I693" s="86"/>
      <c r="J693" s="105"/>
      <c r="K693" s="88"/>
      <c r="L693" s="88"/>
      <c r="M693" s="88"/>
      <c r="N693" s="88"/>
      <c r="O693" s="88"/>
      <c r="P693" s="88"/>
      <c r="Q693" s="88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</row>
    <row r="694" spans="1:32" ht="24" customHeight="1">
      <c r="A694" s="19"/>
      <c r="B694" s="58"/>
      <c r="C694" s="59"/>
      <c r="D694" s="59"/>
      <c r="E694" s="59"/>
      <c r="F694" s="60"/>
      <c r="G694" s="85"/>
      <c r="H694" s="59"/>
      <c r="I694" s="86"/>
      <c r="J694" s="105"/>
      <c r="K694" s="88"/>
      <c r="L694" s="88"/>
      <c r="M694" s="88"/>
      <c r="N694" s="88"/>
      <c r="O694" s="88"/>
      <c r="P694" s="88"/>
      <c r="Q694" s="88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</row>
    <row r="695" spans="1:32" ht="24" customHeight="1">
      <c r="A695" s="19"/>
      <c r="B695" s="58"/>
      <c r="C695" s="59"/>
      <c r="D695" s="59"/>
      <c r="E695" s="59"/>
      <c r="F695" s="60"/>
      <c r="G695" s="85"/>
      <c r="H695" s="59"/>
      <c r="I695" s="86"/>
      <c r="J695" s="105"/>
      <c r="K695" s="88"/>
      <c r="L695" s="88"/>
      <c r="M695" s="88"/>
      <c r="N695" s="88"/>
      <c r="O695" s="88"/>
      <c r="P695" s="88"/>
      <c r="Q695" s="88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</row>
    <row r="696" spans="1:32" ht="24" customHeight="1">
      <c r="A696" s="19"/>
      <c r="B696" s="58"/>
      <c r="C696" s="59"/>
      <c r="D696" s="59"/>
      <c r="E696" s="59"/>
      <c r="F696" s="60"/>
      <c r="G696" s="85"/>
      <c r="H696" s="59"/>
      <c r="I696" s="86"/>
      <c r="J696" s="105"/>
      <c r="K696" s="88"/>
      <c r="L696" s="88"/>
      <c r="M696" s="88"/>
      <c r="N696" s="88"/>
      <c r="O696" s="88"/>
      <c r="P696" s="88"/>
      <c r="Q696" s="88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</row>
    <row r="697" spans="1:32" ht="24" customHeight="1">
      <c r="A697" s="19"/>
      <c r="B697" s="58"/>
      <c r="C697" s="59"/>
      <c r="D697" s="59"/>
      <c r="E697" s="59"/>
      <c r="F697" s="60"/>
      <c r="G697" s="85"/>
      <c r="H697" s="59"/>
      <c r="I697" s="86"/>
      <c r="J697" s="105"/>
      <c r="K697" s="88"/>
      <c r="L697" s="88"/>
      <c r="M697" s="88"/>
      <c r="N697" s="88"/>
      <c r="O697" s="88"/>
      <c r="P697" s="88"/>
      <c r="Q697" s="88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</row>
    <row r="698" spans="1:32" ht="24" customHeight="1">
      <c r="A698" s="19"/>
      <c r="B698" s="58"/>
      <c r="C698" s="59"/>
      <c r="D698" s="59"/>
      <c r="E698" s="59"/>
      <c r="F698" s="60"/>
      <c r="G698" s="85"/>
      <c r="H698" s="59"/>
      <c r="I698" s="86"/>
      <c r="J698" s="105"/>
      <c r="K698" s="88"/>
      <c r="L698" s="88"/>
      <c r="M698" s="88"/>
      <c r="N698" s="88"/>
      <c r="O698" s="88"/>
      <c r="P698" s="88"/>
      <c r="Q698" s="88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</row>
    <row r="699" spans="1:32" ht="24" customHeight="1">
      <c r="A699" s="19"/>
      <c r="B699" s="58"/>
      <c r="C699" s="59"/>
      <c r="D699" s="59"/>
      <c r="E699" s="59"/>
      <c r="F699" s="60"/>
      <c r="G699" s="85"/>
      <c r="H699" s="59"/>
      <c r="I699" s="86"/>
      <c r="J699" s="105"/>
      <c r="K699" s="88"/>
      <c r="L699" s="88"/>
      <c r="M699" s="88"/>
      <c r="N699" s="88"/>
      <c r="O699" s="88"/>
      <c r="P699" s="88"/>
      <c r="Q699" s="88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</row>
    <row r="700" spans="1:32" ht="24" customHeight="1">
      <c r="A700" s="19"/>
      <c r="B700" s="58"/>
      <c r="C700" s="59"/>
      <c r="D700" s="59"/>
      <c r="E700" s="59"/>
      <c r="F700" s="60"/>
      <c r="G700" s="85"/>
      <c r="H700" s="59"/>
      <c r="I700" s="86"/>
      <c r="J700" s="105"/>
      <c r="K700" s="88"/>
      <c r="L700" s="88"/>
      <c r="M700" s="88"/>
      <c r="N700" s="88"/>
      <c r="O700" s="88"/>
      <c r="P700" s="88"/>
      <c r="Q700" s="88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</row>
    <row r="701" spans="1:32" ht="24" customHeight="1">
      <c r="A701" s="19"/>
      <c r="B701" s="58"/>
      <c r="C701" s="59"/>
      <c r="D701" s="59"/>
      <c r="E701" s="59"/>
      <c r="F701" s="60"/>
      <c r="G701" s="85"/>
      <c r="H701" s="59"/>
      <c r="I701" s="86"/>
      <c r="J701" s="105"/>
      <c r="K701" s="88"/>
      <c r="L701" s="88"/>
      <c r="M701" s="88"/>
      <c r="N701" s="88"/>
      <c r="O701" s="88"/>
      <c r="P701" s="88"/>
      <c r="Q701" s="88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</row>
    <row r="702" spans="1:32" ht="24" customHeight="1">
      <c r="A702" s="19"/>
      <c r="B702" s="58"/>
      <c r="C702" s="59"/>
      <c r="D702" s="59"/>
      <c r="E702" s="59"/>
      <c r="F702" s="60"/>
      <c r="G702" s="85"/>
      <c r="H702" s="59"/>
      <c r="I702" s="86"/>
      <c r="J702" s="105"/>
      <c r="K702" s="88"/>
      <c r="L702" s="88"/>
      <c r="M702" s="88"/>
      <c r="N702" s="88"/>
      <c r="O702" s="88"/>
      <c r="P702" s="88"/>
      <c r="Q702" s="88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</row>
    <row r="703" spans="1:32" ht="24" customHeight="1">
      <c r="A703" s="19"/>
      <c r="B703" s="58"/>
      <c r="C703" s="59"/>
      <c r="D703" s="59"/>
      <c r="E703" s="59"/>
      <c r="F703" s="60"/>
      <c r="G703" s="85"/>
      <c r="H703" s="59"/>
      <c r="I703" s="86"/>
      <c r="J703" s="105"/>
      <c r="K703" s="88"/>
      <c r="L703" s="88"/>
      <c r="M703" s="88"/>
      <c r="N703" s="88"/>
      <c r="O703" s="88"/>
      <c r="P703" s="88"/>
      <c r="Q703" s="88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</row>
    <row r="704" spans="1:32" ht="24" customHeight="1">
      <c r="A704" s="19"/>
      <c r="B704" s="58"/>
      <c r="C704" s="59"/>
      <c r="D704" s="59"/>
      <c r="E704" s="59"/>
      <c r="F704" s="60"/>
      <c r="G704" s="85"/>
      <c r="H704" s="59"/>
      <c r="I704" s="86"/>
      <c r="J704" s="105"/>
      <c r="K704" s="88"/>
      <c r="L704" s="88"/>
      <c r="M704" s="88"/>
      <c r="N704" s="88"/>
      <c r="O704" s="88"/>
      <c r="P704" s="88"/>
      <c r="Q704" s="88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</row>
    <row r="705" spans="1:32" ht="24" customHeight="1">
      <c r="A705" s="19"/>
      <c r="B705" s="58"/>
      <c r="C705" s="59"/>
      <c r="D705" s="59"/>
      <c r="E705" s="59"/>
      <c r="F705" s="60"/>
      <c r="G705" s="85"/>
      <c r="H705" s="59"/>
      <c r="I705" s="86"/>
      <c r="J705" s="105"/>
      <c r="K705" s="88"/>
      <c r="L705" s="88"/>
      <c r="M705" s="88"/>
      <c r="N705" s="88"/>
      <c r="O705" s="88"/>
      <c r="P705" s="88"/>
      <c r="Q705" s="88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</row>
    <row r="706" spans="1:32" ht="24" customHeight="1">
      <c r="A706" s="19"/>
      <c r="B706" s="58"/>
      <c r="C706" s="59"/>
      <c r="D706" s="59"/>
      <c r="E706" s="59"/>
      <c r="F706" s="60"/>
      <c r="G706" s="85"/>
      <c r="H706" s="59"/>
      <c r="I706" s="86"/>
      <c r="J706" s="105"/>
      <c r="K706" s="88"/>
      <c r="L706" s="88"/>
      <c r="M706" s="88"/>
      <c r="N706" s="88"/>
      <c r="O706" s="88"/>
      <c r="P706" s="88"/>
      <c r="Q706" s="88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</row>
    <row r="707" spans="1:32" ht="24" customHeight="1">
      <c r="A707" s="19"/>
      <c r="B707" s="58"/>
      <c r="C707" s="59"/>
      <c r="D707" s="59"/>
      <c r="E707" s="59"/>
      <c r="F707" s="60"/>
      <c r="G707" s="85"/>
      <c r="H707" s="59"/>
      <c r="I707" s="86"/>
      <c r="J707" s="105"/>
      <c r="K707" s="88"/>
      <c r="L707" s="88"/>
      <c r="M707" s="88"/>
      <c r="N707" s="88"/>
      <c r="O707" s="88"/>
      <c r="P707" s="88"/>
      <c r="Q707" s="88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</row>
    <row r="708" spans="1:32" ht="24" customHeight="1">
      <c r="A708" s="19"/>
      <c r="B708" s="58"/>
      <c r="C708" s="59"/>
      <c r="D708" s="59"/>
      <c r="E708" s="59"/>
      <c r="F708" s="60"/>
      <c r="G708" s="85"/>
      <c r="H708" s="59"/>
      <c r="I708" s="86"/>
      <c r="J708" s="105"/>
      <c r="K708" s="88"/>
      <c r="L708" s="88"/>
      <c r="M708" s="88"/>
      <c r="N708" s="88"/>
      <c r="O708" s="88"/>
      <c r="P708" s="88"/>
      <c r="Q708" s="88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</row>
    <row r="709" spans="1:32" ht="24" customHeight="1">
      <c r="A709" s="19"/>
      <c r="B709" s="58"/>
      <c r="C709" s="59"/>
      <c r="D709" s="59"/>
      <c r="E709" s="59"/>
      <c r="F709" s="60"/>
      <c r="G709" s="85"/>
      <c r="H709" s="59"/>
      <c r="I709" s="86"/>
      <c r="J709" s="105"/>
      <c r="K709" s="88"/>
      <c r="L709" s="88"/>
      <c r="M709" s="88"/>
      <c r="N709" s="88"/>
      <c r="O709" s="88"/>
      <c r="P709" s="88"/>
      <c r="Q709" s="88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</row>
    <row r="710" spans="1:32" ht="24" customHeight="1">
      <c r="A710" s="19"/>
      <c r="B710" s="58"/>
      <c r="C710" s="59"/>
      <c r="D710" s="59"/>
      <c r="E710" s="59"/>
      <c r="F710" s="60"/>
      <c r="G710" s="85"/>
      <c r="H710" s="59"/>
      <c r="I710" s="86"/>
      <c r="J710" s="105"/>
      <c r="K710" s="88"/>
      <c r="L710" s="88"/>
      <c r="M710" s="88"/>
      <c r="N710" s="88"/>
      <c r="O710" s="88"/>
      <c r="P710" s="88"/>
      <c r="Q710" s="88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</row>
    <row r="711" spans="1:32" ht="24" customHeight="1">
      <c r="A711" s="19"/>
      <c r="B711" s="58"/>
      <c r="C711" s="59"/>
      <c r="D711" s="59"/>
      <c r="E711" s="59"/>
      <c r="F711" s="60"/>
      <c r="G711" s="85"/>
      <c r="H711" s="59"/>
      <c r="I711" s="86"/>
      <c r="J711" s="105"/>
      <c r="K711" s="88"/>
      <c r="L711" s="88"/>
      <c r="M711" s="88"/>
      <c r="N711" s="88"/>
      <c r="O711" s="88"/>
      <c r="P711" s="88"/>
      <c r="Q711" s="88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</row>
    <row r="712" spans="1:32" ht="24" customHeight="1">
      <c r="A712" s="19"/>
      <c r="B712" s="58"/>
      <c r="C712" s="59"/>
      <c r="D712" s="59"/>
      <c r="E712" s="59"/>
      <c r="F712" s="60"/>
      <c r="G712" s="85"/>
      <c r="H712" s="59"/>
      <c r="I712" s="86"/>
      <c r="J712" s="105"/>
      <c r="K712" s="88"/>
      <c r="L712" s="88"/>
      <c r="M712" s="88"/>
      <c r="N712" s="88"/>
      <c r="O712" s="88"/>
      <c r="P712" s="88"/>
      <c r="Q712" s="88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</row>
    <row r="713" spans="1:32" ht="24" customHeight="1">
      <c r="A713" s="19"/>
      <c r="B713" s="58"/>
      <c r="C713" s="59"/>
      <c r="D713" s="59"/>
      <c r="E713" s="59"/>
      <c r="F713" s="60"/>
      <c r="G713" s="85"/>
      <c r="H713" s="59"/>
      <c r="I713" s="86"/>
      <c r="J713" s="105"/>
      <c r="K713" s="88"/>
      <c r="L713" s="88"/>
      <c r="M713" s="88"/>
      <c r="N713" s="88"/>
      <c r="O713" s="88"/>
      <c r="P713" s="88"/>
      <c r="Q713" s="88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</row>
    <row r="714" spans="1:32" ht="24" customHeight="1">
      <c r="A714" s="19"/>
      <c r="B714" s="58"/>
      <c r="C714" s="59"/>
      <c r="D714" s="59"/>
      <c r="E714" s="59"/>
      <c r="F714" s="60"/>
      <c r="G714" s="85"/>
      <c r="H714" s="59"/>
      <c r="I714" s="86"/>
      <c r="J714" s="105"/>
      <c r="K714" s="88"/>
      <c r="L714" s="88"/>
      <c r="M714" s="88"/>
      <c r="N714" s="88"/>
      <c r="O714" s="88"/>
      <c r="P714" s="88"/>
      <c r="Q714" s="88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</row>
    <row r="715" spans="1:32" ht="24" customHeight="1">
      <c r="A715" s="19"/>
      <c r="B715" s="58"/>
      <c r="C715" s="59"/>
      <c r="D715" s="59"/>
      <c r="E715" s="59"/>
      <c r="F715" s="60"/>
      <c r="G715" s="85"/>
      <c r="H715" s="59"/>
      <c r="I715" s="86"/>
      <c r="J715" s="105"/>
      <c r="K715" s="88"/>
      <c r="L715" s="88"/>
      <c r="M715" s="88"/>
      <c r="N715" s="88"/>
      <c r="O715" s="88"/>
      <c r="P715" s="88"/>
      <c r="Q715" s="88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</row>
    <row r="716" spans="1:32" ht="24" customHeight="1">
      <c r="A716" s="19"/>
      <c r="B716" s="58"/>
      <c r="C716" s="59"/>
      <c r="D716" s="59"/>
      <c r="E716" s="59"/>
      <c r="F716" s="60"/>
      <c r="G716" s="85"/>
      <c r="H716" s="59"/>
      <c r="I716" s="86"/>
      <c r="J716" s="105"/>
      <c r="K716" s="88"/>
      <c r="L716" s="88"/>
      <c r="M716" s="88"/>
      <c r="N716" s="88"/>
      <c r="O716" s="88"/>
      <c r="P716" s="88"/>
      <c r="Q716" s="88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</row>
    <row r="717" spans="1:32" ht="24" customHeight="1">
      <c r="A717" s="19"/>
      <c r="B717" s="58"/>
      <c r="C717" s="59"/>
      <c r="D717" s="59"/>
      <c r="E717" s="59"/>
      <c r="F717" s="60"/>
      <c r="G717" s="85"/>
      <c r="H717" s="59"/>
      <c r="I717" s="86"/>
      <c r="J717" s="105"/>
      <c r="K717" s="88"/>
      <c r="L717" s="88"/>
      <c r="M717" s="88"/>
      <c r="N717" s="88"/>
      <c r="O717" s="88"/>
      <c r="P717" s="88"/>
      <c r="Q717" s="88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</row>
    <row r="718" spans="1:32" ht="24" customHeight="1">
      <c r="A718" s="19"/>
      <c r="B718" s="58"/>
      <c r="C718" s="59"/>
      <c r="D718" s="59"/>
      <c r="E718" s="59"/>
      <c r="F718" s="60"/>
      <c r="G718" s="85"/>
      <c r="H718" s="59"/>
      <c r="I718" s="86"/>
      <c r="J718" s="105"/>
      <c r="K718" s="88"/>
      <c r="L718" s="88"/>
      <c r="M718" s="88"/>
      <c r="N718" s="88"/>
      <c r="O718" s="88"/>
      <c r="P718" s="88"/>
      <c r="Q718" s="88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</row>
    <row r="719" spans="1:32" ht="24" customHeight="1">
      <c r="A719" s="19"/>
      <c r="B719" s="58"/>
      <c r="C719" s="59"/>
      <c r="D719" s="59"/>
      <c r="E719" s="59"/>
      <c r="F719" s="60"/>
      <c r="G719" s="85"/>
      <c r="H719" s="59"/>
      <c r="I719" s="86"/>
      <c r="J719" s="105"/>
      <c r="K719" s="88"/>
      <c r="L719" s="88"/>
      <c r="M719" s="88"/>
      <c r="N719" s="88"/>
      <c r="O719" s="88"/>
      <c r="P719" s="88"/>
      <c r="Q719" s="88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</row>
    <row r="720" spans="1:32" ht="24" customHeight="1">
      <c r="A720" s="19"/>
      <c r="B720" s="58"/>
      <c r="C720" s="59"/>
      <c r="D720" s="59"/>
      <c r="E720" s="59"/>
      <c r="F720" s="60"/>
      <c r="G720" s="85"/>
      <c r="H720" s="59"/>
      <c r="I720" s="86"/>
      <c r="J720" s="105"/>
      <c r="K720" s="88"/>
      <c r="L720" s="88"/>
      <c r="M720" s="88"/>
      <c r="N720" s="88"/>
      <c r="O720" s="88"/>
      <c r="P720" s="88"/>
      <c r="Q720" s="88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</row>
    <row r="721" spans="1:32" ht="24" customHeight="1">
      <c r="A721" s="19"/>
      <c r="B721" s="58"/>
      <c r="C721" s="59"/>
      <c r="D721" s="59"/>
      <c r="E721" s="59"/>
      <c r="F721" s="60"/>
      <c r="G721" s="85"/>
      <c r="H721" s="59"/>
      <c r="I721" s="86"/>
      <c r="J721" s="105"/>
      <c r="K721" s="88"/>
      <c r="L721" s="88"/>
      <c r="M721" s="88"/>
      <c r="N721" s="88"/>
      <c r="O721" s="88"/>
      <c r="P721" s="88"/>
      <c r="Q721" s="88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</row>
    <row r="722" spans="1:32" ht="24" customHeight="1">
      <c r="A722" s="19"/>
      <c r="B722" s="58"/>
      <c r="C722" s="59"/>
      <c r="D722" s="59"/>
      <c r="E722" s="59"/>
      <c r="F722" s="60"/>
      <c r="G722" s="85"/>
      <c r="H722" s="59"/>
      <c r="I722" s="86"/>
      <c r="J722" s="105"/>
      <c r="K722" s="88"/>
      <c r="L722" s="88"/>
      <c r="M722" s="88"/>
      <c r="N722" s="88"/>
      <c r="O722" s="88"/>
      <c r="P722" s="88"/>
      <c r="Q722" s="88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</row>
    <row r="723" spans="1:32" ht="24" customHeight="1">
      <c r="A723" s="19"/>
      <c r="B723" s="58"/>
      <c r="C723" s="59"/>
      <c r="D723" s="59"/>
      <c r="E723" s="59"/>
      <c r="F723" s="60"/>
      <c r="G723" s="85"/>
      <c r="H723" s="59"/>
      <c r="I723" s="86"/>
      <c r="J723" s="105"/>
      <c r="K723" s="88"/>
      <c r="L723" s="88"/>
      <c r="M723" s="88"/>
      <c r="N723" s="88"/>
      <c r="O723" s="88"/>
      <c r="P723" s="88"/>
      <c r="Q723" s="88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</row>
    <row r="724" spans="1:32" ht="24" customHeight="1">
      <c r="A724" s="19"/>
      <c r="B724" s="58"/>
      <c r="C724" s="59"/>
      <c r="D724" s="59"/>
      <c r="E724" s="59"/>
      <c r="F724" s="60"/>
      <c r="G724" s="85"/>
      <c r="H724" s="59"/>
      <c r="I724" s="86"/>
      <c r="J724" s="105"/>
      <c r="K724" s="88"/>
      <c r="L724" s="88"/>
      <c r="M724" s="88"/>
      <c r="N724" s="88"/>
      <c r="O724" s="88"/>
      <c r="P724" s="88"/>
      <c r="Q724" s="88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</row>
    <row r="725" spans="1:32" ht="24" customHeight="1">
      <c r="A725" s="19"/>
      <c r="B725" s="58"/>
      <c r="C725" s="59"/>
      <c r="D725" s="59"/>
      <c r="E725" s="59"/>
      <c r="F725" s="60"/>
      <c r="G725" s="85"/>
      <c r="H725" s="59"/>
      <c r="I725" s="86"/>
      <c r="J725" s="105"/>
      <c r="K725" s="88"/>
      <c r="L725" s="88"/>
      <c r="M725" s="88"/>
      <c r="N725" s="88"/>
      <c r="O725" s="88"/>
      <c r="P725" s="88"/>
      <c r="Q725" s="88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</row>
    <row r="726" spans="1:32" ht="24" customHeight="1">
      <c r="A726" s="19"/>
      <c r="B726" s="58"/>
      <c r="C726" s="59"/>
      <c r="D726" s="59"/>
      <c r="E726" s="59"/>
      <c r="F726" s="60"/>
      <c r="G726" s="85"/>
      <c r="H726" s="59"/>
      <c r="I726" s="86"/>
      <c r="J726" s="105"/>
      <c r="K726" s="88"/>
      <c r="L726" s="88"/>
      <c r="M726" s="88"/>
      <c r="N726" s="88"/>
      <c r="O726" s="88"/>
      <c r="P726" s="88"/>
      <c r="Q726" s="88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</row>
    <row r="727" spans="1:32" ht="24" customHeight="1">
      <c r="A727" s="19"/>
      <c r="B727" s="58"/>
      <c r="C727" s="59"/>
      <c r="D727" s="59"/>
      <c r="E727" s="59"/>
      <c r="F727" s="60"/>
      <c r="G727" s="85"/>
      <c r="H727" s="59"/>
      <c r="I727" s="86"/>
      <c r="J727" s="105"/>
      <c r="K727" s="88"/>
      <c r="L727" s="88"/>
      <c r="M727" s="88"/>
      <c r="N727" s="88"/>
      <c r="O727" s="88"/>
      <c r="P727" s="88"/>
      <c r="Q727" s="88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</row>
    <row r="728" spans="1:32" ht="24" customHeight="1">
      <c r="A728" s="19"/>
      <c r="B728" s="58"/>
      <c r="C728" s="59"/>
      <c r="D728" s="59"/>
      <c r="E728" s="59"/>
      <c r="F728" s="60"/>
      <c r="G728" s="85"/>
      <c r="H728" s="59"/>
      <c r="I728" s="86"/>
      <c r="J728" s="105"/>
      <c r="K728" s="88"/>
      <c r="L728" s="88"/>
      <c r="M728" s="88"/>
      <c r="N728" s="88"/>
      <c r="O728" s="88"/>
      <c r="P728" s="88"/>
      <c r="Q728" s="88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</row>
    <row r="729" spans="1:32" ht="24" customHeight="1">
      <c r="A729" s="19"/>
      <c r="B729" s="58"/>
      <c r="C729" s="59"/>
      <c r="D729" s="59"/>
      <c r="E729" s="59"/>
      <c r="F729" s="60"/>
      <c r="G729" s="85"/>
      <c r="H729" s="59"/>
      <c r="I729" s="86"/>
      <c r="J729" s="105"/>
      <c r="K729" s="88"/>
      <c r="L729" s="88"/>
      <c r="M729" s="88"/>
      <c r="N729" s="88"/>
      <c r="O729" s="88"/>
      <c r="P729" s="88"/>
      <c r="Q729" s="88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</row>
    <row r="730" spans="1:32" ht="24" customHeight="1">
      <c r="A730" s="19"/>
      <c r="B730" s="58"/>
      <c r="C730" s="59"/>
      <c r="D730" s="59"/>
      <c r="E730" s="59"/>
      <c r="F730" s="60"/>
      <c r="G730" s="85"/>
      <c r="H730" s="59"/>
      <c r="I730" s="86"/>
      <c r="J730" s="105"/>
      <c r="K730" s="88"/>
      <c r="L730" s="88"/>
      <c r="M730" s="88"/>
      <c r="N730" s="88"/>
      <c r="O730" s="88"/>
      <c r="P730" s="88"/>
      <c r="Q730" s="88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</row>
    <row r="731" spans="1:32" ht="24" customHeight="1">
      <c r="A731" s="19"/>
      <c r="B731" s="58"/>
      <c r="C731" s="59"/>
      <c r="D731" s="59"/>
      <c r="E731" s="59"/>
      <c r="F731" s="60"/>
      <c r="G731" s="85"/>
      <c r="H731" s="59"/>
      <c r="I731" s="86"/>
      <c r="J731" s="105"/>
      <c r="K731" s="88"/>
      <c r="L731" s="88"/>
      <c r="M731" s="88"/>
      <c r="N731" s="88"/>
      <c r="O731" s="88"/>
      <c r="P731" s="88"/>
      <c r="Q731" s="88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</row>
    <row r="732" spans="1:32" ht="24" customHeight="1">
      <c r="A732" s="19"/>
      <c r="B732" s="58"/>
      <c r="C732" s="59"/>
      <c r="D732" s="59"/>
      <c r="E732" s="59"/>
      <c r="F732" s="60"/>
      <c r="G732" s="85"/>
      <c r="H732" s="59"/>
      <c r="I732" s="86"/>
      <c r="J732" s="105"/>
      <c r="K732" s="88"/>
      <c r="L732" s="88"/>
      <c r="M732" s="88"/>
      <c r="N732" s="88"/>
      <c r="O732" s="88"/>
      <c r="P732" s="88"/>
      <c r="Q732" s="88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</row>
    <row r="733" spans="1:32" ht="24" customHeight="1">
      <c r="A733" s="19"/>
      <c r="B733" s="58"/>
      <c r="C733" s="59"/>
      <c r="D733" s="59"/>
      <c r="E733" s="59"/>
      <c r="F733" s="60"/>
      <c r="G733" s="85"/>
      <c r="H733" s="59"/>
      <c r="I733" s="86"/>
      <c r="J733" s="105"/>
      <c r="K733" s="88"/>
      <c r="L733" s="88"/>
      <c r="M733" s="88"/>
      <c r="N733" s="88"/>
      <c r="O733" s="88"/>
      <c r="P733" s="88"/>
      <c r="Q733" s="88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</row>
    <row r="734" spans="1:32" ht="24" customHeight="1">
      <c r="A734" s="19"/>
      <c r="B734" s="58"/>
      <c r="C734" s="59"/>
      <c r="D734" s="59"/>
      <c r="E734" s="59"/>
      <c r="F734" s="60"/>
      <c r="G734" s="85"/>
      <c r="H734" s="59"/>
      <c r="I734" s="86"/>
      <c r="J734" s="105"/>
      <c r="K734" s="88"/>
      <c r="L734" s="88"/>
      <c r="M734" s="88"/>
      <c r="N734" s="88"/>
      <c r="O734" s="88"/>
      <c r="P734" s="88"/>
      <c r="Q734" s="88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</row>
    <row r="735" spans="1:32" ht="24" customHeight="1">
      <c r="A735" s="19"/>
      <c r="B735" s="58"/>
      <c r="C735" s="59"/>
      <c r="D735" s="59"/>
      <c r="E735" s="59"/>
      <c r="F735" s="60"/>
      <c r="G735" s="85"/>
      <c r="H735" s="59"/>
      <c r="I735" s="86"/>
      <c r="J735" s="105"/>
      <c r="K735" s="88"/>
      <c r="L735" s="88"/>
      <c r="M735" s="88"/>
      <c r="N735" s="88"/>
      <c r="O735" s="88"/>
      <c r="P735" s="88"/>
      <c r="Q735" s="88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</row>
    <row r="736" spans="1:32" ht="24" customHeight="1">
      <c r="A736" s="19"/>
      <c r="B736" s="58"/>
      <c r="C736" s="59"/>
      <c r="D736" s="59"/>
      <c r="E736" s="59"/>
      <c r="F736" s="60"/>
      <c r="G736" s="85"/>
      <c r="H736" s="59"/>
      <c r="I736" s="86"/>
      <c r="J736" s="105"/>
      <c r="K736" s="88"/>
      <c r="L736" s="88"/>
      <c r="M736" s="88"/>
      <c r="N736" s="88"/>
      <c r="O736" s="88"/>
      <c r="P736" s="88"/>
      <c r="Q736" s="88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</row>
    <row r="737" spans="1:32" ht="24" customHeight="1">
      <c r="A737" s="19"/>
      <c r="B737" s="58"/>
      <c r="C737" s="59"/>
      <c r="D737" s="59"/>
      <c r="E737" s="59"/>
      <c r="F737" s="60"/>
      <c r="G737" s="85"/>
      <c r="H737" s="59"/>
      <c r="I737" s="86"/>
      <c r="J737" s="105"/>
      <c r="K737" s="88"/>
      <c r="L737" s="88"/>
      <c r="M737" s="88"/>
      <c r="N737" s="88"/>
      <c r="O737" s="88"/>
      <c r="P737" s="88"/>
      <c r="Q737" s="88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</row>
    <row r="738" spans="1:32" ht="24" customHeight="1">
      <c r="A738" s="19"/>
      <c r="B738" s="58"/>
      <c r="C738" s="59"/>
      <c r="D738" s="59"/>
      <c r="E738" s="59"/>
      <c r="F738" s="60"/>
      <c r="G738" s="85"/>
      <c r="H738" s="59"/>
      <c r="I738" s="86"/>
      <c r="J738" s="105"/>
      <c r="K738" s="88"/>
      <c r="L738" s="88"/>
      <c r="M738" s="88"/>
      <c r="N738" s="88"/>
      <c r="O738" s="88"/>
      <c r="P738" s="88"/>
      <c r="Q738" s="88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</row>
    <row r="739" spans="1:32" ht="24" customHeight="1">
      <c r="A739" s="19"/>
      <c r="B739" s="58"/>
      <c r="C739" s="59"/>
      <c r="D739" s="59"/>
      <c r="E739" s="59"/>
      <c r="F739" s="60"/>
      <c r="G739" s="85"/>
      <c r="H739" s="59"/>
      <c r="I739" s="86"/>
      <c r="J739" s="105"/>
      <c r="K739" s="88"/>
      <c r="L739" s="88"/>
      <c r="M739" s="88"/>
      <c r="N739" s="88"/>
      <c r="O739" s="88"/>
      <c r="P739" s="88"/>
      <c r="Q739" s="88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</row>
    <row r="740" spans="1:32" ht="24" customHeight="1">
      <c r="A740" s="19"/>
      <c r="B740" s="58"/>
      <c r="C740" s="59"/>
      <c r="D740" s="59"/>
      <c r="E740" s="59"/>
      <c r="F740" s="60"/>
      <c r="G740" s="85"/>
      <c r="H740" s="59"/>
      <c r="I740" s="86"/>
      <c r="J740" s="105"/>
      <c r="K740" s="88"/>
      <c r="L740" s="88"/>
      <c r="M740" s="88"/>
      <c r="N740" s="88"/>
      <c r="O740" s="88"/>
      <c r="P740" s="88"/>
      <c r="Q740" s="88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</row>
    <row r="741" spans="1:32" ht="24" customHeight="1">
      <c r="A741" s="19"/>
      <c r="B741" s="58"/>
      <c r="C741" s="59"/>
      <c r="D741" s="59"/>
      <c r="E741" s="59"/>
      <c r="F741" s="60"/>
      <c r="G741" s="85"/>
      <c r="H741" s="59"/>
      <c r="I741" s="86"/>
      <c r="J741" s="105"/>
      <c r="K741" s="88"/>
      <c r="L741" s="88"/>
      <c r="M741" s="88"/>
      <c r="N741" s="88"/>
      <c r="O741" s="88"/>
      <c r="P741" s="88"/>
      <c r="Q741" s="88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</row>
    <row r="742" spans="1:32" ht="24" customHeight="1">
      <c r="A742" s="19"/>
      <c r="B742" s="58"/>
      <c r="C742" s="59"/>
      <c r="D742" s="59"/>
      <c r="E742" s="59"/>
      <c r="F742" s="60"/>
      <c r="G742" s="85"/>
      <c r="H742" s="59"/>
      <c r="I742" s="86"/>
      <c r="J742" s="105"/>
      <c r="K742" s="88"/>
      <c r="L742" s="88"/>
      <c r="M742" s="88"/>
      <c r="N742" s="88"/>
      <c r="O742" s="88"/>
      <c r="P742" s="88"/>
      <c r="Q742" s="88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</row>
    <row r="743" spans="1:32" ht="24" customHeight="1">
      <c r="A743" s="19"/>
      <c r="B743" s="58"/>
      <c r="C743" s="59"/>
      <c r="D743" s="59"/>
      <c r="E743" s="59"/>
      <c r="F743" s="60"/>
      <c r="G743" s="85"/>
      <c r="H743" s="59"/>
      <c r="I743" s="86"/>
      <c r="J743" s="105"/>
      <c r="K743" s="88"/>
      <c r="L743" s="88"/>
      <c r="M743" s="88"/>
      <c r="N743" s="88"/>
      <c r="O743" s="88"/>
      <c r="P743" s="88"/>
      <c r="Q743" s="88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</row>
    <row r="744" spans="1:32" ht="24" customHeight="1">
      <c r="A744" s="19"/>
      <c r="B744" s="58"/>
      <c r="C744" s="59"/>
      <c r="D744" s="59"/>
      <c r="E744" s="59"/>
      <c r="F744" s="60"/>
      <c r="G744" s="85"/>
      <c r="H744" s="59"/>
      <c r="I744" s="86"/>
      <c r="J744" s="105"/>
      <c r="K744" s="88"/>
      <c r="L744" s="88"/>
      <c r="M744" s="88"/>
      <c r="N744" s="88"/>
      <c r="O744" s="88"/>
      <c r="P744" s="88"/>
      <c r="Q744" s="88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</row>
    <row r="745" spans="1:32" ht="24" customHeight="1">
      <c r="A745" s="19"/>
      <c r="B745" s="58"/>
      <c r="C745" s="59"/>
      <c r="D745" s="59"/>
      <c r="E745" s="59"/>
      <c r="F745" s="60"/>
      <c r="G745" s="85"/>
      <c r="H745" s="59"/>
      <c r="I745" s="86"/>
      <c r="J745" s="105"/>
      <c r="K745" s="88"/>
      <c r="L745" s="88"/>
      <c r="M745" s="88"/>
      <c r="N745" s="88"/>
      <c r="O745" s="88"/>
      <c r="P745" s="88"/>
      <c r="Q745" s="88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</row>
    <row r="746" spans="1:32" ht="24" customHeight="1">
      <c r="A746" s="19"/>
      <c r="B746" s="58"/>
      <c r="C746" s="59"/>
      <c r="D746" s="59"/>
      <c r="E746" s="59"/>
      <c r="F746" s="60"/>
      <c r="G746" s="85"/>
      <c r="H746" s="59"/>
      <c r="I746" s="86"/>
      <c r="J746" s="105"/>
      <c r="K746" s="88"/>
      <c r="L746" s="88"/>
      <c r="M746" s="88"/>
      <c r="N746" s="88"/>
      <c r="O746" s="88"/>
      <c r="P746" s="88"/>
      <c r="Q746" s="88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</row>
    <row r="747" spans="1:32" ht="24" customHeight="1">
      <c r="A747" s="19"/>
      <c r="B747" s="58"/>
      <c r="C747" s="59"/>
      <c r="D747" s="59"/>
      <c r="E747" s="59"/>
      <c r="F747" s="60"/>
      <c r="G747" s="85"/>
      <c r="H747" s="59"/>
      <c r="I747" s="86"/>
      <c r="J747" s="105"/>
      <c r="K747" s="88"/>
      <c r="L747" s="88"/>
      <c r="M747" s="88"/>
      <c r="N747" s="88"/>
      <c r="O747" s="88"/>
      <c r="P747" s="88"/>
      <c r="Q747" s="88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</row>
    <row r="748" spans="1:32" ht="24" customHeight="1">
      <c r="A748" s="19"/>
      <c r="B748" s="58"/>
      <c r="C748" s="59"/>
      <c r="D748" s="59"/>
      <c r="E748" s="59"/>
      <c r="F748" s="60"/>
      <c r="G748" s="85"/>
      <c r="H748" s="59"/>
      <c r="I748" s="86"/>
      <c r="J748" s="105"/>
      <c r="K748" s="88"/>
      <c r="L748" s="88"/>
      <c r="M748" s="88"/>
      <c r="N748" s="88"/>
      <c r="O748" s="88"/>
      <c r="P748" s="88"/>
      <c r="Q748" s="88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</row>
    <row r="749" spans="1:32" ht="24" customHeight="1">
      <c r="A749" s="19"/>
      <c r="B749" s="58"/>
      <c r="C749" s="59"/>
      <c r="D749" s="59"/>
      <c r="E749" s="59"/>
      <c r="F749" s="60"/>
      <c r="G749" s="85"/>
      <c r="H749" s="59"/>
      <c r="I749" s="86"/>
      <c r="J749" s="105"/>
      <c r="K749" s="88"/>
      <c r="L749" s="88"/>
      <c r="M749" s="88"/>
      <c r="N749" s="88"/>
      <c r="O749" s="88"/>
      <c r="P749" s="88"/>
      <c r="Q749" s="88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</row>
    <row r="750" spans="1:32" ht="24" customHeight="1">
      <c r="A750" s="19"/>
      <c r="B750" s="58"/>
      <c r="C750" s="59"/>
      <c r="D750" s="59"/>
      <c r="E750" s="59"/>
      <c r="F750" s="60"/>
      <c r="G750" s="85"/>
      <c r="H750" s="59"/>
      <c r="I750" s="86"/>
      <c r="J750" s="105"/>
      <c r="K750" s="88"/>
      <c r="L750" s="88"/>
      <c r="M750" s="88"/>
      <c r="N750" s="88"/>
      <c r="O750" s="88"/>
      <c r="P750" s="88"/>
      <c r="Q750" s="88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</row>
    <row r="751" spans="1:32" ht="24" customHeight="1">
      <c r="A751" s="19"/>
      <c r="B751" s="58"/>
      <c r="C751" s="59"/>
      <c r="D751" s="59"/>
      <c r="E751" s="59"/>
      <c r="F751" s="60"/>
      <c r="G751" s="85"/>
      <c r="H751" s="59"/>
      <c r="I751" s="86"/>
      <c r="J751" s="105"/>
      <c r="K751" s="88"/>
      <c r="L751" s="88"/>
      <c r="M751" s="88"/>
      <c r="N751" s="88"/>
      <c r="O751" s="88"/>
      <c r="P751" s="88"/>
      <c r="Q751" s="88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</row>
    <row r="752" spans="1:32" ht="24" customHeight="1">
      <c r="A752" s="19"/>
      <c r="B752" s="58"/>
      <c r="C752" s="59"/>
      <c r="D752" s="59"/>
      <c r="E752" s="59"/>
      <c r="F752" s="60"/>
      <c r="G752" s="85"/>
      <c r="H752" s="59"/>
      <c r="I752" s="86"/>
      <c r="J752" s="105"/>
      <c r="K752" s="88"/>
      <c r="L752" s="88"/>
      <c r="M752" s="88"/>
      <c r="N752" s="88"/>
      <c r="O752" s="88"/>
      <c r="P752" s="88"/>
      <c r="Q752" s="88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</row>
    <row r="753" spans="1:32" ht="24" customHeight="1">
      <c r="A753" s="19"/>
      <c r="B753" s="58"/>
      <c r="C753" s="59"/>
      <c r="D753" s="59"/>
      <c r="E753" s="59"/>
      <c r="F753" s="60"/>
      <c r="G753" s="85"/>
      <c r="H753" s="59"/>
      <c r="I753" s="86"/>
      <c r="J753" s="105"/>
      <c r="K753" s="88"/>
      <c r="L753" s="88"/>
      <c r="M753" s="88"/>
      <c r="N753" s="88"/>
      <c r="O753" s="88"/>
      <c r="P753" s="88"/>
      <c r="Q753" s="88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</row>
    <row r="754" spans="1:32" ht="24" customHeight="1">
      <c r="A754" s="19"/>
      <c r="B754" s="58"/>
      <c r="C754" s="59"/>
      <c r="D754" s="59"/>
      <c r="E754" s="59"/>
      <c r="F754" s="60"/>
      <c r="G754" s="85"/>
      <c r="H754" s="59"/>
      <c r="I754" s="86"/>
      <c r="J754" s="105"/>
      <c r="K754" s="88"/>
      <c r="L754" s="88"/>
      <c r="M754" s="88"/>
      <c r="N754" s="88"/>
      <c r="O754" s="88"/>
      <c r="P754" s="88"/>
      <c r="Q754" s="88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</row>
    <row r="755" spans="1:32" ht="24" customHeight="1">
      <c r="A755" s="19"/>
      <c r="B755" s="58"/>
      <c r="C755" s="59"/>
      <c r="D755" s="59"/>
      <c r="E755" s="59"/>
      <c r="F755" s="60"/>
      <c r="G755" s="85"/>
      <c r="H755" s="59"/>
      <c r="I755" s="86"/>
      <c r="J755" s="105"/>
      <c r="K755" s="88"/>
      <c r="L755" s="88"/>
      <c r="M755" s="88"/>
      <c r="N755" s="88"/>
      <c r="O755" s="88"/>
      <c r="P755" s="88"/>
      <c r="Q755" s="88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</row>
    <row r="756" spans="1:32" ht="24" customHeight="1">
      <c r="A756" s="19"/>
      <c r="B756" s="58"/>
      <c r="C756" s="59"/>
      <c r="D756" s="59"/>
      <c r="E756" s="59"/>
      <c r="F756" s="60"/>
      <c r="G756" s="85"/>
      <c r="H756" s="59"/>
      <c r="I756" s="86"/>
      <c r="J756" s="105"/>
      <c r="K756" s="88"/>
      <c r="L756" s="88"/>
      <c r="M756" s="88"/>
      <c r="N756" s="88"/>
      <c r="O756" s="88"/>
      <c r="P756" s="88"/>
      <c r="Q756" s="88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</row>
    <row r="757" spans="1:32" ht="24" customHeight="1">
      <c r="A757" s="19"/>
      <c r="B757" s="58"/>
      <c r="C757" s="59"/>
      <c r="D757" s="59"/>
      <c r="E757" s="59"/>
      <c r="F757" s="60"/>
      <c r="G757" s="85"/>
      <c r="H757" s="59"/>
      <c r="I757" s="86"/>
      <c r="J757" s="105"/>
      <c r="K757" s="88"/>
      <c r="L757" s="88"/>
      <c r="M757" s="88"/>
      <c r="N757" s="88"/>
      <c r="O757" s="88"/>
      <c r="P757" s="88"/>
      <c r="Q757" s="88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</row>
    <row r="758" spans="1:32" ht="24" customHeight="1">
      <c r="A758" s="19"/>
      <c r="B758" s="58"/>
      <c r="C758" s="59"/>
      <c r="D758" s="59"/>
      <c r="E758" s="59"/>
      <c r="F758" s="60"/>
      <c r="G758" s="85"/>
      <c r="H758" s="59"/>
      <c r="I758" s="86"/>
      <c r="J758" s="105"/>
      <c r="K758" s="88"/>
      <c r="L758" s="88"/>
      <c r="M758" s="88"/>
      <c r="N758" s="88"/>
      <c r="O758" s="88"/>
      <c r="P758" s="88"/>
      <c r="Q758" s="88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</row>
    <row r="759" spans="1:32" ht="24" customHeight="1">
      <c r="A759" s="19"/>
      <c r="B759" s="58"/>
      <c r="C759" s="59"/>
      <c r="D759" s="59"/>
      <c r="E759" s="59"/>
      <c r="F759" s="60"/>
      <c r="G759" s="85"/>
      <c r="H759" s="59"/>
      <c r="I759" s="86"/>
      <c r="J759" s="105"/>
      <c r="K759" s="88"/>
      <c r="L759" s="88"/>
      <c r="M759" s="88"/>
      <c r="N759" s="88"/>
      <c r="O759" s="88"/>
      <c r="P759" s="88"/>
      <c r="Q759" s="88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</row>
    <row r="760" spans="1:32" ht="24" customHeight="1">
      <c r="A760" s="19"/>
      <c r="B760" s="58"/>
      <c r="C760" s="59"/>
      <c r="D760" s="59"/>
      <c r="E760" s="59"/>
      <c r="F760" s="60"/>
      <c r="G760" s="85"/>
      <c r="H760" s="59"/>
      <c r="I760" s="86"/>
      <c r="J760" s="105"/>
      <c r="K760" s="88"/>
      <c r="L760" s="88"/>
      <c r="M760" s="88"/>
      <c r="N760" s="88"/>
      <c r="O760" s="88"/>
      <c r="P760" s="88"/>
      <c r="Q760" s="88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</row>
    <row r="761" spans="1:32" ht="24" customHeight="1">
      <c r="A761" s="19"/>
      <c r="B761" s="58"/>
      <c r="C761" s="59"/>
      <c r="D761" s="59"/>
      <c r="E761" s="59"/>
      <c r="F761" s="60"/>
      <c r="G761" s="85"/>
      <c r="H761" s="59"/>
      <c r="I761" s="86"/>
      <c r="J761" s="105"/>
      <c r="K761" s="88"/>
      <c r="L761" s="88"/>
      <c r="M761" s="88"/>
      <c r="N761" s="88"/>
      <c r="O761" s="88"/>
      <c r="P761" s="88"/>
      <c r="Q761" s="88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</row>
    <row r="762" spans="1:32" ht="24" customHeight="1">
      <c r="A762" s="19"/>
      <c r="B762" s="58"/>
      <c r="C762" s="59"/>
      <c r="D762" s="59"/>
      <c r="E762" s="59"/>
      <c r="F762" s="60"/>
      <c r="G762" s="85"/>
      <c r="H762" s="59"/>
      <c r="I762" s="86"/>
      <c r="J762" s="105"/>
      <c r="K762" s="88"/>
      <c r="L762" s="88"/>
      <c r="M762" s="88"/>
      <c r="N762" s="88"/>
      <c r="O762" s="88"/>
      <c r="P762" s="88"/>
      <c r="Q762" s="88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</row>
    <row r="763" spans="1:32" ht="24" customHeight="1">
      <c r="A763" s="19"/>
      <c r="B763" s="58"/>
      <c r="C763" s="59"/>
      <c r="D763" s="59"/>
      <c r="E763" s="59"/>
      <c r="F763" s="60"/>
      <c r="G763" s="85"/>
      <c r="H763" s="59"/>
      <c r="I763" s="86"/>
      <c r="J763" s="105"/>
      <c r="K763" s="88"/>
      <c r="L763" s="88"/>
      <c r="M763" s="88"/>
      <c r="N763" s="88"/>
      <c r="O763" s="88"/>
      <c r="P763" s="88"/>
      <c r="Q763" s="88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</row>
    <row r="764" spans="1:32" ht="24" customHeight="1">
      <c r="A764" s="19"/>
      <c r="B764" s="58"/>
      <c r="C764" s="59"/>
      <c r="D764" s="59"/>
      <c r="E764" s="59"/>
      <c r="F764" s="60"/>
      <c r="G764" s="85"/>
      <c r="H764" s="59"/>
      <c r="I764" s="86"/>
      <c r="J764" s="105"/>
      <c r="K764" s="88"/>
      <c r="L764" s="88"/>
      <c r="M764" s="88"/>
      <c r="N764" s="88"/>
      <c r="O764" s="88"/>
      <c r="P764" s="88"/>
      <c r="Q764" s="88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</row>
    <row r="765" spans="1:32" ht="24" customHeight="1">
      <c r="A765" s="19"/>
      <c r="B765" s="58"/>
      <c r="C765" s="59"/>
      <c r="D765" s="59"/>
      <c r="E765" s="59"/>
      <c r="F765" s="60"/>
      <c r="G765" s="85"/>
      <c r="H765" s="59"/>
      <c r="I765" s="86"/>
      <c r="J765" s="105"/>
      <c r="K765" s="88"/>
      <c r="L765" s="88"/>
      <c r="M765" s="88"/>
      <c r="N765" s="88"/>
      <c r="O765" s="88"/>
      <c r="P765" s="88"/>
      <c r="Q765" s="88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</row>
    <row r="766" spans="1:32" ht="24" customHeight="1">
      <c r="A766" s="19"/>
      <c r="B766" s="58"/>
      <c r="C766" s="59"/>
      <c r="D766" s="59"/>
      <c r="E766" s="59"/>
      <c r="F766" s="60"/>
      <c r="G766" s="85"/>
      <c r="H766" s="59"/>
      <c r="I766" s="86"/>
      <c r="J766" s="105"/>
      <c r="K766" s="88"/>
      <c r="L766" s="88"/>
      <c r="M766" s="88"/>
      <c r="N766" s="88"/>
      <c r="O766" s="88"/>
      <c r="P766" s="88"/>
      <c r="Q766" s="88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</row>
    <row r="767" spans="1:32" ht="24" customHeight="1">
      <c r="A767" s="19"/>
      <c r="B767" s="58"/>
      <c r="C767" s="59"/>
      <c r="D767" s="59"/>
      <c r="E767" s="59"/>
      <c r="F767" s="60"/>
      <c r="G767" s="85"/>
      <c r="H767" s="59"/>
      <c r="I767" s="86"/>
      <c r="J767" s="105"/>
      <c r="K767" s="88"/>
      <c r="L767" s="88"/>
      <c r="M767" s="88"/>
      <c r="N767" s="88"/>
      <c r="O767" s="88"/>
      <c r="P767" s="88"/>
      <c r="Q767" s="88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</row>
    <row r="768" spans="1:32" ht="24" customHeight="1">
      <c r="A768" s="19"/>
      <c r="B768" s="58"/>
      <c r="C768" s="59"/>
      <c r="D768" s="59"/>
      <c r="E768" s="59"/>
      <c r="F768" s="60"/>
      <c r="G768" s="85"/>
      <c r="H768" s="59"/>
      <c r="I768" s="86"/>
      <c r="J768" s="105"/>
      <c r="K768" s="88"/>
      <c r="L768" s="88"/>
      <c r="M768" s="88"/>
      <c r="N768" s="88"/>
      <c r="O768" s="88"/>
      <c r="P768" s="88"/>
      <c r="Q768" s="88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</row>
    <row r="769" spans="1:32" ht="24" customHeight="1">
      <c r="A769" s="19"/>
      <c r="B769" s="58"/>
      <c r="C769" s="59"/>
      <c r="D769" s="59"/>
      <c r="E769" s="59"/>
      <c r="F769" s="60"/>
      <c r="G769" s="85"/>
      <c r="H769" s="59"/>
      <c r="I769" s="86"/>
      <c r="J769" s="105"/>
      <c r="K769" s="88"/>
      <c r="L769" s="88"/>
      <c r="M769" s="88"/>
      <c r="N769" s="88"/>
      <c r="O769" s="88"/>
      <c r="P769" s="88"/>
      <c r="Q769" s="88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</row>
    <row r="770" spans="1:32" ht="24" customHeight="1">
      <c r="A770" s="19"/>
      <c r="B770" s="58"/>
      <c r="C770" s="59"/>
      <c r="D770" s="59"/>
      <c r="E770" s="59"/>
      <c r="F770" s="60"/>
      <c r="G770" s="85"/>
      <c r="H770" s="59"/>
      <c r="I770" s="86"/>
      <c r="J770" s="105"/>
      <c r="K770" s="88"/>
      <c r="L770" s="88"/>
      <c r="M770" s="88"/>
      <c r="N770" s="88"/>
      <c r="O770" s="88"/>
      <c r="P770" s="88"/>
      <c r="Q770" s="88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</row>
    <row r="771" spans="1:32" ht="24" customHeight="1">
      <c r="A771" s="19"/>
      <c r="B771" s="58"/>
      <c r="C771" s="59"/>
      <c r="D771" s="59"/>
      <c r="E771" s="59"/>
      <c r="F771" s="60"/>
      <c r="G771" s="85"/>
      <c r="H771" s="59"/>
      <c r="I771" s="86"/>
      <c r="J771" s="105"/>
      <c r="K771" s="88"/>
      <c r="L771" s="88"/>
      <c r="M771" s="88"/>
      <c r="N771" s="88"/>
      <c r="O771" s="88"/>
      <c r="P771" s="88"/>
      <c r="Q771" s="88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</row>
    <row r="772" spans="1:32" ht="24" customHeight="1">
      <c r="A772" s="19"/>
      <c r="B772" s="58"/>
      <c r="C772" s="59"/>
      <c r="D772" s="59"/>
      <c r="E772" s="59"/>
      <c r="F772" s="60"/>
      <c r="G772" s="85"/>
      <c r="H772" s="59"/>
      <c r="I772" s="86"/>
      <c r="J772" s="105"/>
      <c r="K772" s="88"/>
      <c r="L772" s="88"/>
      <c r="M772" s="88"/>
      <c r="N772" s="88"/>
      <c r="O772" s="88"/>
      <c r="P772" s="88"/>
      <c r="Q772" s="88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</row>
    <row r="773" spans="1:32" ht="24" customHeight="1">
      <c r="A773" s="19"/>
      <c r="B773" s="58"/>
      <c r="C773" s="59"/>
      <c r="D773" s="59"/>
      <c r="E773" s="59"/>
      <c r="F773" s="60"/>
      <c r="G773" s="85"/>
      <c r="H773" s="59"/>
      <c r="I773" s="86"/>
      <c r="J773" s="105"/>
      <c r="K773" s="88"/>
      <c r="L773" s="88"/>
      <c r="M773" s="88"/>
      <c r="N773" s="88"/>
      <c r="O773" s="88"/>
      <c r="P773" s="88"/>
      <c r="Q773" s="88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</row>
    <row r="774" spans="1:32" ht="24" customHeight="1">
      <c r="A774" s="19"/>
      <c r="B774" s="58"/>
      <c r="C774" s="59"/>
      <c r="D774" s="59"/>
      <c r="E774" s="59"/>
      <c r="F774" s="60"/>
      <c r="G774" s="85"/>
      <c r="H774" s="59"/>
      <c r="I774" s="86"/>
      <c r="J774" s="105"/>
      <c r="K774" s="88"/>
      <c r="L774" s="88"/>
      <c r="M774" s="88"/>
      <c r="N774" s="88"/>
      <c r="O774" s="88"/>
      <c r="P774" s="88"/>
      <c r="Q774" s="88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</row>
    <row r="775" spans="1:32" ht="24" customHeight="1">
      <c r="A775" s="19"/>
      <c r="B775" s="58"/>
      <c r="C775" s="59"/>
      <c r="D775" s="59"/>
      <c r="E775" s="59"/>
      <c r="F775" s="60"/>
      <c r="G775" s="85"/>
      <c r="H775" s="59"/>
      <c r="I775" s="86"/>
      <c r="J775" s="105"/>
      <c r="K775" s="88"/>
      <c r="L775" s="88"/>
      <c r="M775" s="88"/>
      <c r="N775" s="88"/>
      <c r="O775" s="88"/>
      <c r="P775" s="88"/>
      <c r="Q775" s="88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</row>
    <row r="776" spans="1:32" ht="24" customHeight="1">
      <c r="A776" s="19"/>
      <c r="B776" s="58"/>
      <c r="C776" s="59"/>
      <c r="D776" s="59"/>
      <c r="E776" s="59"/>
      <c r="F776" s="60"/>
      <c r="G776" s="85"/>
      <c r="H776" s="59"/>
      <c r="I776" s="86"/>
      <c r="J776" s="105"/>
      <c r="K776" s="88"/>
      <c r="L776" s="88"/>
      <c r="M776" s="88"/>
      <c r="N776" s="88"/>
      <c r="O776" s="88"/>
      <c r="P776" s="88"/>
      <c r="Q776" s="88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</row>
    <row r="777" spans="1:32" ht="24" customHeight="1">
      <c r="A777" s="19"/>
      <c r="B777" s="58"/>
      <c r="C777" s="59"/>
      <c r="D777" s="59"/>
      <c r="E777" s="59"/>
      <c r="F777" s="60"/>
      <c r="G777" s="85"/>
      <c r="H777" s="59"/>
      <c r="I777" s="86"/>
      <c r="J777" s="105"/>
      <c r="K777" s="88"/>
      <c r="L777" s="88"/>
      <c r="M777" s="88"/>
      <c r="N777" s="88"/>
      <c r="O777" s="88"/>
      <c r="P777" s="88"/>
      <c r="Q777" s="88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</row>
    <row r="778" spans="1:32" ht="24" customHeight="1">
      <c r="A778" s="19"/>
      <c r="B778" s="58"/>
      <c r="C778" s="59"/>
      <c r="D778" s="59"/>
      <c r="E778" s="59"/>
      <c r="F778" s="60"/>
      <c r="G778" s="85"/>
      <c r="H778" s="59"/>
      <c r="I778" s="86"/>
      <c r="J778" s="105"/>
      <c r="K778" s="88"/>
      <c r="L778" s="88"/>
      <c r="M778" s="88"/>
      <c r="N778" s="88"/>
      <c r="O778" s="88"/>
      <c r="P778" s="88"/>
      <c r="Q778" s="88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</row>
    <row r="779" spans="1:32" ht="24" customHeight="1">
      <c r="A779" s="19"/>
      <c r="B779" s="58"/>
      <c r="C779" s="59"/>
      <c r="D779" s="59"/>
      <c r="E779" s="59"/>
      <c r="F779" s="60"/>
      <c r="G779" s="85"/>
      <c r="H779" s="59"/>
      <c r="I779" s="86"/>
      <c r="J779" s="105"/>
      <c r="K779" s="88"/>
      <c r="L779" s="88"/>
      <c r="M779" s="88"/>
      <c r="N779" s="88"/>
      <c r="O779" s="88"/>
      <c r="P779" s="88"/>
      <c r="Q779" s="88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</row>
    <row r="780" spans="1:32" ht="24" customHeight="1">
      <c r="A780" s="19"/>
      <c r="B780" s="58"/>
      <c r="C780" s="59"/>
      <c r="D780" s="59"/>
      <c r="E780" s="59"/>
      <c r="F780" s="60"/>
      <c r="G780" s="85"/>
      <c r="H780" s="59"/>
      <c r="I780" s="86"/>
      <c r="J780" s="105"/>
      <c r="K780" s="88"/>
      <c r="L780" s="88"/>
      <c r="M780" s="88"/>
      <c r="N780" s="88"/>
      <c r="O780" s="88"/>
      <c r="P780" s="88"/>
      <c r="Q780" s="88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</row>
    <row r="781" spans="1:32" ht="24" customHeight="1">
      <c r="A781" s="19"/>
      <c r="B781" s="58"/>
      <c r="C781" s="59"/>
      <c r="D781" s="59"/>
      <c r="E781" s="59"/>
      <c r="F781" s="60"/>
      <c r="G781" s="85"/>
      <c r="H781" s="59"/>
      <c r="I781" s="86"/>
      <c r="J781" s="105"/>
      <c r="K781" s="88"/>
      <c r="L781" s="88"/>
      <c r="M781" s="88"/>
      <c r="N781" s="88"/>
      <c r="O781" s="88"/>
      <c r="P781" s="88"/>
      <c r="Q781" s="88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</row>
    <row r="782" spans="1:32" ht="24" customHeight="1">
      <c r="A782" s="19"/>
      <c r="B782" s="58"/>
      <c r="C782" s="59"/>
      <c r="D782" s="59"/>
      <c r="E782" s="59"/>
      <c r="F782" s="60"/>
      <c r="G782" s="85"/>
      <c r="H782" s="59"/>
      <c r="I782" s="86"/>
      <c r="J782" s="105"/>
      <c r="K782" s="88"/>
      <c r="L782" s="88"/>
      <c r="M782" s="88"/>
      <c r="N782" s="88"/>
      <c r="O782" s="88"/>
      <c r="P782" s="88"/>
      <c r="Q782" s="88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</row>
    <row r="783" spans="1:32" ht="24" customHeight="1">
      <c r="A783" s="19"/>
      <c r="B783" s="58"/>
      <c r="C783" s="59"/>
      <c r="D783" s="59"/>
      <c r="E783" s="59"/>
      <c r="F783" s="60"/>
      <c r="G783" s="85"/>
      <c r="H783" s="59"/>
      <c r="I783" s="86"/>
      <c r="J783" s="105"/>
      <c r="K783" s="88"/>
      <c r="L783" s="88"/>
      <c r="M783" s="88"/>
      <c r="N783" s="88"/>
      <c r="O783" s="88"/>
      <c r="P783" s="88"/>
      <c r="Q783" s="88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</row>
    <row r="784" spans="1:32" ht="24" customHeight="1">
      <c r="A784" s="19"/>
      <c r="B784" s="58"/>
      <c r="C784" s="59"/>
      <c r="D784" s="59"/>
      <c r="E784" s="59"/>
      <c r="F784" s="60"/>
      <c r="G784" s="85"/>
      <c r="H784" s="59"/>
      <c r="I784" s="86"/>
      <c r="J784" s="105"/>
      <c r="K784" s="88"/>
      <c r="L784" s="88"/>
      <c r="M784" s="88"/>
      <c r="N784" s="88"/>
      <c r="O784" s="88"/>
      <c r="P784" s="88"/>
      <c r="Q784" s="88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</row>
    <row r="785" spans="1:32" ht="24" customHeight="1">
      <c r="A785" s="19"/>
      <c r="B785" s="58"/>
      <c r="C785" s="59"/>
      <c r="D785" s="59"/>
      <c r="E785" s="59"/>
      <c r="F785" s="60"/>
      <c r="G785" s="85"/>
      <c r="H785" s="59"/>
      <c r="I785" s="86"/>
      <c r="J785" s="105"/>
      <c r="K785" s="88"/>
      <c r="L785" s="88"/>
      <c r="M785" s="88"/>
      <c r="N785" s="88"/>
      <c r="O785" s="88"/>
      <c r="P785" s="88"/>
      <c r="Q785" s="88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</row>
    <row r="786" spans="1:32" ht="24" customHeight="1">
      <c r="A786" s="19"/>
      <c r="B786" s="58"/>
      <c r="C786" s="59"/>
      <c r="D786" s="59"/>
      <c r="E786" s="59"/>
      <c r="F786" s="60"/>
      <c r="G786" s="85"/>
      <c r="H786" s="59"/>
      <c r="I786" s="86"/>
      <c r="J786" s="105"/>
      <c r="K786" s="88"/>
      <c r="L786" s="88"/>
      <c r="M786" s="88"/>
      <c r="N786" s="88"/>
      <c r="O786" s="88"/>
      <c r="P786" s="88"/>
      <c r="Q786" s="88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</row>
    <row r="787" spans="1:32" ht="24" customHeight="1">
      <c r="A787" s="19"/>
      <c r="B787" s="58"/>
      <c r="C787" s="59"/>
      <c r="D787" s="59"/>
      <c r="E787" s="59"/>
      <c r="F787" s="60"/>
      <c r="G787" s="85"/>
      <c r="H787" s="59"/>
      <c r="I787" s="86"/>
      <c r="J787" s="105"/>
      <c r="K787" s="88"/>
      <c r="L787" s="88"/>
      <c r="M787" s="88"/>
      <c r="N787" s="88"/>
      <c r="O787" s="88"/>
      <c r="P787" s="88"/>
      <c r="Q787" s="88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</row>
    <row r="788" spans="1:32" ht="24" customHeight="1">
      <c r="A788" s="19"/>
      <c r="B788" s="58"/>
      <c r="C788" s="59"/>
      <c r="D788" s="59"/>
      <c r="E788" s="59"/>
      <c r="F788" s="60"/>
      <c r="G788" s="85"/>
      <c r="H788" s="59"/>
      <c r="I788" s="86"/>
      <c r="J788" s="105"/>
      <c r="K788" s="88"/>
      <c r="L788" s="88"/>
      <c r="M788" s="88"/>
      <c r="N788" s="88"/>
      <c r="O788" s="88"/>
      <c r="P788" s="88"/>
      <c r="Q788" s="88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</row>
    <row r="789" spans="1:32" ht="24" customHeight="1">
      <c r="A789" s="19"/>
      <c r="B789" s="58"/>
      <c r="C789" s="59"/>
      <c r="D789" s="59"/>
      <c r="E789" s="59"/>
      <c r="F789" s="60"/>
      <c r="G789" s="85"/>
      <c r="H789" s="59"/>
      <c r="I789" s="86"/>
      <c r="J789" s="105"/>
      <c r="K789" s="88"/>
      <c r="L789" s="88"/>
      <c r="M789" s="88"/>
      <c r="N789" s="88"/>
      <c r="O789" s="88"/>
      <c r="P789" s="88"/>
      <c r="Q789" s="88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</row>
    <row r="790" spans="1:32" ht="24" customHeight="1">
      <c r="A790" s="19"/>
      <c r="B790" s="58"/>
      <c r="C790" s="59"/>
      <c r="D790" s="59"/>
      <c r="E790" s="59"/>
      <c r="F790" s="60"/>
      <c r="G790" s="85"/>
      <c r="H790" s="59"/>
      <c r="I790" s="86"/>
      <c r="J790" s="105"/>
      <c r="K790" s="88"/>
      <c r="L790" s="88"/>
      <c r="M790" s="88"/>
      <c r="N790" s="88"/>
      <c r="O790" s="88"/>
      <c r="P790" s="88"/>
      <c r="Q790" s="88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</row>
    <row r="791" spans="1:32" ht="24" customHeight="1">
      <c r="A791" s="19"/>
      <c r="B791" s="58"/>
      <c r="C791" s="59"/>
      <c r="D791" s="59"/>
      <c r="E791" s="59"/>
      <c r="F791" s="60"/>
      <c r="G791" s="85"/>
      <c r="H791" s="59"/>
      <c r="I791" s="86"/>
      <c r="J791" s="105"/>
      <c r="K791" s="88"/>
      <c r="L791" s="88"/>
      <c r="M791" s="88"/>
      <c r="N791" s="88"/>
      <c r="O791" s="88"/>
      <c r="P791" s="88"/>
      <c r="Q791" s="88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</row>
    <row r="792" spans="1:32" ht="24" customHeight="1">
      <c r="A792" s="19"/>
      <c r="B792" s="58"/>
      <c r="C792" s="59"/>
      <c r="D792" s="59"/>
      <c r="E792" s="59"/>
      <c r="F792" s="60"/>
      <c r="G792" s="85"/>
      <c r="H792" s="59"/>
      <c r="I792" s="86"/>
      <c r="J792" s="105"/>
      <c r="K792" s="88"/>
      <c r="L792" s="88"/>
      <c r="M792" s="88"/>
      <c r="N792" s="88"/>
      <c r="O792" s="88"/>
      <c r="P792" s="88"/>
      <c r="Q792" s="88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</row>
    <row r="793" spans="1:32" ht="24" customHeight="1">
      <c r="A793" s="19"/>
      <c r="B793" s="58"/>
      <c r="C793" s="59"/>
      <c r="D793" s="59"/>
      <c r="E793" s="59"/>
      <c r="F793" s="60"/>
      <c r="G793" s="85"/>
      <c r="H793" s="59"/>
      <c r="I793" s="86"/>
      <c r="J793" s="105"/>
      <c r="K793" s="88"/>
      <c r="L793" s="88"/>
      <c r="M793" s="88"/>
      <c r="N793" s="88"/>
      <c r="O793" s="88"/>
      <c r="P793" s="88"/>
      <c r="Q793" s="88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</row>
    <row r="794" spans="1:32" ht="24" customHeight="1">
      <c r="A794" s="19"/>
      <c r="B794" s="58"/>
      <c r="C794" s="59"/>
      <c r="D794" s="59"/>
      <c r="E794" s="59"/>
      <c r="F794" s="60"/>
      <c r="G794" s="85"/>
      <c r="H794" s="59"/>
      <c r="I794" s="86"/>
      <c r="J794" s="105"/>
      <c r="K794" s="88"/>
      <c r="L794" s="88"/>
      <c r="M794" s="88"/>
      <c r="N794" s="88"/>
      <c r="O794" s="88"/>
      <c r="P794" s="88"/>
      <c r="Q794" s="88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</row>
    <row r="795" spans="1:32" ht="24" customHeight="1">
      <c r="A795" s="19"/>
      <c r="B795" s="58"/>
      <c r="C795" s="59"/>
      <c r="D795" s="59"/>
      <c r="E795" s="59"/>
      <c r="F795" s="60"/>
      <c r="G795" s="85"/>
      <c r="H795" s="59"/>
      <c r="I795" s="86"/>
      <c r="J795" s="105"/>
      <c r="K795" s="88"/>
      <c r="L795" s="88"/>
      <c r="M795" s="88"/>
      <c r="N795" s="88"/>
      <c r="O795" s="88"/>
      <c r="P795" s="88"/>
      <c r="Q795" s="88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</row>
    <row r="796" spans="1:32" ht="24" customHeight="1">
      <c r="A796" s="19"/>
      <c r="B796" s="58"/>
      <c r="C796" s="59"/>
      <c r="D796" s="59"/>
      <c r="E796" s="59"/>
      <c r="F796" s="60"/>
      <c r="G796" s="85"/>
      <c r="H796" s="59"/>
      <c r="I796" s="86"/>
      <c r="J796" s="105"/>
      <c r="K796" s="88"/>
      <c r="L796" s="88"/>
      <c r="M796" s="88"/>
      <c r="N796" s="88"/>
      <c r="O796" s="88"/>
      <c r="P796" s="88"/>
      <c r="Q796" s="88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</row>
    <row r="797" spans="1:32" ht="24" customHeight="1">
      <c r="A797" s="19"/>
      <c r="B797" s="58"/>
      <c r="C797" s="59"/>
      <c r="D797" s="59"/>
      <c r="E797" s="59"/>
      <c r="F797" s="60"/>
      <c r="G797" s="85"/>
      <c r="H797" s="59"/>
      <c r="I797" s="86"/>
      <c r="J797" s="105"/>
      <c r="K797" s="88"/>
      <c r="L797" s="88"/>
      <c r="M797" s="88"/>
      <c r="N797" s="88"/>
      <c r="O797" s="88"/>
      <c r="P797" s="88"/>
      <c r="Q797" s="88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</row>
    <row r="798" spans="1:32" ht="24" customHeight="1">
      <c r="A798" s="19"/>
      <c r="B798" s="58"/>
      <c r="C798" s="59"/>
      <c r="D798" s="59"/>
      <c r="E798" s="59"/>
      <c r="F798" s="60"/>
      <c r="G798" s="85"/>
      <c r="H798" s="59"/>
      <c r="I798" s="86"/>
      <c r="J798" s="105"/>
      <c r="K798" s="88"/>
      <c r="L798" s="88"/>
      <c r="M798" s="88"/>
      <c r="N798" s="88"/>
      <c r="O798" s="88"/>
      <c r="P798" s="88"/>
      <c r="Q798" s="88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</row>
    <row r="799" spans="1:32" ht="24" customHeight="1">
      <c r="A799" s="19"/>
      <c r="B799" s="58"/>
      <c r="C799" s="59"/>
      <c r="D799" s="59"/>
      <c r="E799" s="59"/>
      <c r="F799" s="60"/>
      <c r="G799" s="85"/>
      <c r="H799" s="59"/>
      <c r="I799" s="86"/>
      <c r="J799" s="105"/>
      <c r="K799" s="88"/>
      <c r="L799" s="88"/>
      <c r="M799" s="88"/>
      <c r="N799" s="88"/>
      <c r="O799" s="88"/>
      <c r="P799" s="88"/>
      <c r="Q799" s="88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</row>
    <row r="800" spans="1:32" ht="24" customHeight="1">
      <c r="A800" s="19"/>
      <c r="B800" s="58"/>
      <c r="C800" s="59"/>
      <c r="D800" s="59"/>
      <c r="E800" s="59"/>
      <c r="F800" s="60"/>
      <c r="G800" s="85"/>
      <c r="H800" s="59"/>
      <c r="I800" s="86"/>
      <c r="J800" s="105"/>
      <c r="K800" s="88"/>
      <c r="L800" s="88"/>
      <c r="M800" s="88"/>
      <c r="N800" s="88"/>
      <c r="O800" s="88"/>
      <c r="P800" s="88"/>
      <c r="Q800" s="88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</row>
    <row r="801" spans="1:32" ht="24" customHeight="1">
      <c r="A801" s="19"/>
      <c r="B801" s="58"/>
      <c r="C801" s="59"/>
      <c r="D801" s="59"/>
      <c r="E801" s="59"/>
      <c r="F801" s="60"/>
      <c r="G801" s="85"/>
      <c r="H801" s="59"/>
      <c r="I801" s="86"/>
      <c r="J801" s="105"/>
      <c r="K801" s="88"/>
      <c r="L801" s="88"/>
      <c r="M801" s="88"/>
      <c r="N801" s="88"/>
      <c r="O801" s="88"/>
      <c r="P801" s="88"/>
      <c r="Q801" s="88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</row>
    <row r="802" spans="1:32" ht="24" customHeight="1">
      <c r="A802" s="19"/>
      <c r="B802" s="58"/>
      <c r="C802" s="59"/>
      <c r="D802" s="59"/>
      <c r="E802" s="59"/>
      <c r="F802" s="60"/>
      <c r="G802" s="85"/>
      <c r="H802" s="59"/>
      <c r="I802" s="86"/>
      <c r="J802" s="105"/>
      <c r="K802" s="88"/>
      <c r="L802" s="88"/>
      <c r="M802" s="88"/>
      <c r="N802" s="88"/>
      <c r="O802" s="88"/>
      <c r="P802" s="88"/>
      <c r="Q802" s="88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</row>
    <row r="803" spans="1:32" ht="24" customHeight="1">
      <c r="A803" s="19"/>
      <c r="B803" s="58"/>
      <c r="C803" s="59"/>
      <c r="D803" s="59"/>
      <c r="E803" s="59"/>
      <c r="F803" s="60"/>
      <c r="G803" s="85"/>
      <c r="H803" s="59"/>
      <c r="I803" s="86"/>
      <c r="J803" s="105"/>
      <c r="K803" s="88"/>
      <c r="L803" s="88"/>
      <c r="M803" s="88"/>
      <c r="N803" s="88"/>
      <c r="O803" s="88"/>
      <c r="P803" s="88"/>
      <c r="Q803" s="88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</row>
    <row r="804" spans="1:32" ht="24" customHeight="1">
      <c r="A804" s="19"/>
      <c r="B804" s="58"/>
      <c r="C804" s="59"/>
      <c r="D804" s="59"/>
      <c r="E804" s="59"/>
      <c r="F804" s="60"/>
      <c r="G804" s="85"/>
      <c r="H804" s="59"/>
      <c r="I804" s="86"/>
      <c r="J804" s="105"/>
      <c r="K804" s="88"/>
      <c r="L804" s="88"/>
      <c r="M804" s="88"/>
      <c r="N804" s="88"/>
      <c r="O804" s="88"/>
      <c r="P804" s="88"/>
      <c r="Q804" s="88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</row>
    <row r="805" spans="1:32" ht="24" customHeight="1">
      <c r="A805" s="19"/>
      <c r="B805" s="58"/>
      <c r="C805" s="59"/>
      <c r="D805" s="59"/>
      <c r="E805" s="59"/>
      <c r="F805" s="60"/>
      <c r="G805" s="85"/>
      <c r="H805" s="59"/>
      <c r="I805" s="86"/>
      <c r="J805" s="105"/>
      <c r="K805" s="88"/>
      <c r="L805" s="88"/>
      <c r="M805" s="88"/>
      <c r="N805" s="88"/>
      <c r="O805" s="88"/>
      <c r="P805" s="88"/>
      <c r="Q805" s="88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</row>
    <row r="806" spans="1:32" ht="24" customHeight="1">
      <c r="A806" s="19"/>
      <c r="B806" s="58"/>
      <c r="C806" s="59"/>
      <c r="D806" s="59"/>
      <c r="E806" s="59"/>
      <c r="F806" s="60"/>
      <c r="G806" s="85"/>
      <c r="H806" s="59"/>
      <c r="I806" s="86"/>
      <c r="J806" s="105"/>
      <c r="K806" s="88"/>
      <c r="L806" s="88"/>
      <c r="M806" s="88"/>
      <c r="N806" s="88"/>
      <c r="O806" s="88"/>
      <c r="P806" s="88"/>
      <c r="Q806" s="88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</row>
    <row r="807" spans="1:32" ht="24" customHeight="1">
      <c r="A807" s="19"/>
      <c r="B807" s="58"/>
      <c r="C807" s="59"/>
      <c r="D807" s="59"/>
      <c r="E807" s="59"/>
      <c r="F807" s="60"/>
      <c r="G807" s="85"/>
      <c r="H807" s="59"/>
      <c r="I807" s="86"/>
      <c r="J807" s="105"/>
      <c r="K807" s="88"/>
      <c r="L807" s="88"/>
      <c r="M807" s="88"/>
      <c r="N807" s="88"/>
      <c r="O807" s="88"/>
      <c r="P807" s="88"/>
      <c r="Q807" s="88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</row>
    <row r="808" spans="1:32" ht="24" customHeight="1">
      <c r="A808" s="19"/>
      <c r="B808" s="58"/>
      <c r="C808" s="59"/>
      <c r="D808" s="59"/>
      <c r="E808" s="59"/>
      <c r="F808" s="60"/>
      <c r="G808" s="85"/>
      <c r="H808" s="59"/>
      <c r="I808" s="86"/>
      <c r="J808" s="105"/>
      <c r="K808" s="88"/>
      <c r="L808" s="88"/>
      <c r="M808" s="88"/>
      <c r="N808" s="88"/>
      <c r="O808" s="88"/>
      <c r="P808" s="88"/>
      <c r="Q808" s="88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</row>
    <row r="809" spans="1:32" ht="24" customHeight="1">
      <c r="A809" s="19"/>
      <c r="B809" s="58"/>
      <c r="C809" s="59"/>
      <c r="D809" s="59"/>
      <c r="E809" s="59"/>
      <c r="F809" s="60"/>
      <c r="G809" s="85"/>
      <c r="H809" s="59"/>
      <c r="I809" s="86"/>
      <c r="J809" s="105"/>
      <c r="K809" s="88"/>
      <c r="L809" s="88"/>
      <c r="M809" s="88"/>
      <c r="N809" s="88"/>
      <c r="O809" s="88"/>
      <c r="P809" s="88"/>
      <c r="Q809" s="88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</row>
    <row r="810" spans="1:32" ht="24" customHeight="1">
      <c r="A810" s="19"/>
      <c r="B810" s="58"/>
      <c r="C810" s="59"/>
      <c r="D810" s="59"/>
      <c r="E810" s="59"/>
      <c r="F810" s="60"/>
      <c r="G810" s="85"/>
      <c r="H810" s="59"/>
      <c r="I810" s="86"/>
      <c r="J810" s="105"/>
      <c r="K810" s="88"/>
      <c r="L810" s="88"/>
      <c r="M810" s="88"/>
      <c r="N810" s="88"/>
      <c r="O810" s="88"/>
      <c r="P810" s="88"/>
      <c r="Q810" s="88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</row>
    <row r="811" spans="1:32" ht="24" customHeight="1">
      <c r="A811" s="19"/>
      <c r="B811" s="58"/>
      <c r="C811" s="59"/>
      <c r="D811" s="59"/>
      <c r="E811" s="59"/>
      <c r="F811" s="60"/>
      <c r="G811" s="85"/>
      <c r="H811" s="59"/>
      <c r="I811" s="86"/>
      <c r="J811" s="105"/>
      <c r="K811" s="88"/>
      <c r="L811" s="88"/>
      <c r="M811" s="88"/>
      <c r="N811" s="88"/>
      <c r="O811" s="88"/>
      <c r="P811" s="88"/>
      <c r="Q811" s="88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</row>
    <row r="812" spans="1:32" ht="24" customHeight="1">
      <c r="A812" s="19"/>
      <c r="B812" s="58"/>
      <c r="C812" s="59"/>
      <c r="D812" s="59"/>
      <c r="E812" s="59"/>
      <c r="F812" s="60"/>
      <c r="G812" s="85"/>
      <c r="H812" s="59"/>
      <c r="I812" s="86"/>
      <c r="J812" s="105"/>
      <c r="K812" s="88"/>
      <c r="L812" s="88"/>
      <c r="M812" s="88"/>
      <c r="N812" s="88"/>
      <c r="O812" s="88"/>
      <c r="P812" s="88"/>
      <c r="Q812" s="88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</row>
    <row r="813" spans="1:32" ht="24" customHeight="1">
      <c r="A813" s="19"/>
      <c r="B813" s="58"/>
      <c r="C813" s="59"/>
      <c r="D813" s="59"/>
      <c r="E813" s="59"/>
      <c r="F813" s="60"/>
      <c r="G813" s="85"/>
      <c r="H813" s="59"/>
      <c r="I813" s="86"/>
      <c r="J813" s="105"/>
      <c r="K813" s="88"/>
      <c r="L813" s="88"/>
      <c r="M813" s="88"/>
      <c r="N813" s="88"/>
      <c r="O813" s="88"/>
      <c r="P813" s="88"/>
      <c r="Q813" s="88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</row>
    <row r="814" spans="1:32" ht="24" customHeight="1">
      <c r="A814" s="19"/>
      <c r="B814" s="58"/>
      <c r="C814" s="59"/>
      <c r="D814" s="59"/>
      <c r="E814" s="59"/>
      <c r="F814" s="60"/>
      <c r="G814" s="85"/>
      <c r="H814" s="59"/>
      <c r="I814" s="86"/>
      <c r="J814" s="105"/>
      <c r="K814" s="88"/>
      <c r="L814" s="88"/>
      <c r="M814" s="88"/>
      <c r="N814" s="88"/>
      <c r="O814" s="88"/>
      <c r="P814" s="88"/>
      <c r="Q814" s="88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</row>
    <row r="815" spans="1:32" ht="24" customHeight="1">
      <c r="A815" s="19"/>
      <c r="B815" s="58"/>
      <c r="C815" s="59"/>
      <c r="D815" s="59"/>
      <c r="E815" s="59"/>
      <c r="F815" s="60"/>
      <c r="G815" s="85"/>
      <c r="H815" s="59"/>
      <c r="I815" s="86"/>
      <c r="J815" s="105"/>
      <c r="K815" s="88"/>
      <c r="L815" s="88"/>
      <c r="M815" s="88"/>
      <c r="N815" s="88"/>
      <c r="O815" s="88"/>
      <c r="P815" s="88"/>
      <c r="Q815" s="88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</row>
    <row r="816" spans="1:32" ht="24" customHeight="1">
      <c r="A816" s="19"/>
      <c r="B816" s="58"/>
      <c r="C816" s="59"/>
      <c r="D816" s="59"/>
      <c r="E816" s="59"/>
      <c r="F816" s="60"/>
      <c r="G816" s="85"/>
      <c r="H816" s="59"/>
      <c r="I816" s="86"/>
      <c r="J816" s="105"/>
      <c r="K816" s="88"/>
      <c r="L816" s="88"/>
      <c r="M816" s="88"/>
      <c r="N816" s="88"/>
      <c r="O816" s="88"/>
      <c r="P816" s="88"/>
      <c r="Q816" s="88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</row>
    <row r="817" spans="1:32" ht="24" customHeight="1">
      <c r="A817" s="19"/>
      <c r="B817" s="58"/>
      <c r="C817" s="59"/>
      <c r="D817" s="59"/>
      <c r="E817" s="59"/>
      <c r="F817" s="60"/>
      <c r="G817" s="85"/>
      <c r="H817" s="59"/>
      <c r="I817" s="86"/>
      <c r="J817" s="105"/>
      <c r="K817" s="88"/>
      <c r="L817" s="88"/>
      <c r="M817" s="88"/>
      <c r="N817" s="88"/>
      <c r="O817" s="88"/>
      <c r="P817" s="88"/>
      <c r="Q817" s="88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</row>
    <row r="818" spans="1:32" ht="24" customHeight="1">
      <c r="A818" s="19"/>
      <c r="B818" s="58"/>
      <c r="C818" s="59"/>
      <c r="D818" s="59"/>
      <c r="E818" s="59"/>
      <c r="F818" s="60"/>
      <c r="G818" s="85"/>
      <c r="H818" s="59"/>
      <c r="I818" s="86"/>
      <c r="J818" s="105"/>
      <c r="K818" s="88"/>
      <c r="L818" s="88"/>
      <c r="M818" s="88"/>
      <c r="N818" s="88"/>
      <c r="O818" s="88"/>
      <c r="P818" s="88"/>
      <c r="Q818" s="88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</row>
    <row r="819" spans="1:32" ht="24" customHeight="1">
      <c r="A819" s="19"/>
      <c r="B819" s="58"/>
      <c r="C819" s="59"/>
      <c r="D819" s="59"/>
      <c r="E819" s="59"/>
      <c r="F819" s="60"/>
      <c r="G819" s="85"/>
      <c r="H819" s="59"/>
      <c r="I819" s="86"/>
      <c r="J819" s="105"/>
      <c r="K819" s="88"/>
      <c r="L819" s="88"/>
      <c r="M819" s="88"/>
      <c r="N819" s="88"/>
      <c r="O819" s="88"/>
      <c r="P819" s="88"/>
      <c r="Q819" s="88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</row>
    <row r="820" spans="1:32" ht="24" customHeight="1">
      <c r="A820" s="19"/>
      <c r="B820" s="58"/>
      <c r="C820" s="59"/>
      <c r="D820" s="59"/>
      <c r="E820" s="59"/>
      <c r="F820" s="60"/>
      <c r="G820" s="85"/>
      <c r="H820" s="59"/>
      <c r="I820" s="86"/>
      <c r="J820" s="105"/>
      <c r="K820" s="88"/>
      <c r="L820" s="88"/>
      <c r="M820" s="88"/>
      <c r="N820" s="88"/>
      <c r="O820" s="88"/>
      <c r="P820" s="88"/>
      <c r="Q820" s="88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</row>
    <row r="821" spans="1:32" ht="24" customHeight="1">
      <c r="A821" s="19"/>
      <c r="B821" s="58"/>
      <c r="C821" s="59"/>
      <c r="D821" s="59"/>
      <c r="E821" s="59"/>
      <c r="F821" s="60"/>
      <c r="G821" s="85"/>
      <c r="H821" s="59"/>
      <c r="I821" s="86"/>
      <c r="J821" s="105"/>
      <c r="K821" s="88"/>
      <c r="L821" s="88"/>
      <c r="M821" s="88"/>
      <c r="N821" s="88"/>
      <c r="O821" s="88"/>
      <c r="P821" s="88"/>
      <c r="Q821" s="88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</row>
    <row r="822" spans="1:32" ht="24" customHeight="1">
      <c r="A822" s="19"/>
      <c r="B822" s="58"/>
      <c r="C822" s="59"/>
      <c r="D822" s="59"/>
      <c r="E822" s="59"/>
      <c r="F822" s="60"/>
      <c r="G822" s="85"/>
      <c r="H822" s="59"/>
      <c r="I822" s="86"/>
      <c r="J822" s="105"/>
      <c r="K822" s="88"/>
      <c r="L822" s="88"/>
      <c r="M822" s="88"/>
      <c r="N822" s="88"/>
      <c r="O822" s="88"/>
      <c r="P822" s="88"/>
      <c r="Q822" s="88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</row>
    <row r="823" spans="1:32" ht="24" customHeight="1">
      <c r="A823" s="19"/>
      <c r="B823" s="58"/>
      <c r="C823" s="59"/>
      <c r="D823" s="59"/>
      <c r="E823" s="59"/>
      <c r="F823" s="60"/>
      <c r="G823" s="85"/>
      <c r="H823" s="59"/>
      <c r="I823" s="86"/>
      <c r="J823" s="105"/>
      <c r="K823" s="88"/>
      <c r="L823" s="88"/>
      <c r="M823" s="88"/>
      <c r="N823" s="88"/>
      <c r="O823" s="88"/>
      <c r="P823" s="88"/>
      <c r="Q823" s="88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</row>
    <row r="824" spans="1:32" ht="24" customHeight="1">
      <c r="A824" s="19"/>
      <c r="B824" s="58"/>
      <c r="C824" s="59"/>
      <c r="D824" s="59"/>
      <c r="E824" s="59"/>
      <c r="F824" s="60"/>
      <c r="G824" s="85"/>
      <c r="H824" s="59"/>
      <c r="I824" s="86"/>
      <c r="J824" s="105"/>
      <c r="K824" s="88"/>
      <c r="L824" s="88"/>
      <c r="M824" s="88"/>
      <c r="N824" s="88"/>
      <c r="O824" s="88"/>
      <c r="P824" s="88"/>
      <c r="Q824" s="88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</row>
    <row r="825" spans="1:32" ht="24" customHeight="1">
      <c r="A825" s="19"/>
      <c r="B825" s="58"/>
      <c r="C825" s="59"/>
      <c r="D825" s="59"/>
      <c r="E825" s="59"/>
      <c r="F825" s="60"/>
      <c r="G825" s="85"/>
      <c r="H825" s="59"/>
      <c r="I825" s="86"/>
      <c r="J825" s="105"/>
      <c r="K825" s="88"/>
      <c r="L825" s="88"/>
      <c r="M825" s="88"/>
      <c r="N825" s="88"/>
      <c r="O825" s="88"/>
      <c r="P825" s="88"/>
      <c r="Q825" s="88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</row>
    <row r="826" spans="1:32" ht="24" customHeight="1">
      <c r="A826" s="19"/>
      <c r="B826" s="58"/>
      <c r="C826" s="59"/>
      <c r="D826" s="59"/>
      <c r="E826" s="59"/>
      <c r="F826" s="60"/>
      <c r="G826" s="85"/>
      <c r="H826" s="59"/>
      <c r="I826" s="86"/>
      <c r="J826" s="105"/>
      <c r="K826" s="88"/>
      <c r="L826" s="88"/>
      <c r="M826" s="88"/>
      <c r="N826" s="88"/>
      <c r="O826" s="88"/>
      <c r="P826" s="88"/>
      <c r="Q826" s="88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</row>
    <row r="827" spans="1:32" ht="24" customHeight="1">
      <c r="A827" s="19"/>
      <c r="B827" s="58"/>
      <c r="C827" s="59"/>
      <c r="D827" s="59"/>
      <c r="E827" s="59"/>
      <c r="F827" s="60"/>
      <c r="G827" s="85"/>
      <c r="H827" s="59"/>
      <c r="I827" s="86"/>
      <c r="J827" s="105"/>
      <c r="K827" s="88"/>
      <c r="L827" s="88"/>
      <c r="M827" s="88"/>
      <c r="N827" s="88"/>
      <c r="O827" s="88"/>
      <c r="P827" s="88"/>
      <c r="Q827" s="88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</row>
    <row r="828" spans="1:32" ht="24" customHeight="1">
      <c r="A828" s="19"/>
      <c r="B828" s="58"/>
      <c r="C828" s="59"/>
      <c r="D828" s="59"/>
      <c r="E828" s="59"/>
      <c r="F828" s="60"/>
      <c r="G828" s="85"/>
      <c r="H828" s="59"/>
      <c r="I828" s="86"/>
      <c r="J828" s="105"/>
      <c r="K828" s="88"/>
      <c r="L828" s="88"/>
      <c r="M828" s="88"/>
      <c r="N828" s="88"/>
      <c r="O828" s="88"/>
      <c r="P828" s="88"/>
      <c r="Q828" s="88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</row>
    <row r="829" spans="1:32" ht="24" customHeight="1">
      <c r="A829" s="19"/>
      <c r="B829" s="58"/>
      <c r="C829" s="59"/>
      <c r="D829" s="59"/>
      <c r="E829" s="59"/>
      <c r="F829" s="60"/>
      <c r="G829" s="85"/>
      <c r="H829" s="59"/>
      <c r="I829" s="86"/>
      <c r="J829" s="105"/>
      <c r="K829" s="88"/>
      <c r="L829" s="88"/>
      <c r="M829" s="88"/>
      <c r="N829" s="88"/>
      <c r="O829" s="88"/>
      <c r="P829" s="88"/>
      <c r="Q829" s="88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</row>
    <row r="830" spans="1:32" ht="24" customHeight="1">
      <c r="A830" s="19"/>
      <c r="B830" s="58"/>
      <c r="C830" s="59"/>
      <c r="D830" s="59"/>
      <c r="E830" s="59"/>
      <c r="F830" s="60"/>
      <c r="G830" s="85"/>
      <c r="H830" s="59"/>
      <c r="I830" s="86"/>
      <c r="J830" s="105"/>
      <c r="K830" s="88"/>
      <c r="L830" s="88"/>
      <c r="M830" s="88"/>
      <c r="N830" s="88"/>
      <c r="O830" s="88"/>
      <c r="P830" s="88"/>
      <c r="Q830" s="88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</row>
    <row r="831" spans="1:32" ht="24" customHeight="1">
      <c r="A831" s="19"/>
      <c r="B831" s="58"/>
      <c r="C831" s="59"/>
      <c r="D831" s="59"/>
      <c r="E831" s="59"/>
      <c r="F831" s="60"/>
      <c r="G831" s="85"/>
      <c r="H831" s="59"/>
      <c r="I831" s="86"/>
      <c r="J831" s="105"/>
      <c r="K831" s="88"/>
      <c r="L831" s="88"/>
      <c r="M831" s="88"/>
      <c r="N831" s="88"/>
      <c r="O831" s="88"/>
      <c r="P831" s="88"/>
      <c r="Q831" s="88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</row>
    <row r="832" spans="1:32" ht="24" customHeight="1">
      <c r="A832" s="19"/>
      <c r="B832" s="58"/>
      <c r="C832" s="59"/>
      <c r="D832" s="59"/>
      <c r="E832" s="59"/>
      <c r="F832" s="60"/>
      <c r="G832" s="85"/>
      <c r="H832" s="59"/>
      <c r="I832" s="86"/>
      <c r="J832" s="105"/>
      <c r="K832" s="88"/>
      <c r="L832" s="88"/>
      <c r="M832" s="88"/>
      <c r="N832" s="88"/>
      <c r="O832" s="88"/>
      <c r="P832" s="88"/>
      <c r="Q832" s="88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</row>
    <row r="833" spans="1:32" ht="24" customHeight="1">
      <c r="A833" s="19"/>
      <c r="B833" s="58"/>
      <c r="C833" s="59"/>
      <c r="D833" s="59"/>
      <c r="E833" s="59"/>
      <c r="F833" s="60"/>
      <c r="G833" s="85"/>
      <c r="H833" s="59"/>
      <c r="I833" s="86"/>
      <c r="J833" s="105"/>
      <c r="K833" s="88"/>
      <c r="L833" s="88"/>
      <c r="M833" s="88"/>
      <c r="N833" s="88"/>
      <c r="O833" s="88"/>
      <c r="P833" s="88"/>
      <c r="Q833" s="88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</row>
    <row r="834" spans="1:32" ht="24" customHeight="1">
      <c r="A834" s="19"/>
      <c r="B834" s="58"/>
      <c r="C834" s="59"/>
      <c r="D834" s="59"/>
      <c r="E834" s="59"/>
      <c r="F834" s="60"/>
      <c r="G834" s="85"/>
      <c r="H834" s="59"/>
      <c r="I834" s="86"/>
      <c r="J834" s="105"/>
      <c r="K834" s="88"/>
      <c r="L834" s="88"/>
      <c r="M834" s="88"/>
      <c r="N834" s="88"/>
      <c r="O834" s="88"/>
      <c r="P834" s="88"/>
      <c r="Q834" s="88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</row>
    <row r="835" spans="1:32" ht="24" customHeight="1">
      <c r="A835" s="19"/>
      <c r="B835" s="58"/>
      <c r="C835" s="59"/>
      <c r="D835" s="59"/>
      <c r="E835" s="59"/>
      <c r="F835" s="60"/>
      <c r="G835" s="85"/>
      <c r="H835" s="59"/>
      <c r="I835" s="86"/>
      <c r="J835" s="105"/>
      <c r="K835" s="88"/>
      <c r="L835" s="88"/>
      <c r="M835" s="88"/>
      <c r="N835" s="88"/>
      <c r="O835" s="88"/>
      <c r="P835" s="88"/>
      <c r="Q835" s="88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</row>
    <row r="836" spans="1:32" ht="24" customHeight="1">
      <c r="A836" s="19"/>
      <c r="B836" s="58"/>
      <c r="C836" s="59"/>
      <c r="D836" s="59"/>
      <c r="E836" s="59"/>
      <c r="F836" s="60"/>
      <c r="G836" s="85"/>
      <c r="H836" s="59"/>
      <c r="I836" s="86"/>
      <c r="J836" s="105"/>
      <c r="K836" s="88"/>
      <c r="L836" s="88"/>
      <c r="M836" s="88"/>
      <c r="N836" s="88"/>
      <c r="O836" s="88"/>
      <c r="P836" s="88"/>
      <c r="Q836" s="88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</row>
    <row r="837" spans="1:32" ht="24" customHeight="1">
      <c r="A837" s="19"/>
      <c r="B837" s="58"/>
      <c r="C837" s="59"/>
      <c r="D837" s="59"/>
      <c r="E837" s="59"/>
      <c r="F837" s="60"/>
      <c r="G837" s="85"/>
      <c r="H837" s="59"/>
      <c r="I837" s="86"/>
      <c r="J837" s="105"/>
      <c r="K837" s="88"/>
      <c r="L837" s="88"/>
      <c r="M837" s="88"/>
      <c r="N837" s="88"/>
      <c r="O837" s="88"/>
      <c r="P837" s="88"/>
      <c r="Q837" s="88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</row>
    <row r="838" spans="1:32" ht="24" customHeight="1">
      <c r="A838" s="19"/>
      <c r="B838" s="58"/>
      <c r="C838" s="59"/>
      <c r="D838" s="59"/>
      <c r="E838" s="59"/>
      <c r="F838" s="60"/>
      <c r="G838" s="85"/>
      <c r="H838" s="59"/>
      <c r="I838" s="86"/>
      <c r="J838" s="105"/>
      <c r="K838" s="88"/>
      <c r="L838" s="88"/>
      <c r="M838" s="88"/>
      <c r="N838" s="88"/>
      <c r="O838" s="88"/>
      <c r="P838" s="88"/>
      <c r="Q838" s="88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</row>
    <row r="839" spans="1:32" ht="24" customHeight="1">
      <c r="A839" s="19"/>
      <c r="B839" s="58"/>
      <c r="C839" s="59"/>
      <c r="D839" s="59"/>
      <c r="E839" s="59"/>
      <c r="F839" s="60"/>
      <c r="G839" s="85"/>
      <c r="H839" s="59"/>
      <c r="I839" s="86"/>
      <c r="J839" s="105"/>
      <c r="K839" s="88"/>
      <c r="L839" s="88"/>
      <c r="M839" s="88"/>
      <c r="N839" s="88"/>
      <c r="O839" s="88"/>
      <c r="P839" s="88"/>
      <c r="Q839" s="88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</row>
    <row r="840" spans="1:32" ht="24" customHeight="1">
      <c r="A840" s="19"/>
      <c r="B840" s="58"/>
      <c r="C840" s="59"/>
      <c r="D840" s="59"/>
      <c r="E840" s="59"/>
      <c r="F840" s="60"/>
      <c r="G840" s="85"/>
      <c r="H840" s="59"/>
      <c r="I840" s="86"/>
      <c r="J840" s="105"/>
      <c r="K840" s="88"/>
      <c r="L840" s="88"/>
      <c r="M840" s="88"/>
      <c r="N840" s="88"/>
      <c r="O840" s="88"/>
      <c r="P840" s="88"/>
      <c r="Q840" s="88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</row>
    <row r="841" spans="1:32" ht="24" customHeight="1">
      <c r="A841" s="19"/>
      <c r="B841" s="58"/>
      <c r="C841" s="59"/>
      <c r="D841" s="59"/>
      <c r="E841" s="59"/>
      <c r="F841" s="60"/>
      <c r="G841" s="85"/>
      <c r="H841" s="59"/>
      <c r="I841" s="86"/>
      <c r="J841" s="105"/>
      <c r="K841" s="88"/>
      <c r="L841" s="88"/>
      <c r="M841" s="88"/>
      <c r="N841" s="88"/>
      <c r="O841" s="88"/>
      <c r="P841" s="88"/>
      <c r="Q841" s="88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</row>
    <row r="842" spans="1:32" ht="24" customHeight="1">
      <c r="A842" s="19"/>
      <c r="B842" s="58"/>
      <c r="C842" s="59"/>
      <c r="D842" s="59"/>
      <c r="E842" s="59"/>
      <c r="F842" s="60"/>
      <c r="G842" s="85"/>
      <c r="H842" s="59"/>
      <c r="I842" s="86"/>
      <c r="J842" s="105"/>
      <c r="K842" s="88"/>
      <c r="L842" s="88"/>
      <c r="M842" s="88"/>
      <c r="N842" s="88"/>
      <c r="O842" s="88"/>
      <c r="P842" s="88"/>
      <c r="Q842" s="88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</row>
    <row r="843" spans="1:32" ht="24" customHeight="1">
      <c r="A843" s="19"/>
      <c r="B843" s="58"/>
      <c r="C843" s="59"/>
      <c r="D843" s="59"/>
      <c r="E843" s="59"/>
      <c r="F843" s="60"/>
      <c r="G843" s="85"/>
      <c r="H843" s="59"/>
      <c r="I843" s="86"/>
      <c r="J843" s="105"/>
      <c r="K843" s="88"/>
      <c r="L843" s="88"/>
      <c r="M843" s="88"/>
      <c r="N843" s="88"/>
      <c r="O843" s="88"/>
      <c r="P843" s="88"/>
      <c r="Q843" s="88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</row>
    <row r="844" spans="1:32" ht="24" customHeight="1">
      <c r="A844" s="19"/>
      <c r="B844" s="58"/>
      <c r="C844" s="59"/>
      <c r="D844" s="59"/>
      <c r="E844" s="59"/>
      <c r="F844" s="60"/>
      <c r="G844" s="85"/>
      <c r="H844" s="59"/>
      <c r="I844" s="86"/>
      <c r="J844" s="105"/>
      <c r="K844" s="88"/>
      <c r="L844" s="88"/>
      <c r="M844" s="88"/>
      <c r="N844" s="88"/>
      <c r="O844" s="88"/>
      <c r="P844" s="88"/>
      <c r="Q844" s="88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</row>
    <row r="845" spans="1:32" ht="24" customHeight="1">
      <c r="A845" s="19"/>
      <c r="B845" s="58"/>
      <c r="C845" s="59"/>
      <c r="D845" s="59"/>
      <c r="E845" s="59"/>
      <c r="F845" s="60"/>
      <c r="G845" s="85"/>
      <c r="H845" s="59"/>
      <c r="I845" s="86"/>
      <c r="J845" s="105"/>
      <c r="K845" s="88"/>
      <c r="L845" s="88"/>
      <c r="M845" s="88"/>
      <c r="N845" s="88"/>
      <c r="O845" s="88"/>
      <c r="P845" s="88"/>
      <c r="Q845" s="88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</row>
    <row r="846" spans="1:32" ht="24" customHeight="1">
      <c r="A846" s="19"/>
      <c r="B846" s="58"/>
      <c r="C846" s="59"/>
      <c r="D846" s="59"/>
      <c r="E846" s="59"/>
      <c r="F846" s="60"/>
      <c r="G846" s="85"/>
      <c r="H846" s="59"/>
      <c r="I846" s="86"/>
      <c r="J846" s="105"/>
      <c r="K846" s="88"/>
      <c r="L846" s="88"/>
      <c r="M846" s="88"/>
      <c r="N846" s="88"/>
      <c r="O846" s="88"/>
      <c r="P846" s="88"/>
      <c r="Q846" s="88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</row>
    <row r="847" spans="1:32" ht="24" customHeight="1">
      <c r="A847" s="19"/>
      <c r="B847" s="58"/>
      <c r="C847" s="59"/>
      <c r="D847" s="59"/>
      <c r="E847" s="59"/>
      <c r="F847" s="60"/>
      <c r="G847" s="85"/>
      <c r="H847" s="59"/>
      <c r="I847" s="86"/>
      <c r="J847" s="105"/>
      <c r="K847" s="88"/>
      <c r="L847" s="88"/>
      <c r="M847" s="88"/>
      <c r="N847" s="88"/>
      <c r="O847" s="88"/>
      <c r="P847" s="88"/>
      <c r="Q847" s="88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</row>
    <row r="848" spans="1:32" ht="24" customHeight="1">
      <c r="A848" s="19"/>
      <c r="B848" s="58"/>
      <c r="C848" s="59"/>
      <c r="D848" s="59"/>
      <c r="E848" s="59"/>
      <c r="F848" s="60"/>
      <c r="G848" s="85"/>
      <c r="H848" s="59"/>
      <c r="I848" s="86"/>
      <c r="J848" s="105"/>
      <c r="K848" s="88"/>
      <c r="L848" s="88"/>
      <c r="M848" s="88"/>
      <c r="N848" s="88"/>
      <c r="O848" s="88"/>
      <c r="P848" s="88"/>
      <c r="Q848" s="88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</row>
    <row r="849" spans="1:32" ht="24" customHeight="1">
      <c r="A849" s="19"/>
      <c r="B849" s="58"/>
      <c r="C849" s="59"/>
      <c r="D849" s="59"/>
      <c r="E849" s="59"/>
      <c r="F849" s="60"/>
      <c r="G849" s="85"/>
      <c r="H849" s="59"/>
      <c r="I849" s="86"/>
      <c r="J849" s="105"/>
      <c r="K849" s="88"/>
      <c r="L849" s="88"/>
      <c r="M849" s="88"/>
      <c r="N849" s="88"/>
      <c r="O849" s="88"/>
      <c r="P849" s="88"/>
      <c r="Q849" s="88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</row>
    <row r="850" spans="1:32" ht="24" customHeight="1">
      <c r="A850" s="19"/>
      <c r="B850" s="58"/>
      <c r="C850" s="59"/>
      <c r="D850" s="59"/>
      <c r="E850" s="59"/>
      <c r="F850" s="60"/>
      <c r="G850" s="85"/>
      <c r="H850" s="59"/>
      <c r="I850" s="86"/>
      <c r="J850" s="105"/>
      <c r="K850" s="88"/>
      <c r="L850" s="88"/>
      <c r="M850" s="88"/>
      <c r="N850" s="88"/>
      <c r="O850" s="88"/>
      <c r="P850" s="88"/>
      <c r="Q850" s="88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</row>
    <row r="851" spans="1:32" ht="24" customHeight="1">
      <c r="A851" s="19"/>
      <c r="B851" s="58"/>
      <c r="C851" s="59"/>
      <c r="D851" s="59"/>
      <c r="E851" s="59"/>
      <c r="F851" s="60"/>
      <c r="G851" s="85"/>
      <c r="H851" s="59"/>
      <c r="I851" s="86"/>
      <c r="J851" s="105"/>
      <c r="K851" s="88"/>
      <c r="L851" s="88"/>
      <c r="M851" s="88"/>
      <c r="N851" s="88"/>
      <c r="O851" s="88"/>
      <c r="P851" s="88"/>
      <c r="Q851" s="88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</row>
    <row r="852" spans="1:32" ht="24" customHeight="1">
      <c r="A852" s="19"/>
      <c r="B852" s="58"/>
      <c r="C852" s="59"/>
      <c r="D852" s="59"/>
      <c r="E852" s="59"/>
      <c r="F852" s="60"/>
      <c r="G852" s="85"/>
      <c r="H852" s="59"/>
      <c r="I852" s="86"/>
      <c r="J852" s="105"/>
      <c r="K852" s="88"/>
      <c r="L852" s="88"/>
      <c r="M852" s="88"/>
      <c r="N852" s="88"/>
      <c r="O852" s="88"/>
      <c r="P852" s="88"/>
      <c r="Q852" s="88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</row>
    <row r="853" spans="1:32" ht="24" customHeight="1">
      <c r="A853" s="19"/>
      <c r="B853" s="58"/>
      <c r="C853" s="59"/>
      <c r="D853" s="59"/>
      <c r="E853" s="59"/>
      <c r="F853" s="60"/>
      <c r="G853" s="85"/>
      <c r="H853" s="59"/>
      <c r="I853" s="86"/>
      <c r="J853" s="105"/>
      <c r="K853" s="88"/>
      <c r="L853" s="88"/>
      <c r="M853" s="88"/>
      <c r="N853" s="88"/>
      <c r="O853" s="88"/>
      <c r="P853" s="88"/>
      <c r="Q853" s="88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</row>
    <row r="854" spans="1:32" ht="24" customHeight="1">
      <c r="A854" s="19"/>
      <c r="B854" s="58"/>
      <c r="C854" s="59"/>
      <c r="D854" s="59"/>
      <c r="E854" s="59"/>
      <c r="F854" s="60"/>
      <c r="G854" s="85"/>
      <c r="H854" s="59"/>
      <c r="I854" s="86"/>
      <c r="J854" s="105"/>
      <c r="K854" s="88"/>
      <c r="L854" s="88"/>
      <c r="M854" s="88"/>
      <c r="N854" s="88"/>
      <c r="O854" s="88"/>
      <c r="P854" s="88"/>
      <c r="Q854" s="88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</row>
    <row r="855" spans="1:32" ht="24" customHeight="1">
      <c r="A855" s="19"/>
      <c r="B855" s="58"/>
      <c r="C855" s="59"/>
      <c r="D855" s="59"/>
      <c r="E855" s="59"/>
      <c r="F855" s="60"/>
      <c r="G855" s="85"/>
      <c r="H855" s="59"/>
      <c r="I855" s="86"/>
      <c r="J855" s="105"/>
      <c r="K855" s="88"/>
      <c r="L855" s="88"/>
      <c r="M855" s="88"/>
      <c r="N855" s="88"/>
      <c r="O855" s="88"/>
      <c r="P855" s="88"/>
      <c r="Q855" s="88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</row>
    <row r="856" spans="1:32" ht="24" customHeight="1">
      <c r="A856" s="19"/>
      <c r="B856" s="58"/>
      <c r="C856" s="59"/>
      <c r="D856" s="59"/>
      <c r="E856" s="59"/>
      <c r="F856" s="60"/>
      <c r="G856" s="85"/>
      <c r="H856" s="59"/>
      <c r="I856" s="86"/>
      <c r="J856" s="105"/>
      <c r="K856" s="88"/>
      <c r="L856" s="88"/>
      <c r="M856" s="88"/>
      <c r="N856" s="88"/>
      <c r="O856" s="88"/>
      <c r="P856" s="88"/>
      <c r="Q856" s="88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</row>
    <row r="857" spans="1:32" ht="24" customHeight="1">
      <c r="A857" s="19"/>
      <c r="B857" s="58"/>
      <c r="C857" s="59"/>
      <c r="D857" s="59"/>
      <c r="E857" s="59"/>
      <c r="F857" s="60"/>
      <c r="G857" s="85"/>
      <c r="H857" s="59"/>
      <c r="I857" s="86"/>
      <c r="J857" s="105"/>
      <c r="K857" s="88"/>
      <c r="L857" s="88"/>
      <c r="M857" s="88"/>
      <c r="N857" s="88"/>
      <c r="O857" s="88"/>
      <c r="P857" s="88"/>
      <c r="Q857" s="88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</row>
    <row r="858" spans="1:32" ht="24" customHeight="1">
      <c r="A858" s="19"/>
      <c r="B858" s="58"/>
      <c r="C858" s="59"/>
      <c r="D858" s="59"/>
      <c r="E858" s="59"/>
      <c r="F858" s="60"/>
      <c r="G858" s="85"/>
      <c r="H858" s="59"/>
      <c r="I858" s="86"/>
      <c r="J858" s="105"/>
      <c r="K858" s="88"/>
      <c r="L858" s="88"/>
      <c r="M858" s="88"/>
      <c r="N858" s="88"/>
      <c r="O858" s="88"/>
      <c r="P858" s="88"/>
      <c r="Q858" s="88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</row>
    <row r="859" spans="1:32" ht="24" customHeight="1">
      <c r="A859" s="19"/>
      <c r="B859" s="58"/>
      <c r="C859" s="59"/>
      <c r="D859" s="59"/>
      <c r="E859" s="59"/>
      <c r="F859" s="60"/>
      <c r="G859" s="85"/>
      <c r="H859" s="59"/>
      <c r="I859" s="86"/>
      <c r="J859" s="105"/>
      <c r="K859" s="88"/>
      <c r="L859" s="88"/>
      <c r="M859" s="88"/>
      <c r="N859" s="88"/>
      <c r="O859" s="88"/>
      <c r="P859" s="88"/>
      <c r="Q859" s="88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</row>
    <row r="860" spans="1:32" ht="24" customHeight="1">
      <c r="A860" s="19"/>
      <c r="B860" s="58"/>
      <c r="C860" s="59"/>
      <c r="D860" s="59"/>
      <c r="E860" s="59"/>
      <c r="F860" s="60"/>
      <c r="G860" s="85"/>
      <c r="H860" s="59"/>
      <c r="I860" s="86"/>
      <c r="J860" s="105"/>
      <c r="K860" s="88"/>
      <c r="L860" s="88"/>
      <c r="M860" s="88"/>
      <c r="N860" s="88"/>
      <c r="O860" s="88"/>
      <c r="P860" s="88"/>
      <c r="Q860" s="88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</row>
    <row r="861" spans="1:32" ht="24" customHeight="1">
      <c r="A861" s="19"/>
      <c r="B861" s="58"/>
      <c r="C861" s="59"/>
      <c r="D861" s="59"/>
      <c r="E861" s="59"/>
      <c r="F861" s="60"/>
      <c r="G861" s="85"/>
      <c r="H861" s="59"/>
      <c r="I861" s="86"/>
      <c r="J861" s="105"/>
      <c r="K861" s="88"/>
      <c r="L861" s="88"/>
      <c r="M861" s="88"/>
      <c r="N861" s="88"/>
      <c r="O861" s="88"/>
      <c r="P861" s="88"/>
      <c r="Q861" s="88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</row>
    <row r="862" spans="1:32" ht="24" customHeight="1">
      <c r="A862" s="19"/>
      <c r="B862" s="58"/>
      <c r="C862" s="59"/>
      <c r="D862" s="59"/>
      <c r="E862" s="59"/>
      <c r="F862" s="60"/>
      <c r="G862" s="85"/>
      <c r="H862" s="59"/>
      <c r="I862" s="86"/>
      <c r="J862" s="105"/>
      <c r="K862" s="88"/>
      <c r="L862" s="88"/>
      <c r="M862" s="88"/>
      <c r="N862" s="88"/>
      <c r="O862" s="88"/>
      <c r="P862" s="88"/>
      <c r="Q862" s="88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</row>
    <row r="863" spans="1:32" ht="24" customHeight="1">
      <c r="A863" s="19"/>
      <c r="B863" s="58"/>
      <c r="C863" s="59"/>
      <c r="D863" s="59"/>
      <c r="E863" s="59"/>
      <c r="F863" s="60"/>
      <c r="G863" s="85"/>
      <c r="H863" s="59"/>
      <c r="I863" s="86"/>
      <c r="J863" s="105"/>
      <c r="K863" s="88"/>
      <c r="L863" s="88"/>
      <c r="M863" s="88"/>
      <c r="N863" s="88"/>
      <c r="O863" s="88"/>
      <c r="P863" s="88"/>
      <c r="Q863" s="88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</row>
    <row r="864" spans="1:32" ht="24" customHeight="1">
      <c r="A864" s="19"/>
      <c r="B864" s="58"/>
      <c r="C864" s="59"/>
      <c r="D864" s="59"/>
      <c r="E864" s="59"/>
      <c r="F864" s="60"/>
      <c r="G864" s="85"/>
      <c r="H864" s="59"/>
      <c r="I864" s="86"/>
      <c r="J864" s="105"/>
      <c r="K864" s="88"/>
      <c r="L864" s="88"/>
      <c r="M864" s="88"/>
      <c r="N864" s="88"/>
      <c r="O864" s="88"/>
      <c r="P864" s="88"/>
      <c r="Q864" s="88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</row>
    <row r="865" spans="1:32" ht="24" customHeight="1">
      <c r="A865" s="19"/>
      <c r="B865" s="58"/>
      <c r="C865" s="59"/>
      <c r="D865" s="59"/>
      <c r="E865" s="59"/>
      <c r="F865" s="60"/>
      <c r="G865" s="85"/>
      <c r="H865" s="59"/>
      <c r="I865" s="86"/>
      <c r="J865" s="105"/>
      <c r="K865" s="88"/>
      <c r="L865" s="88"/>
      <c r="M865" s="88"/>
      <c r="N865" s="88"/>
      <c r="O865" s="88"/>
      <c r="P865" s="88"/>
      <c r="Q865" s="88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</row>
    <row r="866" spans="1:32" ht="24" customHeight="1">
      <c r="A866" s="19"/>
      <c r="B866" s="58"/>
      <c r="C866" s="59"/>
      <c r="D866" s="59"/>
      <c r="E866" s="59"/>
      <c r="F866" s="60"/>
      <c r="G866" s="85"/>
      <c r="H866" s="59"/>
      <c r="I866" s="86"/>
      <c r="J866" s="105"/>
      <c r="K866" s="88"/>
      <c r="L866" s="88"/>
      <c r="M866" s="88"/>
      <c r="N866" s="88"/>
      <c r="O866" s="88"/>
      <c r="P866" s="88"/>
      <c r="Q866" s="88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</row>
    <row r="867" spans="1:32" ht="24" customHeight="1">
      <c r="A867" s="19"/>
      <c r="B867" s="58"/>
      <c r="C867" s="59"/>
      <c r="D867" s="59"/>
      <c r="E867" s="59"/>
      <c r="F867" s="60"/>
      <c r="G867" s="85"/>
      <c r="H867" s="59"/>
      <c r="I867" s="86"/>
      <c r="J867" s="105"/>
      <c r="K867" s="88"/>
      <c r="L867" s="88"/>
      <c r="M867" s="88"/>
      <c r="N867" s="88"/>
      <c r="O867" s="88"/>
      <c r="P867" s="88"/>
      <c r="Q867" s="88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</row>
    <row r="868" spans="1:32" ht="24" customHeight="1">
      <c r="A868" s="19"/>
      <c r="B868" s="58"/>
      <c r="C868" s="59"/>
      <c r="D868" s="59"/>
      <c r="E868" s="59"/>
      <c r="F868" s="60"/>
      <c r="G868" s="85"/>
      <c r="H868" s="59"/>
      <c r="I868" s="86"/>
      <c r="J868" s="105"/>
      <c r="K868" s="88"/>
      <c r="L868" s="88"/>
      <c r="M868" s="88"/>
      <c r="N868" s="88"/>
      <c r="O868" s="88"/>
      <c r="P868" s="88"/>
      <c r="Q868" s="88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</row>
    <row r="869" spans="1:32" ht="24" customHeight="1">
      <c r="A869" s="19"/>
      <c r="B869" s="58"/>
      <c r="C869" s="59"/>
      <c r="D869" s="59"/>
      <c r="E869" s="59"/>
      <c r="F869" s="60"/>
      <c r="G869" s="85"/>
      <c r="H869" s="59"/>
      <c r="I869" s="86"/>
      <c r="J869" s="105"/>
      <c r="K869" s="88"/>
      <c r="L869" s="88"/>
      <c r="M869" s="88"/>
      <c r="N869" s="88"/>
      <c r="O869" s="88"/>
      <c r="P869" s="88"/>
      <c r="Q869" s="88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</row>
    <row r="870" spans="1:32" ht="24" customHeight="1">
      <c r="A870" s="19"/>
      <c r="B870" s="58"/>
      <c r="C870" s="59"/>
      <c r="D870" s="59"/>
      <c r="E870" s="59"/>
      <c r="F870" s="60"/>
      <c r="G870" s="85"/>
      <c r="H870" s="59"/>
      <c r="I870" s="86"/>
      <c r="J870" s="105"/>
      <c r="K870" s="88"/>
      <c r="L870" s="88"/>
      <c r="M870" s="88"/>
      <c r="N870" s="88"/>
      <c r="O870" s="88"/>
      <c r="P870" s="88"/>
      <c r="Q870" s="88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</row>
    <row r="871" spans="1:32" ht="24" customHeight="1">
      <c r="A871" s="19"/>
      <c r="B871" s="58"/>
      <c r="C871" s="59"/>
      <c r="D871" s="59"/>
      <c r="E871" s="59"/>
      <c r="F871" s="60"/>
      <c r="G871" s="85"/>
      <c r="H871" s="59"/>
      <c r="I871" s="86"/>
      <c r="J871" s="105"/>
      <c r="K871" s="88"/>
      <c r="L871" s="88"/>
      <c r="M871" s="88"/>
      <c r="N871" s="88"/>
      <c r="O871" s="88"/>
      <c r="P871" s="88"/>
      <c r="Q871" s="88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</row>
    <row r="872" spans="1:32" ht="24" customHeight="1">
      <c r="A872" s="19"/>
      <c r="B872" s="58"/>
      <c r="C872" s="59"/>
      <c r="D872" s="59"/>
      <c r="E872" s="59"/>
      <c r="F872" s="60"/>
      <c r="G872" s="85"/>
      <c r="H872" s="59"/>
      <c r="I872" s="86"/>
      <c r="J872" s="105"/>
      <c r="K872" s="88"/>
      <c r="L872" s="88"/>
      <c r="M872" s="88"/>
      <c r="N872" s="88"/>
      <c r="O872" s="88"/>
      <c r="P872" s="88"/>
      <c r="Q872" s="88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</row>
    <row r="873" spans="1:32" ht="24" customHeight="1">
      <c r="A873" s="19"/>
      <c r="B873" s="58"/>
      <c r="C873" s="59"/>
      <c r="D873" s="59"/>
      <c r="E873" s="59"/>
      <c r="F873" s="60"/>
      <c r="G873" s="85"/>
      <c r="H873" s="59"/>
      <c r="I873" s="86"/>
      <c r="J873" s="105"/>
      <c r="K873" s="88"/>
      <c r="L873" s="88"/>
      <c r="M873" s="88"/>
      <c r="N873" s="88"/>
      <c r="O873" s="88"/>
      <c r="P873" s="88"/>
      <c r="Q873" s="88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</row>
    <row r="874" spans="1:32" ht="24" customHeight="1">
      <c r="A874" s="19"/>
      <c r="B874" s="58"/>
      <c r="C874" s="59"/>
      <c r="D874" s="59"/>
      <c r="E874" s="59"/>
      <c r="F874" s="60"/>
      <c r="G874" s="85"/>
      <c r="H874" s="59"/>
      <c r="I874" s="86"/>
      <c r="J874" s="105"/>
      <c r="K874" s="88"/>
      <c r="L874" s="88"/>
      <c r="M874" s="88"/>
      <c r="N874" s="88"/>
      <c r="O874" s="88"/>
      <c r="P874" s="88"/>
      <c r="Q874" s="88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</row>
    <row r="875" spans="1:32" ht="24" customHeight="1">
      <c r="A875" s="19"/>
      <c r="B875" s="58"/>
      <c r="C875" s="59"/>
      <c r="D875" s="59"/>
      <c r="E875" s="59"/>
      <c r="F875" s="60"/>
      <c r="G875" s="85"/>
      <c r="H875" s="59"/>
      <c r="I875" s="86"/>
      <c r="J875" s="105"/>
      <c r="K875" s="88"/>
      <c r="L875" s="88"/>
      <c r="M875" s="88"/>
      <c r="N875" s="88"/>
      <c r="O875" s="88"/>
      <c r="P875" s="88"/>
      <c r="Q875" s="88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</row>
    <row r="876" spans="1:32" ht="24" customHeight="1">
      <c r="A876" s="19"/>
      <c r="B876" s="58"/>
      <c r="C876" s="59"/>
      <c r="D876" s="59"/>
      <c r="E876" s="59"/>
      <c r="F876" s="60"/>
      <c r="G876" s="85"/>
      <c r="H876" s="59"/>
      <c r="I876" s="86"/>
      <c r="J876" s="105"/>
      <c r="K876" s="88"/>
      <c r="L876" s="88"/>
      <c r="M876" s="88"/>
      <c r="N876" s="88"/>
      <c r="O876" s="88"/>
      <c r="P876" s="88"/>
      <c r="Q876" s="88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</row>
    <row r="877" spans="1:32" ht="24" customHeight="1">
      <c r="A877" s="19"/>
      <c r="B877" s="58"/>
      <c r="C877" s="59"/>
      <c r="D877" s="59"/>
      <c r="E877" s="59"/>
      <c r="F877" s="60"/>
      <c r="G877" s="85"/>
      <c r="H877" s="59"/>
      <c r="I877" s="86"/>
      <c r="J877" s="105"/>
      <c r="K877" s="88"/>
      <c r="L877" s="88"/>
      <c r="M877" s="88"/>
      <c r="N877" s="88"/>
      <c r="O877" s="88"/>
      <c r="P877" s="88"/>
      <c r="Q877" s="88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</row>
    <row r="878" spans="1:32" ht="24" customHeight="1">
      <c r="A878" s="19"/>
      <c r="B878" s="58"/>
      <c r="C878" s="59"/>
      <c r="D878" s="59"/>
      <c r="E878" s="59"/>
      <c r="F878" s="60"/>
      <c r="G878" s="85"/>
      <c r="H878" s="59"/>
      <c r="I878" s="86"/>
      <c r="J878" s="105"/>
      <c r="K878" s="88"/>
      <c r="L878" s="88"/>
      <c r="M878" s="88"/>
      <c r="N878" s="88"/>
      <c r="O878" s="88"/>
      <c r="P878" s="88"/>
      <c r="Q878" s="88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</row>
    <row r="879" spans="1:32" ht="24" customHeight="1">
      <c r="A879" s="19"/>
      <c r="B879" s="58"/>
      <c r="C879" s="59"/>
      <c r="D879" s="59"/>
      <c r="E879" s="59"/>
      <c r="F879" s="60"/>
      <c r="G879" s="85"/>
      <c r="H879" s="59"/>
      <c r="I879" s="86"/>
      <c r="J879" s="105"/>
      <c r="K879" s="88"/>
      <c r="L879" s="88"/>
      <c r="M879" s="88"/>
      <c r="N879" s="88"/>
      <c r="O879" s="88"/>
      <c r="P879" s="88"/>
      <c r="Q879" s="88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</row>
    <row r="880" spans="1:32" ht="24" customHeight="1">
      <c r="A880" s="19"/>
      <c r="B880" s="58"/>
      <c r="C880" s="59"/>
      <c r="D880" s="59"/>
      <c r="E880" s="59"/>
      <c r="F880" s="60"/>
      <c r="G880" s="85"/>
      <c r="H880" s="59"/>
      <c r="I880" s="86"/>
      <c r="J880" s="105"/>
      <c r="K880" s="88"/>
      <c r="L880" s="88"/>
      <c r="M880" s="88"/>
      <c r="N880" s="88"/>
      <c r="O880" s="88"/>
      <c r="P880" s="88"/>
      <c r="Q880" s="88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</row>
    <row r="881" spans="1:32" ht="24" customHeight="1">
      <c r="A881" s="19"/>
      <c r="B881" s="58"/>
      <c r="C881" s="59"/>
      <c r="D881" s="59"/>
      <c r="E881" s="59"/>
      <c r="F881" s="60"/>
      <c r="G881" s="85"/>
      <c r="H881" s="59"/>
      <c r="I881" s="86"/>
      <c r="J881" s="105"/>
      <c r="K881" s="88"/>
      <c r="L881" s="88"/>
      <c r="M881" s="88"/>
      <c r="N881" s="88"/>
      <c r="O881" s="88"/>
      <c r="P881" s="88"/>
      <c r="Q881" s="88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</row>
    <row r="882" spans="1:32" ht="24" customHeight="1">
      <c r="A882" s="19"/>
      <c r="B882" s="58"/>
      <c r="C882" s="59"/>
      <c r="D882" s="59"/>
      <c r="E882" s="59"/>
      <c r="F882" s="60"/>
      <c r="G882" s="85"/>
      <c r="H882" s="59"/>
      <c r="I882" s="86"/>
      <c r="J882" s="105"/>
      <c r="K882" s="88"/>
      <c r="L882" s="88"/>
      <c r="M882" s="88"/>
      <c r="N882" s="88"/>
      <c r="O882" s="88"/>
      <c r="P882" s="88"/>
      <c r="Q882" s="88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</row>
    <row r="883" spans="1:32" ht="24" customHeight="1">
      <c r="A883" s="19"/>
      <c r="B883" s="58"/>
      <c r="C883" s="59"/>
      <c r="D883" s="59"/>
      <c r="E883" s="59"/>
      <c r="F883" s="60"/>
      <c r="G883" s="85"/>
      <c r="H883" s="59"/>
      <c r="I883" s="86"/>
      <c r="J883" s="105"/>
      <c r="K883" s="88"/>
      <c r="L883" s="88"/>
      <c r="M883" s="88"/>
      <c r="N883" s="88"/>
      <c r="O883" s="88"/>
      <c r="P883" s="88"/>
      <c r="Q883" s="88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</row>
    <row r="884" spans="1:32" ht="24" customHeight="1">
      <c r="A884" s="19"/>
      <c r="B884" s="58"/>
      <c r="C884" s="59"/>
      <c r="D884" s="59"/>
      <c r="E884" s="59"/>
      <c r="F884" s="60"/>
      <c r="G884" s="85"/>
      <c r="H884" s="59"/>
      <c r="I884" s="86"/>
      <c r="J884" s="105"/>
      <c r="K884" s="88"/>
      <c r="L884" s="88"/>
      <c r="M884" s="88"/>
      <c r="N884" s="88"/>
      <c r="O884" s="88"/>
      <c r="P884" s="88"/>
      <c r="Q884" s="88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</row>
    <row r="885" spans="1:32" ht="24" customHeight="1">
      <c r="A885" s="19"/>
      <c r="B885" s="58"/>
      <c r="C885" s="59"/>
      <c r="D885" s="59"/>
      <c r="E885" s="59"/>
      <c r="F885" s="60"/>
      <c r="G885" s="85"/>
      <c r="H885" s="59"/>
      <c r="I885" s="86"/>
      <c r="J885" s="105"/>
      <c r="K885" s="88"/>
      <c r="L885" s="88"/>
      <c r="M885" s="88"/>
      <c r="N885" s="88"/>
      <c r="O885" s="88"/>
      <c r="P885" s="88"/>
      <c r="Q885" s="88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</row>
    <row r="886" spans="1:32" ht="24" customHeight="1">
      <c r="A886" s="19"/>
      <c r="B886" s="58"/>
      <c r="C886" s="59"/>
      <c r="D886" s="59"/>
      <c r="E886" s="59"/>
      <c r="F886" s="60"/>
      <c r="G886" s="85"/>
      <c r="H886" s="59"/>
      <c r="I886" s="86"/>
      <c r="J886" s="105"/>
      <c r="K886" s="88"/>
      <c r="L886" s="88"/>
      <c r="M886" s="88"/>
      <c r="N886" s="88"/>
      <c r="O886" s="88"/>
      <c r="P886" s="88"/>
      <c r="Q886" s="88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</row>
    <row r="887" spans="1:32" ht="24" customHeight="1">
      <c r="A887" s="19"/>
      <c r="B887" s="58"/>
      <c r="C887" s="59"/>
      <c r="D887" s="59"/>
      <c r="E887" s="59"/>
      <c r="F887" s="60"/>
      <c r="G887" s="85"/>
      <c r="H887" s="59"/>
      <c r="I887" s="86"/>
      <c r="J887" s="105"/>
      <c r="K887" s="88"/>
      <c r="L887" s="88"/>
      <c r="M887" s="88"/>
      <c r="N887" s="88"/>
      <c r="O887" s="88"/>
      <c r="P887" s="88"/>
      <c r="Q887" s="88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</row>
    <row r="888" spans="1:32" ht="24" customHeight="1">
      <c r="A888" s="19"/>
      <c r="B888" s="58"/>
      <c r="C888" s="59"/>
      <c r="D888" s="59"/>
      <c r="E888" s="59"/>
      <c r="F888" s="60"/>
      <c r="G888" s="85"/>
      <c r="H888" s="59"/>
      <c r="I888" s="86"/>
      <c r="J888" s="105"/>
      <c r="K888" s="88"/>
      <c r="L888" s="88"/>
      <c r="M888" s="88"/>
      <c r="N888" s="88"/>
      <c r="O888" s="88"/>
      <c r="P888" s="88"/>
      <c r="Q888" s="88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</row>
    <row r="889" spans="1:32" ht="24" customHeight="1">
      <c r="A889" s="19"/>
      <c r="B889" s="58"/>
      <c r="C889" s="59"/>
      <c r="D889" s="59"/>
      <c r="E889" s="59"/>
      <c r="F889" s="60"/>
      <c r="G889" s="85"/>
      <c r="H889" s="59"/>
      <c r="I889" s="86"/>
      <c r="J889" s="105"/>
      <c r="K889" s="88"/>
      <c r="L889" s="88"/>
      <c r="M889" s="88"/>
      <c r="N889" s="88"/>
      <c r="O889" s="88"/>
      <c r="P889" s="88"/>
      <c r="Q889" s="88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</row>
    <row r="890" spans="1:32" ht="24" customHeight="1">
      <c r="A890" s="19"/>
      <c r="B890" s="58"/>
      <c r="C890" s="59"/>
      <c r="D890" s="59"/>
      <c r="E890" s="59"/>
      <c r="F890" s="60"/>
      <c r="G890" s="85"/>
      <c r="H890" s="59"/>
      <c r="I890" s="86"/>
      <c r="J890" s="105"/>
      <c r="K890" s="88"/>
      <c r="L890" s="88"/>
      <c r="M890" s="88"/>
      <c r="N890" s="88"/>
      <c r="O890" s="88"/>
      <c r="P890" s="88"/>
      <c r="Q890" s="88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</row>
    <row r="891" spans="1:32" ht="24" customHeight="1">
      <c r="A891" s="19"/>
      <c r="B891" s="58"/>
      <c r="C891" s="59"/>
      <c r="D891" s="59"/>
      <c r="E891" s="59"/>
      <c r="F891" s="60"/>
      <c r="G891" s="85"/>
      <c r="H891" s="59"/>
      <c r="I891" s="86"/>
      <c r="J891" s="105"/>
      <c r="K891" s="88"/>
      <c r="L891" s="88"/>
      <c r="M891" s="88"/>
      <c r="N891" s="88"/>
      <c r="O891" s="88"/>
      <c r="P891" s="88"/>
      <c r="Q891" s="88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</row>
    <row r="892" spans="1:32" ht="24" customHeight="1">
      <c r="A892" s="19"/>
      <c r="B892" s="58"/>
      <c r="C892" s="59"/>
      <c r="D892" s="59"/>
      <c r="E892" s="59"/>
      <c r="F892" s="60"/>
      <c r="G892" s="85"/>
      <c r="H892" s="59"/>
      <c r="I892" s="86"/>
      <c r="J892" s="105"/>
      <c r="K892" s="88"/>
      <c r="L892" s="88"/>
      <c r="M892" s="88"/>
      <c r="N892" s="88"/>
      <c r="O892" s="88"/>
      <c r="P892" s="88"/>
      <c r="Q892" s="88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</row>
    <row r="893" spans="1:32" ht="24" customHeight="1">
      <c r="A893" s="19"/>
      <c r="B893" s="58"/>
      <c r="C893" s="59"/>
      <c r="D893" s="59"/>
      <c r="E893" s="59"/>
      <c r="F893" s="60"/>
      <c r="G893" s="85"/>
      <c r="H893" s="59"/>
      <c r="I893" s="86"/>
      <c r="J893" s="105"/>
      <c r="K893" s="88"/>
      <c r="L893" s="88"/>
      <c r="M893" s="88"/>
      <c r="N893" s="88"/>
      <c r="O893" s="88"/>
      <c r="P893" s="88"/>
      <c r="Q893" s="88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</row>
    <row r="894" spans="1:32" ht="24" customHeight="1">
      <c r="A894" s="19"/>
      <c r="B894" s="58"/>
      <c r="C894" s="59"/>
      <c r="D894" s="59"/>
      <c r="E894" s="59"/>
      <c r="F894" s="60"/>
      <c r="G894" s="85"/>
      <c r="H894" s="59"/>
      <c r="I894" s="86"/>
      <c r="J894" s="105"/>
      <c r="K894" s="88"/>
      <c r="L894" s="88"/>
      <c r="M894" s="88"/>
      <c r="N894" s="88"/>
      <c r="O894" s="88"/>
      <c r="P894" s="88"/>
      <c r="Q894" s="88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</row>
    <row r="895" spans="1:32" ht="24" customHeight="1">
      <c r="A895" s="19"/>
      <c r="B895" s="58"/>
      <c r="C895" s="59"/>
      <c r="D895" s="59"/>
      <c r="E895" s="59"/>
      <c r="F895" s="60"/>
      <c r="G895" s="85"/>
      <c r="H895" s="59"/>
      <c r="I895" s="86"/>
      <c r="J895" s="105"/>
      <c r="K895" s="88"/>
      <c r="L895" s="88"/>
      <c r="M895" s="88"/>
      <c r="N895" s="88"/>
      <c r="O895" s="88"/>
      <c r="P895" s="88"/>
      <c r="Q895" s="88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</row>
    <row r="896" spans="1:32" ht="24" customHeight="1">
      <c r="A896" s="19"/>
      <c r="B896" s="58"/>
      <c r="C896" s="59"/>
      <c r="D896" s="59"/>
      <c r="E896" s="59"/>
      <c r="F896" s="60"/>
      <c r="G896" s="85"/>
      <c r="H896" s="59"/>
      <c r="I896" s="86"/>
      <c r="J896" s="105"/>
      <c r="K896" s="88"/>
      <c r="L896" s="88"/>
      <c r="M896" s="88"/>
      <c r="N896" s="88"/>
      <c r="O896" s="88"/>
      <c r="P896" s="88"/>
      <c r="Q896" s="88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</row>
    <row r="897" spans="1:32" ht="24" customHeight="1">
      <c r="A897" s="19"/>
      <c r="B897" s="58"/>
      <c r="C897" s="59"/>
      <c r="D897" s="59"/>
      <c r="E897" s="59"/>
      <c r="F897" s="60"/>
      <c r="G897" s="85"/>
      <c r="H897" s="59"/>
      <c r="I897" s="86"/>
      <c r="J897" s="105"/>
      <c r="K897" s="88"/>
      <c r="L897" s="88"/>
      <c r="M897" s="88"/>
      <c r="N897" s="88"/>
      <c r="O897" s="88"/>
      <c r="P897" s="88"/>
      <c r="Q897" s="88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</row>
    <row r="898" spans="1:32" ht="24" customHeight="1">
      <c r="A898" s="19"/>
      <c r="B898" s="58"/>
      <c r="C898" s="59"/>
      <c r="D898" s="59"/>
      <c r="E898" s="59"/>
      <c r="F898" s="60"/>
      <c r="G898" s="85"/>
      <c r="H898" s="59"/>
      <c r="I898" s="86"/>
      <c r="J898" s="105"/>
      <c r="K898" s="88"/>
      <c r="L898" s="88"/>
      <c r="M898" s="88"/>
      <c r="N898" s="88"/>
      <c r="O898" s="88"/>
      <c r="P898" s="88"/>
      <c r="Q898" s="88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</row>
    <row r="899" spans="1:32" ht="24" customHeight="1">
      <c r="A899" s="19"/>
      <c r="B899" s="58"/>
      <c r="C899" s="59"/>
      <c r="D899" s="59"/>
      <c r="E899" s="59"/>
      <c r="F899" s="60"/>
      <c r="G899" s="85"/>
      <c r="H899" s="59"/>
      <c r="I899" s="86"/>
      <c r="J899" s="105"/>
      <c r="K899" s="88"/>
      <c r="L899" s="88"/>
      <c r="M899" s="88"/>
      <c r="N899" s="88"/>
      <c r="O899" s="88"/>
      <c r="P899" s="88"/>
      <c r="Q899" s="88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</row>
    <row r="900" spans="1:32" ht="24" customHeight="1">
      <c r="A900" s="19"/>
      <c r="B900" s="58"/>
      <c r="C900" s="59"/>
      <c r="D900" s="59"/>
      <c r="E900" s="59"/>
      <c r="F900" s="60"/>
      <c r="G900" s="85"/>
      <c r="H900" s="59"/>
      <c r="I900" s="86"/>
      <c r="J900" s="105"/>
      <c r="K900" s="88"/>
      <c r="L900" s="88"/>
      <c r="M900" s="88"/>
      <c r="N900" s="88"/>
      <c r="O900" s="88"/>
      <c r="P900" s="88"/>
      <c r="Q900" s="88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</row>
    <row r="901" spans="1:32" ht="24" customHeight="1">
      <c r="A901" s="19"/>
      <c r="B901" s="58"/>
      <c r="C901" s="59"/>
      <c r="D901" s="59"/>
      <c r="E901" s="59"/>
      <c r="F901" s="60"/>
      <c r="G901" s="85"/>
      <c r="H901" s="59"/>
      <c r="I901" s="86"/>
      <c r="J901" s="105"/>
      <c r="K901" s="88"/>
      <c r="L901" s="88"/>
      <c r="M901" s="88"/>
      <c r="N901" s="88"/>
      <c r="O901" s="88"/>
      <c r="P901" s="88"/>
      <c r="Q901" s="88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</row>
    <row r="902" spans="1:32" ht="24" customHeight="1">
      <c r="A902" s="19"/>
      <c r="B902" s="58"/>
      <c r="C902" s="59"/>
      <c r="D902" s="59"/>
      <c r="E902" s="59"/>
      <c r="F902" s="60"/>
      <c r="G902" s="85"/>
      <c r="H902" s="59"/>
      <c r="I902" s="86"/>
      <c r="J902" s="105"/>
      <c r="K902" s="88"/>
      <c r="L902" s="88"/>
      <c r="M902" s="88"/>
      <c r="N902" s="88"/>
      <c r="O902" s="88"/>
      <c r="P902" s="88"/>
      <c r="Q902" s="88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</row>
    <row r="903" spans="1:32" ht="24" customHeight="1">
      <c r="A903" s="19"/>
      <c r="B903" s="58"/>
      <c r="C903" s="59"/>
      <c r="D903" s="59"/>
      <c r="E903" s="59"/>
      <c r="F903" s="60"/>
      <c r="G903" s="85"/>
      <c r="H903" s="59"/>
      <c r="I903" s="86"/>
      <c r="J903" s="105"/>
      <c r="K903" s="88"/>
      <c r="L903" s="88"/>
      <c r="M903" s="88"/>
      <c r="N903" s="88"/>
      <c r="O903" s="88"/>
      <c r="P903" s="88"/>
      <c r="Q903" s="88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</row>
    <row r="904" spans="1:32" ht="24" customHeight="1">
      <c r="A904" s="19"/>
      <c r="B904" s="58"/>
      <c r="C904" s="59"/>
      <c r="D904" s="59"/>
      <c r="E904" s="59"/>
      <c r="F904" s="60"/>
      <c r="G904" s="85"/>
      <c r="H904" s="59"/>
      <c r="I904" s="86"/>
      <c r="J904" s="105"/>
      <c r="K904" s="88"/>
      <c r="L904" s="88"/>
      <c r="M904" s="88"/>
      <c r="N904" s="88"/>
      <c r="O904" s="88"/>
      <c r="P904" s="88"/>
      <c r="Q904" s="88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</row>
    <row r="905" spans="1:32" ht="24" customHeight="1">
      <c r="A905" s="19"/>
      <c r="B905" s="58"/>
      <c r="C905" s="59"/>
      <c r="D905" s="59"/>
      <c r="E905" s="59"/>
      <c r="F905" s="60"/>
      <c r="G905" s="85"/>
      <c r="H905" s="59"/>
      <c r="I905" s="86"/>
      <c r="J905" s="105"/>
      <c r="K905" s="88"/>
      <c r="L905" s="88"/>
      <c r="M905" s="88"/>
      <c r="N905" s="88"/>
      <c r="O905" s="88"/>
      <c r="P905" s="88"/>
      <c r="Q905" s="88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</row>
    <row r="906" spans="1:32" ht="24" customHeight="1">
      <c r="A906" s="19"/>
      <c r="B906" s="58"/>
      <c r="C906" s="59"/>
      <c r="D906" s="59"/>
      <c r="E906" s="59"/>
      <c r="F906" s="60"/>
      <c r="G906" s="85"/>
      <c r="H906" s="59"/>
      <c r="I906" s="86"/>
      <c r="J906" s="105"/>
      <c r="K906" s="88"/>
      <c r="L906" s="88"/>
      <c r="M906" s="88"/>
      <c r="N906" s="88"/>
      <c r="O906" s="88"/>
      <c r="P906" s="88"/>
      <c r="Q906" s="88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</row>
    <row r="907" spans="1:32" ht="24" customHeight="1">
      <c r="A907" s="19"/>
      <c r="B907" s="58"/>
      <c r="C907" s="59"/>
      <c r="D907" s="59"/>
      <c r="E907" s="59"/>
      <c r="F907" s="60"/>
      <c r="G907" s="85"/>
      <c r="H907" s="59"/>
      <c r="I907" s="86"/>
      <c r="J907" s="105"/>
      <c r="K907" s="88"/>
      <c r="L907" s="88"/>
      <c r="M907" s="88"/>
      <c r="N907" s="88"/>
      <c r="O907" s="88"/>
      <c r="P907" s="88"/>
      <c r="Q907" s="88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</row>
    <row r="908" spans="1:32" ht="24" customHeight="1">
      <c r="A908" s="19"/>
      <c r="B908" s="58"/>
      <c r="C908" s="59"/>
      <c r="D908" s="59"/>
      <c r="E908" s="59"/>
      <c r="F908" s="60"/>
      <c r="G908" s="85"/>
      <c r="H908" s="59"/>
      <c r="I908" s="86"/>
      <c r="J908" s="105"/>
      <c r="K908" s="88"/>
      <c r="L908" s="88"/>
      <c r="M908" s="88"/>
      <c r="N908" s="88"/>
      <c r="O908" s="88"/>
      <c r="P908" s="88"/>
      <c r="Q908" s="88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</row>
    <row r="909" spans="1:32" ht="24" customHeight="1">
      <c r="A909" s="19"/>
      <c r="B909" s="58"/>
      <c r="C909" s="59"/>
      <c r="D909" s="59"/>
      <c r="E909" s="59"/>
      <c r="F909" s="60"/>
      <c r="G909" s="85"/>
      <c r="H909" s="59"/>
      <c r="I909" s="86"/>
      <c r="J909" s="105"/>
      <c r="K909" s="88"/>
      <c r="L909" s="88"/>
      <c r="M909" s="88"/>
      <c r="N909" s="88"/>
      <c r="O909" s="88"/>
      <c r="P909" s="88"/>
      <c r="Q909" s="88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</row>
    <row r="910" spans="1:32" ht="24" customHeight="1">
      <c r="A910" s="19"/>
      <c r="B910" s="58"/>
      <c r="C910" s="59"/>
      <c r="D910" s="59"/>
      <c r="E910" s="59"/>
      <c r="F910" s="60"/>
      <c r="G910" s="85"/>
      <c r="H910" s="59"/>
      <c r="I910" s="86"/>
      <c r="J910" s="105"/>
      <c r="K910" s="88"/>
      <c r="L910" s="88"/>
      <c r="M910" s="88"/>
      <c r="N910" s="88"/>
      <c r="O910" s="88"/>
      <c r="P910" s="88"/>
      <c r="Q910" s="88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</row>
    <row r="911" spans="1:32" ht="24" customHeight="1">
      <c r="A911" s="19"/>
      <c r="B911" s="58"/>
      <c r="C911" s="59"/>
      <c r="D911" s="59"/>
      <c r="E911" s="59"/>
      <c r="F911" s="60"/>
      <c r="G911" s="85"/>
      <c r="H911" s="59"/>
      <c r="I911" s="86"/>
      <c r="J911" s="105"/>
      <c r="K911" s="88"/>
      <c r="L911" s="88"/>
      <c r="M911" s="88"/>
      <c r="N911" s="88"/>
      <c r="O911" s="88"/>
      <c r="P911" s="88"/>
      <c r="Q911" s="88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</row>
    <row r="912" spans="1:32" ht="24" customHeight="1">
      <c r="A912" s="19"/>
      <c r="B912" s="58"/>
      <c r="C912" s="59"/>
      <c r="D912" s="59"/>
      <c r="E912" s="59"/>
      <c r="F912" s="60"/>
      <c r="G912" s="85"/>
      <c r="H912" s="59"/>
      <c r="I912" s="86"/>
      <c r="J912" s="105"/>
      <c r="K912" s="88"/>
      <c r="L912" s="88"/>
      <c r="M912" s="88"/>
      <c r="N912" s="88"/>
      <c r="O912" s="88"/>
      <c r="P912" s="88"/>
      <c r="Q912" s="88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</row>
    <row r="913" spans="1:32" ht="24" customHeight="1">
      <c r="A913" s="19"/>
      <c r="B913" s="58"/>
      <c r="C913" s="59"/>
      <c r="D913" s="59"/>
      <c r="E913" s="59"/>
      <c r="F913" s="60"/>
      <c r="G913" s="85"/>
      <c r="H913" s="59"/>
      <c r="I913" s="86"/>
      <c r="J913" s="105"/>
      <c r="K913" s="88"/>
      <c r="L913" s="88"/>
      <c r="M913" s="88"/>
      <c r="N913" s="88"/>
      <c r="O913" s="88"/>
      <c r="P913" s="88"/>
      <c r="Q913" s="88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</row>
    <row r="914" spans="1:32" ht="24" customHeight="1">
      <c r="A914" s="19"/>
      <c r="B914" s="58"/>
      <c r="C914" s="59"/>
      <c r="D914" s="59"/>
      <c r="E914" s="59"/>
      <c r="F914" s="60"/>
      <c r="G914" s="85"/>
      <c r="H914" s="59"/>
      <c r="I914" s="86"/>
      <c r="J914" s="105"/>
      <c r="K914" s="88"/>
      <c r="L914" s="88"/>
      <c r="M914" s="88"/>
      <c r="N914" s="88"/>
      <c r="O914" s="88"/>
      <c r="P914" s="88"/>
      <c r="Q914" s="88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</row>
    <row r="915" spans="1:32" ht="24" customHeight="1">
      <c r="A915" s="19"/>
      <c r="B915" s="58"/>
      <c r="C915" s="59"/>
      <c r="D915" s="59"/>
      <c r="E915" s="59"/>
      <c r="F915" s="60"/>
      <c r="G915" s="85"/>
      <c r="H915" s="59"/>
      <c r="I915" s="86"/>
      <c r="J915" s="105"/>
      <c r="K915" s="88"/>
      <c r="L915" s="88"/>
      <c r="M915" s="88"/>
      <c r="N915" s="88"/>
      <c r="O915" s="88"/>
      <c r="P915" s="88"/>
      <c r="Q915" s="88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</row>
    <row r="916" spans="1:32" ht="24" customHeight="1">
      <c r="A916" s="19"/>
      <c r="B916" s="58"/>
      <c r="C916" s="59"/>
      <c r="D916" s="59"/>
      <c r="E916" s="59"/>
      <c r="F916" s="60"/>
      <c r="G916" s="85"/>
      <c r="H916" s="59"/>
      <c r="I916" s="86"/>
      <c r="J916" s="105"/>
      <c r="K916" s="88"/>
      <c r="L916" s="88"/>
      <c r="M916" s="88"/>
      <c r="N916" s="88"/>
      <c r="O916" s="88"/>
      <c r="P916" s="88"/>
      <c r="Q916" s="88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</row>
    <row r="917" spans="1:32" ht="24" customHeight="1">
      <c r="A917" s="19"/>
      <c r="B917" s="58"/>
      <c r="C917" s="59"/>
      <c r="D917" s="59"/>
      <c r="E917" s="59"/>
      <c r="F917" s="60"/>
      <c r="G917" s="85"/>
      <c r="H917" s="59"/>
      <c r="I917" s="86"/>
      <c r="J917" s="105"/>
      <c r="K917" s="88"/>
      <c r="L917" s="88"/>
      <c r="M917" s="88"/>
      <c r="N917" s="88"/>
      <c r="O917" s="88"/>
      <c r="P917" s="88"/>
      <c r="Q917" s="88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</row>
    <row r="918" spans="1:32" ht="24" customHeight="1">
      <c r="A918" s="19"/>
      <c r="B918" s="58"/>
      <c r="C918" s="59"/>
      <c r="D918" s="59"/>
      <c r="E918" s="59"/>
      <c r="F918" s="60"/>
      <c r="G918" s="85"/>
      <c r="H918" s="59"/>
      <c r="I918" s="86"/>
      <c r="J918" s="105"/>
      <c r="K918" s="88"/>
      <c r="L918" s="88"/>
      <c r="M918" s="88"/>
      <c r="N918" s="88"/>
      <c r="O918" s="88"/>
      <c r="P918" s="88"/>
      <c r="Q918" s="88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</row>
    <row r="919" spans="1:32" ht="24" customHeight="1">
      <c r="A919" s="19"/>
      <c r="B919" s="58"/>
      <c r="C919" s="59"/>
      <c r="D919" s="59"/>
      <c r="E919" s="59"/>
      <c r="F919" s="60"/>
      <c r="G919" s="85"/>
      <c r="H919" s="59"/>
      <c r="I919" s="86"/>
      <c r="J919" s="105"/>
      <c r="K919" s="88"/>
      <c r="L919" s="88"/>
      <c r="M919" s="88"/>
      <c r="N919" s="88"/>
      <c r="O919" s="88"/>
      <c r="P919" s="88"/>
      <c r="Q919" s="88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</row>
    <row r="920" spans="1:32" ht="24" customHeight="1">
      <c r="A920" s="19"/>
      <c r="B920" s="58"/>
      <c r="C920" s="59"/>
      <c r="D920" s="59"/>
      <c r="E920" s="59"/>
      <c r="F920" s="60"/>
      <c r="G920" s="85"/>
      <c r="H920" s="59"/>
      <c r="I920" s="86"/>
      <c r="J920" s="105"/>
      <c r="K920" s="88"/>
      <c r="L920" s="88"/>
      <c r="M920" s="88"/>
      <c r="N920" s="88"/>
      <c r="O920" s="88"/>
      <c r="P920" s="88"/>
      <c r="Q920" s="88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</row>
    <row r="921" spans="1:32" ht="24" customHeight="1">
      <c r="A921" s="19"/>
      <c r="B921" s="58"/>
      <c r="C921" s="59"/>
      <c r="D921" s="59"/>
      <c r="E921" s="59"/>
      <c r="F921" s="60"/>
      <c r="G921" s="85"/>
      <c r="H921" s="59"/>
      <c r="I921" s="86"/>
      <c r="J921" s="105"/>
      <c r="K921" s="88"/>
      <c r="L921" s="88"/>
      <c r="M921" s="88"/>
      <c r="N921" s="88"/>
      <c r="O921" s="88"/>
      <c r="P921" s="88"/>
      <c r="Q921" s="88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</row>
    <row r="922" spans="1:32" ht="24" customHeight="1">
      <c r="A922" s="19"/>
      <c r="B922" s="58"/>
      <c r="C922" s="59"/>
      <c r="D922" s="59"/>
      <c r="E922" s="59"/>
      <c r="F922" s="60"/>
      <c r="G922" s="85"/>
      <c r="H922" s="59"/>
      <c r="I922" s="86"/>
      <c r="J922" s="105"/>
      <c r="K922" s="88"/>
      <c r="L922" s="88"/>
      <c r="M922" s="88"/>
      <c r="N922" s="88"/>
      <c r="O922" s="88"/>
      <c r="P922" s="88"/>
      <c r="Q922" s="88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</row>
    <row r="923" spans="1:32" ht="24" customHeight="1">
      <c r="A923" s="19"/>
      <c r="B923" s="58"/>
      <c r="C923" s="59"/>
      <c r="D923" s="59"/>
      <c r="E923" s="59"/>
      <c r="F923" s="60"/>
      <c r="G923" s="85"/>
      <c r="H923" s="59"/>
      <c r="I923" s="86"/>
      <c r="J923" s="105"/>
      <c r="K923" s="88"/>
      <c r="L923" s="88"/>
      <c r="M923" s="88"/>
      <c r="N923" s="88"/>
      <c r="O923" s="88"/>
      <c r="P923" s="88"/>
      <c r="Q923" s="88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</row>
    <row r="924" spans="1:32" ht="24" customHeight="1">
      <c r="A924" s="19"/>
      <c r="B924" s="58"/>
      <c r="C924" s="59"/>
      <c r="D924" s="59"/>
      <c r="E924" s="59"/>
      <c r="F924" s="60"/>
      <c r="G924" s="85"/>
      <c r="H924" s="59"/>
      <c r="I924" s="86"/>
      <c r="J924" s="105"/>
      <c r="K924" s="88"/>
      <c r="L924" s="88"/>
      <c r="M924" s="88"/>
      <c r="N924" s="88"/>
      <c r="O924" s="88"/>
      <c r="P924" s="88"/>
      <c r="Q924" s="88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</row>
    <row r="925" spans="1:32" ht="24" customHeight="1">
      <c r="A925" s="19"/>
      <c r="B925" s="58"/>
      <c r="C925" s="59"/>
      <c r="D925" s="59"/>
      <c r="E925" s="59"/>
      <c r="F925" s="60"/>
      <c r="G925" s="85"/>
      <c r="H925" s="59"/>
      <c r="I925" s="86"/>
      <c r="J925" s="105"/>
      <c r="K925" s="88"/>
      <c r="L925" s="88"/>
      <c r="M925" s="88"/>
      <c r="N925" s="88"/>
      <c r="O925" s="88"/>
      <c r="P925" s="88"/>
      <c r="Q925" s="88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</row>
    <row r="926" spans="1:32" ht="24" customHeight="1">
      <c r="A926" s="19"/>
      <c r="B926" s="58"/>
      <c r="C926" s="59"/>
      <c r="D926" s="59"/>
      <c r="E926" s="59"/>
      <c r="F926" s="60"/>
      <c r="G926" s="85"/>
      <c r="H926" s="59"/>
      <c r="I926" s="86"/>
      <c r="J926" s="105"/>
      <c r="K926" s="88"/>
      <c r="L926" s="88"/>
      <c r="M926" s="88"/>
      <c r="N926" s="88"/>
      <c r="O926" s="88"/>
      <c r="P926" s="88"/>
      <c r="Q926" s="88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</row>
    <row r="927" spans="1:32" ht="24" customHeight="1">
      <c r="A927" s="19"/>
      <c r="B927" s="58"/>
      <c r="C927" s="59"/>
      <c r="D927" s="59"/>
      <c r="E927" s="59"/>
      <c r="F927" s="60"/>
      <c r="G927" s="85"/>
      <c r="H927" s="59"/>
      <c r="I927" s="86"/>
      <c r="J927" s="105"/>
      <c r="K927" s="88"/>
      <c r="L927" s="88"/>
      <c r="M927" s="88"/>
      <c r="N927" s="88"/>
      <c r="O927" s="88"/>
      <c r="P927" s="88"/>
      <c r="Q927" s="88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</row>
    <row r="928" spans="1:32" ht="24" customHeight="1">
      <c r="A928" s="19"/>
      <c r="B928" s="58"/>
      <c r="C928" s="59"/>
      <c r="D928" s="59"/>
      <c r="E928" s="59"/>
      <c r="F928" s="60"/>
      <c r="G928" s="85"/>
      <c r="H928" s="59"/>
      <c r="I928" s="86"/>
      <c r="J928" s="105"/>
      <c r="K928" s="88"/>
      <c r="L928" s="88"/>
      <c r="M928" s="88"/>
      <c r="N928" s="88"/>
      <c r="O928" s="88"/>
      <c r="P928" s="88"/>
      <c r="Q928" s="88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</row>
    <row r="929" spans="1:32" ht="24" customHeight="1">
      <c r="A929" s="19"/>
      <c r="B929" s="58"/>
      <c r="C929" s="59"/>
      <c r="D929" s="59"/>
      <c r="E929" s="59"/>
      <c r="F929" s="60"/>
      <c r="G929" s="85"/>
      <c r="H929" s="59"/>
      <c r="I929" s="86"/>
      <c r="J929" s="105"/>
      <c r="K929" s="88"/>
      <c r="L929" s="88"/>
      <c r="M929" s="88"/>
      <c r="N929" s="88"/>
      <c r="O929" s="88"/>
      <c r="P929" s="88"/>
      <c r="Q929" s="88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</row>
    <row r="930" spans="1:32" ht="24" customHeight="1">
      <c r="A930" s="19"/>
      <c r="B930" s="58"/>
      <c r="C930" s="59"/>
      <c r="D930" s="59"/>
      <c r="E930" s="59"/>
      <c r="F930" s="60"/>
      <c r="G930" s="85"/>
      <c r="H930" s="59"/>
      <c r="I930" s="86"/>
      <c r="J930" s="105"/>
      <c r="K930" s="88"/>
      <c r="L930" s="88"/>
      <c r="M930" s="88"/>
      <c r="N930" s="88"/>
      <c r="O930" s="88"/>
      <c r="P930" s="88"/>
      <c r="Q930" s="88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</row>
    <row r="931" spans="1:32" ht="24" customHeight="1">
      <c r="A931" s="19"/>
      <c r="B931" s="58"/>
      <c r="C931" s="59"/>
      <c r="D931" s="59"/>
      <c r="E931" s="59"/>
      <c r="F931" s="60"/>
      <c r="G931" s="85"/>
      <c r="H931" s="59"/>
      <c r="I931" s="86"/>
      <c r="J931" s="105"/>
      <c r="K931" s="88"/>
      <c r="L931" s="88"/>
      <c r="M931" s="88"/>
      <c r="N931" s="88"/>
      <c r="O931" s="88"/>
      <c r="P931" s="88"/>
      <c r="Q931" s="88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</row>
    <row r="932" spans="1:32" ht="24" customHeight="1">
      <c r="A932" s="19"/>
      <c r="B932" s="58"/>
      <c r="C932" s="59"/>
      <c r="D932" s="59"/>
      <c r="E932" s="59"/>
      <c r="F932" s="60"/>
      <c r="G932" s="85"/>
      <c r="H932" s="59"/>
      <c r="I932" s="86"/>
      <c r="J932" s="105"/>
      <c r="K932" s="88"/>
      <c r="L932" s="88"/>
      <c r="M932" s="88"/>
      <c r="N932" s="88"/>
      <c r="O932" s="88"/>
      <c r="P932" s="88"/>
      <c r="Q932" s="88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</row>
    <row r="933" spans="1:32" ht="24" customHeight="1">
      <c r="A933" s="19"/>
      <c r="B933" s="58"/>
      <c r="C933" s="59"/>
      <c r="D933" s="59"/>
      <c r="E933" s="59"/>
      <c r="F933" s="60"/>
      <c r="G933" s="85"/>
      <c r="H933" s="59"/>
      <c r="I933" s="86"/>
      <c r="J933" s="105"/>
      <c r="K933" s="88"/>
      <c r="L933" s="88"/>
      <c r="M933" s="88"/>
      <c r="N933" s="88"/>
      <c r="O933" s="88"/>
      <c r="P933" s="88"/>
      <c r="Q933" s="88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</row>
    <row r="934" spans="1:32" ht="24" customHeight="1">
      <c r="A934" s="19"/>
      <c r="B934" s="58"/>
      <c r="C934" s="59"/>
      <c r="D934" s="59"/>
      <c r="E934" s="59"/>
      <c r="F934" s="60"/>
      <c r="G934" s="85"/>
      <c r="H934" s="59"/>
      <c r="I934" s="86"/>
      <c r="J934" s="105"/>
      <c r="K934" s="88"/>
      <c r="L934" s="88"/>
      <c r="M934" s="88"/>
      <c r="N934" s="88"/>
      <c r="O934" s="88"/>
      <c r="P934" s="88"/>
      <c r="Q934" s="88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</row>
    <row r="935" spans="1:32" ht="24" customHeight="1">
      <c r="A935" s="19"/>
      <c r="B935" s="58"/>
      <c r="C935" s="59"/>
      <c r="D935" s="59"/>
      <c r="E935" s="59"/>
      <c r="F935" s="60"/>
      <c r="G935" s="85"/>
      <c r="H935" s="59"/>
      <c r="I935" s="86"/>
      <c r="J935" s="105"/>
      <c r="K935" s="88"/>
      <c r="L935" s="88"/>
      <c r="M935" s="88"/>
      <c r="N935" s="88"/>
      <c r="O935" s="88"/>
      <c r="P935" s="88"/>
      <c r="Q935" s="88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</row>
    <row r="936" spans="1:32" ht="24" customHeight="1">
      <c r="A936" s="19"/>
      <c r="B936" s="58"/>
      <c r="C936" s="59"/>
      <c r="D936" s="59"/>
      <c r="E936" s="59"/>
      <c r="F936" s="60"/>
      <c r="G936" s="85"/>
      <c r="H936" s="59"/>
      <c r="I936" s="86"/>
      <c r="J936" s="105"/>
      <c r="K936" s="88"/>
      <c r="L936" s="88"/>
      <c r="M936" s="88"/>
      <c r="N936" s="88"/>
      <c r="O936" s="88"/>
      <c r="P936" s="88"/>
      <c r="Q936" s="88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</row>
    <row r="937" spans="1:32" ht="24" customHeight="1">
      <c r="A937" s="19"/>
      <c r="B937" s="58"/>
      <c r="C937" s="59"/>
      <c r="D937" s="59"/>
      <c r="E937" s="59"/>
      <c r="F937" s="60"/>
      <c r="G937" s="85"/>
      <c r="H937" s="59"/>
      <c r="I937" s="86"/>
      <c r="J937" s="105"/>
      <c r="K937" s="88"/>
      <c r="L937" s="88"/>
      <c r="M937" s="88"/>
      <c r="N937" s="88"/>
      <c r="O937" s="88"/>
      <c r="P937" s="88"/>
      <c r="Q937" s="88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</row>
    <row r="938" spans="1:32" ht="24" customHeight="1">
      <c r="A938" s="19"/>
      <c r="B938" s="58"/>
      <c r="C938" s="59"/>
      <c r="D938" s="59"/>
      <c r="E938" s="59"/>
      <c r="F938" s="60"/>
      <c r="G938" s="85"/>
      <c r="H938" s="59"/>
      <c r="I938" s="86"/>
      <c r="J938" s="105"/>
      <c r="K938" s="88"/>
      <c r="L938" s="88"/>
      <c r="M938" s="88"/>
      <c r="N938" s="88"/>
      <c r="O938" s="88"/>
      <c r="P938" s="88"/>
      <c r="Q938" s="88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</row>
    <row r="939" spans="1:32" ht="24" customHeight="1">
      <c r="A939" s="19"/>
      <c r="B939" s="58"/>
      <c r="C939" s="59"/>
      <c r="D939" s="59"/>
      <c r="E939" s="59"/>
      <c r="F939" s="60"/>
      <c r="G939" s="85"/>
      <c r="H939" s="59"/>
      <c r="I939" s="86"/>
      <c r="J939" s="105"/>
      <c r="K939" s="88"/>
      <c r="L939" s="88"/>
      <c r="M939" s="88"/>
      <c r="N939" s="88"/>
      <c r="O939" s="88"/>
      <c r="P939" s="88"/>
      <c r="Q939" s="88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</row>
    <row r="940" spans="1:32" ht="24" customHeight="1">
      <c r="A940" s="19"/>
      <c r="B940" s="58"/>
      <c r="C940" s="59"/>
      <c r="D940" s="59"/>
      <c r="E940" s="59"/>
      <c r="F940" s="60"/>
      <c r="G940" s="85"/>
      <c r="H940" s="59"/>
      <c r="I940" s="86"/>
      <c r="J940" s="105"/>
      <c r="K940" s="88"/>
      <c r="L940" s="88"/>
      <c r="M940" s="88"/>
      <c r="N940" s="88"/>
      <c r="O940" s="88"/>
      <c r="P940" s="88"/>
      <c r="Q940" s="88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</row>
    <row r="941" spans="1:32" ht="24" customHeight="1">
      <c r="A941" s="19"/>
      <c r="B941" s="58"/>
      <c r="C941" s="59"/>
      <c r="D941" s="59"/>
      <c r="E941" s="59"/>
      <c r="F941" s="60"/>
      <c r="G941" s="85"/>
      <c r="H941" s="59"/>
      <c r="I941" s="86"/>
      <c r="J941" s="105"/>
      <c r="K941" s="88"/>
      <c r="L941" s="88"/>
      <c r="M941" s="88"/>
      <c r="N941" s="88"/>
      <c r="O941" s="88"/>
      <c r="P941" s="88"/>
      <c r="Q941" s="88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</row>
    <row r="942" spans="1:32" ht="24" customHeight="1">
      <c r="A942" s="19"/>
      <c r="B942" s="58"/>
      <c r="C942" s="59"/>
      <c r="D942" s="59"/>
      <c r="E942" s="59"/>
      <c r="F942" s="60"/>
      <c r="G942" s="85"/>
      <c r="H942" s="59"/>
      <c r="I942" s="86"/>
      <c r="J942" s="105"/>
      <c r="K942" s="88"/>
      <c r="L942" s="88"/>
      <c r="M942" s="88"/>
      <c r="N942" s="88"/>
      <c r="O942" s="88"/>
      <c r="P942" s="88"/>
      <c r="Q942" s="88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</row>
    <row r="943" spans="1:32" ht="24" customHeight="1">
      <c r="A943" s="19"/>
      <c r="B943" s="58"/>
      <c r="C943" s="59"/>
      <c r="D943" s="59"/>
      <c r="E943" s="59"/>
      <c r="F943" s="60"/>
      <c r="G943" s="85"/>
      <c r="H943" s="59"/>
      <c r="I943" s="86"/>
      <c r="J943" s="105"/>
      <c r="K943" s="88"/>
      <c r="L943" s="88"/>
      <c r="M943" s="88"/>
      <c r="N943" s="88"/>
      <c r="O943" s="88"/>
      <c r="P943" s="88"/>
      <c r="Q943" s="88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</row>
    <row r="944" spans="1:32" ht="24" customHeight="1">
      <c r="A944" s="19"/>
      <c r="B944" s="58"/>
      <c r="C944" s="59"/>
      <c r="D944" s="59"/>
      <c r="E944" s="59"/>
      <c r="F944" s="60"/>
      <c r="G944" s="85"/>
      <c r="H944" s="59"/>
      <c r="I944" s="86"/>
      <c r="J944" s="105"/>
      <c r="K944" s="88"/>
      <c r="L944" s="88"/>
      <c r="M944" s="88"/>
      <c r="N944" s="88"/>
      <c r="O944" s="88"/>
      <c r="P944" s="88"/>
      <c r="Q944" s="88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</row>
    <row r="945" spans="1:32" ht="24" customHeight="1">
      <c r="A945" s="19"/>
      <c r="B945" s="58"/>
      <c r="C945" s="59"/>
      <c r="D945" s="59"/>
      <c r="E945" s="59"/>
      <c r="F945" s="60"/>
      <c r="G945" s="85"/>
      <c r="H945" s="59"/>
      <c r="I945" s="86"/>
      <c r="J945" s="105"/>
      <c r="K945" s="88"/>
      <c r="L945" s="88"/>
      <c r="M945" s="88"/>
      <c r="N945" s="88"/>
      <c r="O945" s="88"/>
      <c r="P945" s="88"/>
      <c r="Q945" s="88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</row>
    <row r="946" spans="1:32" ht="24" customHeight="1">
      <c r="A946" s="19"/>
      <c r="B946" s="58"/>
      <c r="C946" s="59"/>
      <c r="D946" s="59"/>
      <c r="E946" s="59"/>
      <c r="F946" s="60"/>
      <c r="G946" s="85"/>
      <c r="H946" s="59"/>
      <c r="I946" s="86"/>
      <c r="J946" s="105"/>
      <c r="K946" s="88"/>
      <c r="L946" s="88"/>
      <c r="M946" s="88"/>
      <c r="N946" s="88"/>
      <c r="O946" s="88"/>
      <c r="P946" s="88"/>
      <c r="Q946" s="88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</row>
    <row r="947" spans="1:32" ht="24" customHeight="1">
      <c r="A947" s="19"/>
      <c r="B947" s="58"/>
      <c r="C947" s="59"/>
      <c r="D947" s="59"/>
      <c r="E947" s="59"/>
      <c r="F947" s="60"/>
      <c r="G947" s="85"/>
      <c r="H947" s="59"/>
      <c r="I947" s="86"/>
      <c r="J947" s="105"/>
      <c r="K947" s="88"/>
      <c r="L947" s="88"/>
      <c r="M947" s="88"/>
      <c r="N947" s="88"/>
      <c r="O947" s="88"/>
      <c r="P947" s="88"/>
      <c r="Q947" s="88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</row>
    <row r="948" spans="1:32" ht="24" customHeight="1">
      <c r="A948" s="19"/>
      <c r="B948" s="58"/>
      <c r="C948" s="59"/>
      <c r="D948" s="59"/>
      <c r="E948" s="59"/>
      <c r="F948" s="60"/>
      <c r="G948" s="85"/>
      <c r="H948" s="59"/>
      <c r="I948" s="86"/>
      <c r="J948" s="105"/>
      <c r="K948" s="88"/>
      <c r="L948" s="88"/>
      <c r="M948" s="88"/>
      <c r="N948" s="88"/>
      <c r="O948" s="88"/>
      <c r="P948" s="88"/>
      <c r="Q948" s="88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</row>
    <row r="949" spans="1:32" ht="24" customHeight="1">
      <c r="A949" s="19"/>
      <c r="B949" s="58"/>
      <c r="C949" s="59"/>
      <c r="D949" s="59"/>
      <c r="E949" s="59"/>
      <c r="F949" s="60"/>
      <c r="G949" s="85"/>
      <c r="H949" s="59"/>
      <c r="I949" s="86"/>
      <c r="J949" s="105"/>
      <c r="K949" s="88"/>
      <c r="L949" s="88"/>
      <c r="M949" s="88"/>
      <c r="N949" s="88"/>
      <c r="O949" s="88"/>
      <c r="P949" s="88"/>
      <c r="Q949" s="88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</row>
    <row r="950" spans="1:32" ht="24" customHeight="1">
      <c r="A950" s="19"/>
      <c r="B950" s="58"/>
      <c r="C950" s="59"/>
      <c r="D950" s="59"/>
      <c r="E950" s="59"/>
      <c r="F950" s="60"/>
      <c r="G950" s="85"/>
      <c r="H950" s="59"/>
      <c r="I950" s="86"/>
      <c r="J950" s="105"/>
      <c r="K950" s="88"/>
      <c r="L950" s="88"/>
      <c r="M950" s="88"/>
      <c r="N950" s="88"/>
      <c r="O950" s="88"/>
      <c r="P950" s="88"/>
      <c r="Q950" s="88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</row>
    <row r="951" spans="1:32" ht="24" customHeight="1">
      <c r="A951" s="19"/>
      <c r="B951" s="58"/>
      <c r="C951" s="59"/>
      <c r="D951" s="59"/>
      <c r="E951" s="59"/>
      <c r="F951" s="60"/>
      <c r="G951" s="85"/>
      <c r="H951" s="59"/>
      <c r="I951" s="86"/>
      <c r="J951" s="105"/>
      <c r="K951" s="88"/>
      <c r="L951" s="88"/>
      <c r="M951" s="88"/>
      <c r="N951" s="88"/>
      <c r="O951" s="88"/>
      <c r="P951" s="88"/>
      <c r="Q951" s="88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</row>
    <row r="952" spans="1:32" ht="24" customHeight="1">
      <c r="A952" s="19"/>
      <c r="B952" s="58"/>
      <c r="C952" s="59"/>
      <c r="D952" s="59"/>
      <c r="E952" s="59"/>
      <c r="F952" s="60"/>
      <c r="G952" s="85"/>
      <c r="H952" s="59"/>
      <c r="I952" s="86"/>
      <c r="J952" s="105"/>
      <c r="K952" s="88"/>
      <c r="L952" s="88"/>
      <c r="M952" s="88"/>
      <c r="N952" s="88"/>
      <c r="O952" s="88"/>
      <c r="P952" s="88"/>
      <c r="Q952" s="88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</row>
    <row r="953" spans="1:32" ht="24" customHeight="1">
      <c r="A953" s="19"/>
      <c r="B953" s="58"/>
      <c r="C953" s="59"/>
      <c r="D953" s="59"/>
      <c r="E953" s="59"/>
      <c r="F953" s="60"/>
      <c r="G953" s="85"/>
      <c r="H953" s="59"/>
      <c r="I953" s="86"/>
      <c r="J953" s="105"/>
      <c r="K953" s="88"/>
      <c r="L953" s="88"/>
      <c r="M953" s="88"/>
      <c r="N953" s="88"/>
      <c r="O953" s="88"/>
      <c r="P953" s="88"/>
      <c r="Q953" s="88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</row>
    <row r="954" spans="1:32" ht="24" customHeight="1">
      <c r="A954" s="19"/>
      <c r="B954" s="58"/>
      <c r="C954" s="59"/>
      <c r="D954" s="59"/>
      <c r="E954" s="59"/>
      <c r="F954" s="60"/>
      <c r="G954" s="85"/>
      <c r="H954" s="59"/>
      <c r="I954" s="86"/>
      <c r="J954" s="105"/>
      <c r="K954" s="88"/>
      <c r="L954" s="88"/>
      <c r="M954" s="88"/>
      <c r="N954" s="88"/>
      <c r="O954" s="88"/>
      <c r="P954" s="88"/>
      <c r="Q954" s="88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</row>
    <row r="955" spans="1:32" ht="24" customHeight="1">
      <c r="A955" s="19"/>
      <c r="B955" s="58"/>
      <c r="C955" s="59"/>
      <c r="D955" s="59"/>
      <c r="E955" s="59"/>
      <c r="F955" s="60"/>
      <c r="G955" s="85"/>
      <c r="H955" s="59"/>
      <c r="I955" s="86"/>
      <c r="J955" s="105"/>
      <c r="K955" s="88"/>
      <c r="L955" s="88"/>
      <c r="M955" s="88"/>
      <c r="N955" s="88"/>
      <c r="O955" s="88"/>
      <c r="P955" s="88"/>
      <c r="Q955" s="88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</row>
    <row r="956" spans="1:32" ht="24" customHeight="1">
      <c r="A956" s="19"/>
      <c r="B956" s="58"/>
      <c r="C956" s="59"/>
      <c r="D956" s="59"/>
      <c r="E956" s="59"/>
      <c r="F956" s="60"/>
      <c r="G956" s="85"/>
      <c r="H956" s="59"/>
      <c r="I956" s="86"/>
      <c r="J956" s="105"/>
      <c r="K956" s="88"/>
      <c r="L956" s="88"/>
      <c r="M956" s="88"/>
      <c r="N956" s="88"/>
      <c r="O956" s="88"/>
      <c r="P956" s="88"/>
      <c r="Q956" s="88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</row>
    <row r="957" spans="1:32" ht="24" customHeight="1">
      <c r="A957" s="19"/>
      <c r="B957" s="58"/>
      <c r="C957" s="59"/>
      <c r="D957" s="59"/>
      <c r="E957" s="59"/>
      <c r="F957" s="60"/>
      <c r="G957" s="85"/>
      <c r="H957" s="59"/>
      <c r="I957" s="86"/>
      <c r="J957" s="105"/>
      <c r="K957" s="88"/>
      <c r="L957" s="88"/>
      <c r="M957" s="88"/>
      <c r="N957" s="88"/>
      <c r="O957" s="88"/>
      <c r="P957" s="88"/>
      <c r="Q957" s="88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</row>
    <row r="958" spans="1:32" ht="24" customHeight="1">
      <c r="A958" s="19"/>
      <c r="B958" s="58"/>
      <c r="C958" s="59"/>
      <c r="D958" s="59"/>
      <c r="E958" s="59"/>
      <c r="F958" s="60"/>
      <c r="G958" s="85"/>
      <c r="H958" s="59"/>
      <c r="I958" s="86"/>
      <c r="J958" s="105"/>
      <c r="K958" s="88"/>
      <c r="L958" s="88"/>
      <c r="M958" s="88"/>
      <c r="N958" s="88"/>
      <c r="O958" s="88"/>
      <c r="P958" s="88"/>
      <c r="Q958" s="88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</row>
    <row r="959" spans="1:32" ht="24" customHeight="1">
      <c r="A959" s="19"/>
      <c r="B959" s="58"/>
      <c r="C959" s="59"/>
      <c r="D959" s="59"/>
      <c r="E959" s="59"/>
      <c r="F959" s="60"/>
      <c r="G959" s="85"/>
      <c r="H959" s="59"/>
      <c r="I959" s="86"/>
      <c r="J959" s="105"/>
      <c r="K959" s="88"/>
      <c r="L959" s="88"/>
      <c r="M959" s="88"/>
      <c r="N959" s="88"/>
      <c r="O959" s="88"/>
      <c r="P959" s="88"/>
      <c r="Q959" s="88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</row>
    <row r="960" spans="1:32" ht="24" customHeight="1">
      <c r="A960" s="19"/>
      <c r="B960" s="58"/>
      <c r="C960" s="59"/>
      <c r="D960" s="59"/>
      <c r="E960" s="59"/>
      <c r="F960" s="60"/>
      <c r="G960" s="85"/>
      <c r="H960" s="59"/>
      <c r="I960" s="86"/>
      <c r="J960" s="105"/>
      <c r="K960" s="88"/>
      <c r="L960" s="88"/>
      <c r="M960" s="88"/>
      <c r="N960" s="88"/>
      <c r="O960" s="88"/>
      <c r="P960" s="88"/>
      <c r="Q960" s="88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</row>
    <row r="961" spans="1:32" ht="24" customHeight="1">
      <c r="A961" s="19"/>
      <c r="B961" s="58"/>
      <c r="C961" s="59"/>
      <c r="D961" s="59"/>
      <c r="E961" s="59"/>
      <c r="F961" s="60"/>
      <c r="G961" s="85"/>
      <c r="H961" s="59"/>
      <c r="I961" s="86"/>
      <c r="J961" s="105"/>
      <c r="K961" s="88"/>
      <c r="L961" s="88"/>
      <c r="M961" s="88"/>
      <c r="N961" s="88"/>
      <c r="O961" s="88"/>
      <c r="P961" s="88"/>
      <c r="Q961" s="88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</row>
    <row r="962" spans="1:32" ht="24" customHeight="1">
      <c r="A962" s="19"/>
      <c r="B962" s="58"/>
      <c r="C962" s="59"/>
      <c r="D962" s="59"/>
      <c r="E962" s="59"/>
      <c r="F962" s="60"/>
      <c r="G962" s="85"/>
      <c r="H962" s="59"/>
      <c r="I962" s="86"/>
      <c r="J962" s="105"/>
      <c r="K962" s="88"/>
      <c r="L962" s="88"/>
      <c r="M962" s="88"/>
      <c r="N962" s="88"/>
      <c r="O962" s="88"/>
      <c r="P962" s="88"/>
      <c r="Q962" s="88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</row>
    <row r="963" spans="1:32" ht="24" customHeight="1">
      <c r="A963" s="19"/>
      <c r="B963" s="58"/>
      <c r="C963" s="59"/>
      <c r="D963" s="59"/>
      <c r="E963" s="59"/>
      <c r="F963" s="60"/>
      <c r="G963" s="85"/>
      <c r="H963" s="59"/>
      <c r="I963" s="86"/>
      <c r="J963" s="105"/>
      <c r="K963" s="88"/>
      <c r="L963" s="88"/>
      <c r="M963" s="88"/>
      <c r="N963" s="88"/>
      <c r="O963" s="88"/>
      <c r="P963" s="88"/>
      <c r="Q963" s="88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</row>
    <row r="964" spans="1:32" ht="24" customHeight="1">
      <c r="A964" s="19"/>
      <c r="B964" s="58"/>
      <c r="C964" s="59"/>
      <c r="D964" s="59"/>
      <c r="E964" s="59"/>
      <c r="F964" s="60"/>
      <c r="G964" s="85"/>
      <c r="H964" s="59"/>
      <c r="I964" s="86"/>
      <c r="J964" s="105"/>
      <c r="K964" s="88"/>
      <c r="L964" s="88"/>
      <c r="M964" s="88"/>
      <c r="N964" s="88"/>
      <c r="O964" s="88"/>
      <c r="P964" s="88"/>
      <c r="Q964" s="88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</row>
    <row r="965" spans="1:32" ht="24" customHeight="1">
      <c r="A965" s="19"/>
      <c r="B965" s="58"/>
      <c r="C965" s="59"/>
      <c r="D965" s="59"/>
      <c r="E965" s="59"/>
      <c r="F965" s="60"/>
      <c r="G965" s="85"/>
      <c r="H965" s="59"/>
      <c r="I965" s="86"/>
      <c r="J965" s="105"/>
      <c r="K965" s="88"/>
      <c r="L965" s="88"/>
      <c r="M965" s="88"/>
      <c r="N965" s="88"/>
      <c r="O965" s="88"/>
      <c r="P965" s="88"/>
      <c r="Q965" s="88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</row>
    <row r="966" spans="1:32" ht="24" customHeight="1">
      <c r="A966" s="19"/>
      <c r="B966" s="58"/>
      <c r="C966" s="59"/>
      <c r="D966" s="59"/>
      <c r="E966" s="59"/>
      <c r="F966" s="60"/>
      <c r="G966" s="85"/>
      <c r="H966" s="59"/>
      <c r="I966" s="86"/>
      <c r="J966" s="105"/>
      <c r="K966" s="88"/>
      <c r="L966" s="88"/>
      <c r="M966" s="88"/>
      <c r="N966" s="88"/>
      <c r="O966" s="88"/>
      <c r="P966" s="88"/>
      <c r="Q966" s="88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</row>
    <row r="967" spans="1:32" ht="24" customHeight="1">
      <c r="A967" s="19"/>
      <c r="B967" s="58"/>
      <c r="C967" s="59"/>
      <c r="D967" s="59"/>
      <c r="E967" s="59"/>
      <c r="F967" s="60"/>
      <c r="G967" s="85"/>
      <c r="H967" s="59"/>
      <c r="I967" s="86"/>
      <c r="J967" s="105"/>
      <c r="K967" s="88"/>
      <c r="L967" s="88"/>
      <c r="M967" s="88"/>
      <c r="N967" s="88"/>
      <c r="O967" s="88"/>
      <c r="P967" s="88"/>
      <c r="Q967" s="88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</row>
    <row r="968" spans="1:32" ht="24" customHeight="1">
      <c r="A968" s="19"/>
      <c r="B968" s="58"/>
      <c r="C968" s="59"/>
      <c r="D968" s="59"/>
      <c r="E968" s="59"/>
      <c r="F968" s="60"/>
      <c r="G968" s="85"/>
      <c r="H968" s="59"/>
      <c r="I968" s="86"/>
      <c r="J968" s="105"/>
      <c r="K968" s="88"/>
      <c r="L968" s="88"/>
      <c r="M968" s="88"/>
      <c r="N968" s="88"/>
      <c r="O968" s="88"/>
      <c r="P968" s="88"/>
      <c r="Q968" s="88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</row>
    <row r="969" spans="1:32" ht="24" customHeight="1">
      <c r="A969" s="19"/>
      <c r="B969" s="58"/>
      <c r="C969" s="59"/>
      <c r="D969" s="59"/>
      <c r="E969" s="59"/>
      <c r="F969" s="60"/>
      <c r="G969" s="85"/>
      <c r="H969" s="59"/>
      <c r="I969" s="86"/>
      <c r="J969" s="105"/>
      <c r="K969" s="88"/>
      <c r="L969" s="88"/>
      <c r="M969" s="88"/>
      <c r="N969" s="88"/>
      <c r="O969" s="88"/>
      <c r="P969" s="88"/>
      <c r="Q969" s="88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</row>
    <row r="970" spans="1:32" ht="24" customHeight="1">
      <c r="A970" s="19"/>
      <c r="B970" s="58"/>
      <c r="C970" s="59"/>
      <c r="D970" s="59"/>
      <c r="E970" s="59"/>
      <c r="F970" s="60"/>
      <c r="G970" s="85"/>
      <c r="H970" s="59"/>
      <c r="I970" s="86"/>
      <c r="J970" s="105"/>
      <c r="K970" s="88"/>
      <c r="L970" s="88"/>
      <c r="M970" s="88"/>
      <c r="N970" s="88"/>
      <c r="O970" s="88"/>
      <c r="P970" s="88"/>
      <c r="Q970" s="88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</row>
    <row r="971" spans="1:32" ht="24" customHeight="1">
      <c r="A971" s="19"/>
      <c r="B971" s="58"/>
      <c r="C971" s="59"/>
      <c r="D971" s="59"/>
      <c r="E971" s="59"/>
      <c r="F971" s="60"/>
      <c r="G971" s="85"/>
      <c r="H971" s="59"/>
      <c r="I971" s="86"/>
      <c r="J971" s="105"/>
      <c r="K971" s="88"/>
      <c r="L971" s="88"/>
      <c r="M971" s="88"/>
      <c r="N971" s="88"/>
      <c r="O971" s="88"/>
      <c r="P971" s="88"/>
      <c r="Q971" s="88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</row>
    <row r="972" spans="1:32" ht="24" customHeight="1">
      <c r="A972" s="19"/>
      <c r="B972" s="58"/>
      <c r="C972" s="59"/>
      <c r="D972" s="59"/>
      <c r="E972" s="59"/>
      <c r="F972" s="60"/>
      <c r="G972" s="85"/>
      <c r="H972" s="59"/>
      <c r="I972" s="86"/>
      <c r="J972" s="105"/>
      <c r="K972" s="88"/>
      <c r="L972" s="88"/>
      <c r="M972" s="88"/>
      <c r="N972" s="88"/>
      <c r="O972" s="88"/>
      <c r="P972" s="88"/>
      <c r="Q972" s="88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</row>
    <row r="973" spans="1:32" ht="24" customHeight="1">
      <c r="A973" s="19"/>
      <c r="B973" s="58"/>
      <c r="C973" s="59"/>
      <c r="D973" s="59"/>
      <c r="E973" s="59"/>
      <c r="F973" s="60"/>
      <c r="G973" s="85"/>
      <c r="H973" s="59"/>
      <c r="I973" s="86"/>
      <c r="J973" s="105"/>
      <c r="K973" s="88"/>
      <c r="L973" s="88"/>
      <c r="M973" s="88"/>
      <c r="N973" s="88"/>
      <c r="O973" s="88"/>
      <c r="P973" s="88"/>
      <c r="Q973" s="88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</row>
    <row r="974" spans="1:32" ht="24" customHeight="1">
      <c r="A974" s="19"/>
      <c r="B974" s="58"/>
      <c r="C974" s="59"/>
      <c r="D974" s="59"/>
      <c r="E974" s="59"/>
      <c r="F974" s="60"/>
      <c r="G974" s="85"/>
      <c r="H974" s="59"/>
      <c r="I974" s="86"/>
      <c r="J974" s="105"/>
      <c r="K974" s="88"/>
      <c r="L974" s="88"/>
      <c r="M974" s="88"/>
      <c r="N974" s="88"/>
      <c r="O974" s="88"/>
      <c r="P974" s="88"/>
      <c r="Q974" s="88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</row>
    <row r="975" spans="1:32" ht="24" customHeight="1">
      <c r="A975" s="19"/>
      <c r="B975" s="58"/>
      <c r="C975" s="59"/>
      <c r="D975" s="59"/>
      <c r="E975" s="59"/>
      <c r="F975" s="60"/>
      <c r="G975" s="85"/>
      <c r="H975" s="59"/>
      <c r="I975" s="86"/>
      <c r="J975" s="105"/>
      <c r="K975" s="88"/>
      <c r="L975" s="88"/>
      <c r="M975" s="88"/>
      <c r="N975" s="88"/>
      <c r="O975" s="88"/>
      <c r="P975" s="88"/>
      <c r="Q975" s="88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</row>
    <row r="976" spans="1:32" ht="24" customHeight="1">
      <c r="A976" s="19"/>
      <c r="B976" s="58"/>
      <c r="C976" s="59"/>
      <c r="D976" s="59"/>
      <c r="E976" s="59"/>
      <c r="F976" s="60"/>
      <c r="G976" s="85"/>
      <c r="H976" s="59"/>
      <c r="I976" s="86"/>
      <c r="J976" s="105"/>
      <c r="K976" s="88"/>
      <c r="L976" s="88"/>
      <c r="M976" s="88"/>
      <c r="N976" s="88"/>
      <c r="O976" s="88"/>
      <c r="P976" s="88"/>
      <c r="Q976" s="88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</row>
    <row r="977" spans="1:32" ht="24" customHeight="1">
      <c r="A977" s="19"/>
      <c r="B977" s="58"/>
      <c r="C977" s="59"/>
      <c r="D977" s="59"/>
      <c r="E977" s="59"/>
      <c r="F977" s="60"/>
      <c r="G977" s="85"/>
      <c r="H977" s="59"/>
      <c r="I977" s="86"/>
      <c r="J977" s="105"/>
      <c r="K977" s="88"/>
      <c r="L977" s="88"/>
      <c r="M977" s="88"/>
      <c r="N977" s="88"/>
      <c r="O977" s="88"/>
      <c r="P977" s="88"/>
      <c r="Q977" s="88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</row>
    <row r="978" spans="1:32" ht="24" customHeight="1">
      <c r="A978" s="19"/>
      <c r="B978" s="58"/>
      <c r="C978" s="59"/>
      <c r="D978" s="59"/>
      <c r="E978" s="59"/>
      <c r="F978" s="60"/>
      <c r="G978" s="85"/>
      <c r="H978" s="59"/>
      <c r="I978" s="86"/>
      <c r="J978" s="105"/>
      <c r="K978" s="88"/>
      <c r="L978" s="88"/>
      <c r="M978" s="88"/>
      <c r="N978" s="88"/>
      <c r="O978" s="88"/>
      <c r="P978" s="88"/>
      <c r="Q978" s="88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</row>
    <row r="979" spans="1:32" ht="24" customHeight="1">
      <c r="A979" s="19"/>
      <c r="B979" s="58"/>
      <c r="C979" s="59"/>
      <c r="D979" s="59"/>
      <c r="E979" s="59"/>
      <c r="F979" s="60"/>
      <c r="G979" s="85"/>
      <c r="H979" s="59"/>
      <c r="I979" s="86"/>
      <c r="J979" s="105"/>
      <c r="K979" s="88"/>
      <c r="L979" s="88"/>
      <c r="M979" s="88"/>
      <c r="N979" s="88"/>
      <c r="O979" s="88"/>
      <c r="P979" s="88"/>
      <c r="Q979" s="88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</row>
    <row r="980" spans="1:32" ht="24" customHeight="1">
      <c r="A980" s="19"/>
      <c r="B980" s="58"/>
      <c r="C980" s="59"/>
      <c r="D980" s="59"/>
      <c r="E980" s="59"/>
      <c r="F980" s="60"/>
      <c r="G980" s="85"/>
      <c r="H980" s="59"/>
      <c r="I980" s="86"/>
      <c r="J980" s="105"/>
      <c r="K980" s="88"/>
      <c r="L980" s="88"/>
      <c r="M980" s="88"/>
      <c r="N980" s="88"/>
      <c r="O980" s="88"/>
      <c r="P980" s="88"/>
      <c r="Q980" s="88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</row>
    <row r="981" spans="1:32" ht="24" customHeight="1">
      <c r="A981" s="19"/>
      <c r="B981" s="58"/>
      <c r="C981" s="59"/>
      <c r="D981" s="59"/>
      <c r="E981" s="59"/>
      <c r="F981" s="60"/>
      <c r="G981" s="85"/>
      <c r="H981" s="59"/>
      <c r="I981" s="86"/>
      <c r="J981" s="105"/>
      <c r="K981" s="88"/>
      <c r="L981" s="88"/>
      <c r="M981" s="88"/>
      <c r="N981" s="88"/>
      <c r="O981" s="88"/>
      <c r="P981" s="88"/>
      <c r="Q981" s="88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</row>
    <row r="982" spans="1:32" ht="24" customHeight="1">
      <c r="A982" s="19"/>
      <c r="B982" s="58"/>
      <c r="C982" s="59"/>
      <c r="D982" s="59"/>
      <c r="E982" s="59"/>
      <c r="F982" s="60"/>
      <c r="G982" s="85"/>
      <c r="H982" s="59"/>
      <c r="I982" s="86"/>
      <c r="J982" s="105"/>
      <c r="K982" s="88"/>
      <c r="L982" s="88"/>
      <c r="M982" s="88"/>
      <c r="N982" s="88"/>
      <c r="O982" s="88"/>
      <c r="P982" s="88"/>
      <c r="Q982" s="88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</row>
    <row r="983" spans="1:32" ht="24" customHeight="1">
      <c r="A983" s="19"/>
      <c r="B983" s="58"/>
      <c r="C983" s="59"/>
      <c r="D983" s="59"/>
      <c r="E983" s="59"/>
      <c r="F983" s="60"/>
      <c r="G983" s="85"/>
      <c r="H983" s="59"/>
      <c r="I983" s="86"/>
      <c r="J983" s="105"/>
      <c r="K983" s="88"/>
      <c r="L983" s="88"/>
      <c r="M983" s="88"/>
      <c r="N983" s="88"/>
      <c r="O983" s="88"/>
      <c r="P983" s="88"/>
      <c r="Q983" s="88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</row>
    <row r="984" spans="1:32" ht="24" customHeight="1">
      <c r="A984" s="19"/>
      <c r="B984" s="58"/>
      <c r="C984" s="59"/>
      <c r="D984" s="59"/>
      <c r="E984" s="59"/>
      <c r="F984" s="60"/>
      <c r="G984" s="85"/>
      <c r="H984" s="59"/>
      <c r="I984" s="86"/>
      <c r="J984" s="105"/>
      <c r="K984" s="88"/>
      <c r="L984" s="88"/>
      <c r="M984" s="88"/>
      <c r="N984" s="88"/>
      <c r="O984" s="88"/>
      <c r="P984" s="88"/>
      <c r="Q984" s="88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</row>
    <row r="985" spans="1:32" ht="24" customHeight="1">
      <c r="A985" s="19"/>
      <c r="B985" s="58"/>
      <c r="C985" s="59"/>
      <c r="D985" s="59"/>
      <c r="E985" s="59"/>
      <c r="F985" s="60"/>
      <c r="G985" s="85"/>
      <c r="H985" s="59"/>
      <c r="I985" s="86"/>
      <c r="J985" s="105"/>
      <c r="K985" s="88"/>
      <c r="L985" s="88"/>
      <c r="M985" s="88"/>
      <c r="N985" s="88"/>
      <c r="O985" s="88"/>
      <c r="P985" s="88"/>
      <c r="Q985" s="88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</row>
    <row r="986" spans="1:32" ht="24" customHeight="1">
      <c r="A986" s="19"/>
      <c r="B986" s="58"/>
      <c r="C986" s="59"/>
      <c r="D986" s="59"/>
      <c r="E986" s="59"/>
      <c r="F986" s="60"/>
      <c r="G986" s="85"/>
      <c r="H986" s="59"/>
      <c r="I986" s="86"/>
      <c r="J986" s="105"/>
      <c r="K986" s="88"/>
      <c r="L986" s="88"/>
      <c r="M986" s="88"/>
      <c r="N986" s="88"/>
      <c r="O986" s="88"/>
      <c r="P986" s="88"/>
      <c r="Q986" s="88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</row>
    <row r="987" spans="1:32" ht="24" customHeight="1">
      <c r="A987" s="19"/>
      <c r="B987" s="58"/>
      <c r="C987" s="59"/>
      <c r="D987" s="59"/>
      <c r="E987" s="59"/>
      <c r="F987" s="60"/>
      <c r="G987" s="85"/>
      <c r="H987" s="59"/>
      <c r="I987" s="86"/>
      <c r="J987" s="105"/>
      <c r="K987" s="88"/>
      <c r="L987" s="88"/>
      <c r="M987" s="88"/>
      <c r="N987" s="88"/>
      <c r="O987" s="88"/>
      <c r="P987" s="88"/>
      <c r="Q987" s="88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</row>
    <row r="988" spans="1:32" ht="24" customHeight="1">
      <c r="A988" s="19"/>
      <c r="B988" s="58"/>
      <c r="C988" s="59"/>
      <c r="D988" s="59"/>
      <c r="E988" s="59"/>
      <c r="F988" s="60"/>
      <c r="G988" s="85"/>
      <c r="H988" s="59"/>
      <c r="I988" s="86"/>
      <c r="J988" s="105"/>
      <c r="K988" s="88"/>
      <c r="L988" s="88"/>
      <c r="M988" s="88"/>
      <c r="N988" s="88"/>
      <c r="O988" s="88"/>
      <c r="P988" s="88"/>
      <c r="Q988" s="88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</row>
    <row r="989" spans="1:32" ht="24" customHeight="1">
      <c r="A989" s="19"/>
      <c r="B989" s="58"/>
      <c r="C989" s="59"/>
      <c r="D989" s="59"/>
      <c r="E989" s="59"/>
      <c r="F989" s="60"/>
      <c r="G989" s="85"/>
      <c r="H989" s="59"/>
      <c r="I989" s="86"/>
      <c r="J989" s="105"/>
      <c r="K989" s="88"/>
      <c r="L989" s="88"/>
      <c r="M989" s="88"/>
      <c r="N989" s="88"/>
      <c r="O989" s="88"/>
      <c r="P989" s="88"/>
      <c r="Q989" s="88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</row>
    <row r="990" spans="1:32" ht="24" customHeight="1">
      <c r="A990" s="19"/>
      <c r="B990" s="58"/>
      <c r="C990" s="59"/>
      <c r="D990" s="59"/>
      <c r="E990" s="59"/>
      <c r="F990" s="60"/>
      <c r="G990" s="85"/>
      <c r="H990" s="59"/>
      <c r="I990" s="86"/>
      <c r="J990" s="105"/>
      <c r="K990" s="88"/>
      <c r="L990" s="88"/>
      <c r="M990" s="88"/>
      <c r="N990" s="88"/>
      <c r="O990" s="88"/>
      <c r="P990" s="88"/>
      <c r="Q990" s="88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</row>
    <row r="991" spans="1:32" ht="24" customHeight="1">
      <c r="A991" s="19"/>
      <c r="B991" s="58"/>
      <c r="C991" s="59"/>
      <c r="D991" s="59"/>
      <c r="E991" s="59"/>
      <c r="F991" s="60"/>
      <c r="G991" s="85"/>
      <c r="H991" s="59"/>
      <c r="I991" s="86"/>
      <c r="J991" s="105"/>
      <c r="K991" s="88"/>
      <c r="L991" s="88"/>
      <c r="M991" s="88"/>
      <c r="N991" s="88"/>
      <c r="O991" s="88"/>
      <c r="P991" s="88"/>
      <c r="Q991" s="88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</row>
    <row r="992" spans="1:32" ht="24" customHeight="1">
      <c r="A992" s="19"/>
      <c r="B992" s="58"/>
      <c r="C992" s="59"/>
      <c r="D992" s="59"/>
      <c r="E992" s="59"/>
      <c r="F992" s="60"/>
      <c r="G992" s="85"/>
      <c r="H992" s="59"/>
      <c r="I992" s="86"/>
      <c r="J992" s="105"/>
      <c r="K992" s="88"/>
      <c r="L992" s="88"/>
      <c r="M992" s="88"/>
      <c r="N992" s="88"/>
      <c r="O992" s="88"/>
      <c r="P992" s="88"/>
      <c r="Q992" s="88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</row>
    <row r="993" spans="1:32" ht="24" customHeight="1">
      <c r="A993" s="19"/>
      <c r="B993" s="58"/>
      <c r="C993" s="59"/>
      <c r="D993" s="59"/>
      <c r="E993" s="59"/>
      <c r="F993" s="60"/>
      <c r="G993" s="85"/>
      <c r="H993" s="59"/>
      <c r="I993" s="86"/>
      <c r="J993" s="105"/>
      <c r="K993" s="88"/>
      <c r="L993" s="88"/>
      <c r="M993" s="88"/>
      <c r="N993" s="88"/>
      <c r="O993" s="88"/>
      <c r="P993" s="88"/>
      <c r="Q993" s="88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</row>
    <row r="994" spans="1:32" ht="24" customHeight="1">
      <c r="A994" s="19"/>
      <c r="B994" s="58"/>
      <c r="C994" s="59"/>
      <c r="D994" s="59"/>
      <c r="E994" s="59"/>
      <c r="F994" s="60"/>
      <c r="G994" s="85"/>
      <c r="H994" s="59"/>
      <c r="I994" s="86"/>
      <c r="J994" s="105"/>
      <c r="K994" s="88"/>
      <c r="L994" s="88"/>
      <c r="M994" s="88"/>
      <c r="N994" s="88"/>
      <c r="O994" s="88"/>
      <c r="P994" s="88"/>
      <c r="Q994" s="88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</row>
    <row r="995" spans="1:32" ht="24" customHeight="1">
      <c r="A995" s="19"/>
      <c r="B995" s="58"/>
      <c r="C995" s="59"/>
      <c r="D995" s="59"/>
      <c r="E995" s="59"/>
      <c r="F995" s="60"/>
      <c r="G995" s="85"/>
      <c r="H995" s="59"/>
      <c r="I995" s="86"/>
      <c r="J995" s="105"/>
      <c r="K995" s="88"/>
      <c r="L995" s="88"/>
      <c r="M995" s="88"/>
      <c r="N995" s="88"/>
      <c r="O995" s="88"/>
      <c r="P995" s="88"/>
      <c r="Q995" s="88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</row>
    <row r="996" spans="1:32" ht="24" customHeight="1">
      <c r="A996" s="19"/>
      <c r="B996" s="58"/>
      <c r="C996" s="59"/>
      <c r="D996" s="59"/>
      <c r="E996" s="59"/>
      <c r="F996" s="60"/>
      <c r="G996" s="85"/>
      <c r="H996" s="59"/>
      <c r="I996" s="86"/>
      <c r="J996" s="105"/>
      <c r="K996" s="88"/>
      <c r="L996" s="88"/>
      <c r="M996" s="88"/>
      <c r="N996" s="88"/>
      <c r="O996" s="88"/>
      <c r="P996" s="88"/>
      <c r="Q996" s="88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</row>
    <row r="997" spans="1:32" ht="24" customHeight="1">
      <c r="A997" s="19"/>
      <c r="B997" s="58"/>
      <c r="C997" s="59"/>
      <c r="D997" s="59"/>
      <c r="E997" s="59"/>
      <c r="F997" s="60"/>
      <c r="G997" s="85"/>
      <c r="H997" s="59"/>
      <c r="I997" s="86"/>
      <c r="J997" s="105"/>
      <c r="K997" s="88"/>
      <c r="L997" s="88"/>
      <c r="M997" s="88"/>
      <c r="N997" s="88"/>
      <c r="O997" s="88"/>
      <c r="P997" s="88"/>
      <c r="Q997" s="88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</row>
    <row r="998" spans="1:32" ht="24" customHeight="1">
      <c r="A998" s="19"/>
      <c r="B998" s="58"/>
      <c r="C998" s="59"/>
      <c r="D998" s="59"/>
      <c r="E998" s="59"/>
      <c r="F998" s="60"/>
      <c r="G998" s="85"/>
      <c r="H998" s="59"/>
      <c r="I998" s="86"/>
      <c r="J998" s="105"/>
      <c r="K998" s="88"/>
      <c r="L998" s="88"/>
      <c r="M998" s="88"/>
      <c r="N998" s="88"/>
      <c r="O998" s="88"/>
      <c r="P998" s="88"/>
      <c r="Q998" s="88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</row>
    <row r="999" spans="1:32" ht="24" customHeight="1">
      <c r="A999" s="19"/>
      <c r="B999" s="58"/>
      <c r="C999" s="59"/>
      <c r="D999" s="59"/>
      <c r="E999" s="59"/>
      <c r="F999" s="60"/>
      <c r="G999" s="85"/>
      <c r="H999" s="59"/>
      <c r="I999" s="86"/>
      <c r="J999" s="105"/>
      <c r="K999" s="88"/>
      <c r="L999" s="88"/>
      <c r="M999" s="88"/>
      <c r="N999" s="88"/>
      <c r="O999" s="88"/>
      <c r="P999" s="88"/>
      <c r="Q999" s="88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</row>
    <row r="1000" spans="1:32" ht="24" customHeight="1">
      <c r="A1000" s="19"/>
      <c r="B1000" s="58"/>
      <c r="C1000" s="59"/>
      <c r="D1000" s="59"/>
      <c r="E1000" s="59"/>
      <c r="F1000" s="60"/>
      <c r="G1000" s="85"/>
      <c r="H1000" s="59"/>
      <c r="I1000" s="86"/>
      <c r="J1000" s="105"/>
      <c r="K1000" s="88"/>
      <c r="L1000" s="88"/>
      <c r="M1000" s="88"/>
      <c r="N1000" s="88"/>
      <c r="O1000" s="88"/>
      <c r="P1000" s="88"/>
      <c r="Q1000" s="88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</row>
  </sheetData>
  <mergeCells count="1">
    <mergeCell ref="A1:J1"/>
  </mergeCells>
  <conditionalFormatting sqref="J2:J180">
    <cfRule type="cellIs" dxfId="1" priority="1" operator="between">
      <formula>31</formula>
      <formula>60</formula>
    </cfRule>
    <cfRule type="cellIs" dxfId="0" priority="2" operator="lessThanOrEqual">
      <formula>30</formula>
    </cfRule>
  </conditionalFormatting>
  <pageMargins left="0.511811024" right="0.511811024" top="0.78740157499999996" bottom="0.78740157499999996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SALDO ATUAL</vt:lpstr>
      <vt:lpstr>ENTRADAS</vt:lpstr>
      <vt:lpstr>SAÍDAS</vt:lpstr>
      <vt:lpstr>VALIDADES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Financ365</dc:creator>
  <cp:lastModifiedBy>Projetos 02</cp:lastModifiedBy>
  <dcterms:created xsi:type="dcterms:W3CDTF">2024-06-26T00:04:16Z</dcterms:created>
  <dcterms:modified xsi:type="dcterms:W3CDTF">2026-04-14T18:55:08Z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0x0101002D54A12CE257E9498A41FA91F4725F50</vt:lpwstr>
  </property>
  <property fmtid="{D5CDD505-2E9C-101B-9397-08002B2CF9AE}" pid="3" name="MediaServiceImageTags">
    <vt:lpwstr/>
  </property>
</Properties>
</file>