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NTROLE FINANCEIRO - 2025 " sheetId="1" r:id="rId5"/>
    <sheet state="hidden" name="PRECIFICAÇÃO - SUGESTÃO" sheetId="2" r:id="rId6"/>
    <sheet state="visible" name="PRECIFICAÇÃO " sheetId="3" r:id="rId7"/>
    <sheet state="visible" name="PROCEDIMENTOS" sheetId="4" r:id="rId8"/>
    <sheet state="visible" name="TAXA" sheetId="5" r:id="rId9"/>
    <sheet state="hidden" name="TECNOLOGIAS" sheetId="6" r:id="rId10"/>
    <sheet state="hidden" name="PALETA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======
ID#AAABrNHbql8
tc={59E177AF-BEF9-4251-99B0-FB2ADA4B988D}    (2025-09-17 20:22:16)
[Comentário encadeado]
Sua versão do Excel permite que você leia este comentário encadeado, no entanto, as edições serão removidas se o arquivo for aberto em uma versão mais recente do Excel. Saiba mais: https://go.microsoft.com/fwlink/?linkid=870924
Comentário:
    90 O DIA VAI 2X NA SEMANA</t>
      </text>
    </comment>
    <comment authorId="0" ref="C13">
      <text>
        <t xml:space="preserve">======
ID#AAABrNHbqmM
tc={52E813C5-EE89-4F88-958A-9C83CB10DF47}    (2025-09-17 20:22:16)
[Comentário encadeado]
Sua versão do Excel permite que você leia este comentário encadeado, no entanto, as edições serão removidas se o arquivo for aberto em uma versão mais recente do Excel. Saiba mais: https://go.microsoft.com/fwlink/?linkid=870924
Comentário:
    90 O DIA VAI 2X NA SEMANA</t>
      </text>
    </comment>
    <comment authorId="0" ref="D13">
      <text>
        <t xml:space="preserve">======
ID#AAABrNHbqmg
tc={ADF73862-72FB-4E93-8878-B118000371FC}    (2025-09-17 20:22:16)
[Comentário encadeado]
Sua versão do Excel permite que você leia este comentário encadeado, no entanto, as edições serão removidas se o arquivo for aberto em uma versão mais recente do Excel. Saiba mais: https://go.microsoft.com/fwlink/?linkid=870924
Comentário:
    90 O DIA VAI 2X NA SEMANA</t>
      </text>
    </comment>
    <comment authorId="0" ref="E13">
      <text>
        <t xml:space="preserve">======
ID#AAABrNHbqmk
tc={01C0FA13-D419-4AD3-A1CB-BB94141D43AC}    (2025-09-17 20:22:16)
[Comentário encadeado]
Sua versão do Excel permite que você leia este comentário encadeado, no entanto, as edições serão removidas se o arquivo for aberto em uma versão mais recente do Excel. Saiba mais: https://go.microsoft.com/fwlink/?linkid=870924
Comentário:
    90 O DIA VAI 2X NA SEMANA</t>
      </text>
    </comment>
    <comment authorId="0" ref="F13">
      <text>
        <t xml:space="preserve">======
ID#AAABrNHbqmA
tc={01DDC7DF-8AF8-4198-BA96-9BCE6472EBAB}    (2025-09-17 20:22:16)
[Comentário encadeado]
Sua versão do Excel permite que você leia este comentário encadeado, no entanto, as edições serão removidas se o arquivo for aberto em uma versão mais recente do Excel. Saiba mais: https://go.microsoft.com/fwlink/?linkid=870924
Comentário:
    90 O DIA VAI 2X NA SEMANA</t>
      </text>
    </comment>
    <comment authorId="0" ref="G13">
      <text>
        <t xml:space="preserve">======
ID#AAABrNHbqmI
tc={C98F580D-B638-4DE6-BBF8-1C6BAC0E9A60}    (2025-09-17 20:22:16)
[Comentário encadeado]
Sua versão do Excel permite que você leia este comentário encadeado, no entanto, as edições serão removidas se o arquivo for aberto em uma versão mais recente do Excel. Saiba mais: https://go.microsoft.com/fwlink/?linkid=870924
Comentário:
    90 O DIA VAI 2X NA SEMANA</t>
      </text>
    </comment>
    <comment authorId="0" ref="H13">
      <text>
        <t xml:space="preserve">======
ID#AAABrNHbqmQ
tc={475AF44C-034A-4C00-AD85-567CD5E058F6}    (2025-09-17 20:22:16)
[Comentário encadeado]
Sua versão do Excel permite que você leia este comentário encadeado, no entanto, as edições serão removidas se o arquivo for aberto em uma versão mais recente do Excel. Saiba mais: https://go.microsoft.com/fwlink/?linkid=870924
Comentário:
    90 O DIA VAI 2X NA SEMANA</t>
      </text>
    </comment>
    <comment authorId="0" ref="I13">
      <text>
        <t xml:space="preserve">======
ID#AAABrNHbql4
tc={EFA706DA-345B-42D8-81A0-49500BC0D92C}    (2025-09-17 20:22:16)
[Comentário encadeado]
Sua versão do Excel permite que você leia este comentário encadeado, no entanto, as edições serão removidas se o arquivo for aberto em uma versão mais recente do Excel. Saiba mais: https://go.microsoft.com/fwlink/?linkid=870924
Comentário:
    90 O DIA VAI 2X NA SEMANA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8">
      <text>
        <t xml:space="preserve">======
ID#AAABrNHbqmU
DELL    (2025-09-17 20:22:16)
CONFIRMAR A QUANTIDADE</t>
      </text>
    </comment>
  </commentList>
</comments>
</file>

<file path=xl/sharedStrings.xml><?xml version="1.0" encoding="utf-8"?>
<sst xmlns="http://schemas.openxmlformats.org/spreadsheetml/2006/main" count="830" uniqueCount="547">
  <si>
    <t xml:space="preserve">CONTROLE FINANCEIRO 2025 </t>
  </si>
  <si>
    <t>DESPESAS FIXAS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</si>
  <si>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</si>
  <si>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</si>
  <si>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</si>
  <si>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</si>
  <si>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</si>
  <si>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</si>
  <si>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</si>
  <si>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</si>
  <si>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</si>
  <si>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</si>
  <si>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</si>
  <si>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</si>
  <si>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Aluguel</t>
  </si>
  <si>
    <t>Condomínio</t>
  </si>
  <si>
    <t>IPTU</t>
  </si>
  <si>
    <t>Luz</t>
  </si>
  <si>
    <t>Telefone</t>
  </si>
  <si>
    <t>Celular</t>
  </si>
  <si>
    <t>Internet</t>
  </si>
  <si>
    <t>T.I.</t>
  </si>
  <si>
    <t>Contador</t>
  </si>
  <si>
    <t>Faxineira</t>
  </si>
  <si>
    <t>Sistema</t>
  </si>
  <si>
    <t>Alarme</t>
  </si>
  <si>
    <t>CRM</t>
  </si>
  <si>
    <t>Seguro de Equipamentos</t>
  </si>
  <si>
    <t>Mensalidade Conta Corrente</t>
  </si>
  <si>
    <t>Mensalidade Cartão de Crédito</t>
  </si>
  <si>
    <t>Mensalidade Maquineta de Cartão</t>
  </si>
  <si>
    <t>Anuidade Certificado Digital</t>
  </si>
  <si>
    <t>Outros</t>
  </si>
  <si>
    <t>TOTAL</t>
  </si>
  <si>
    <t>DESPESAS VARIÁVEIS</t>
  </si>
  <si>
    <t>Correios</t>
  </si>
  <si>
    <t>Consultoria</t>
  </si>
  <si>
    <t>Lanche para o paciente (Coffee Break)</t>
  </si>
  <si>
    <t xml:space="preserve"> Higienização de Estofaos</t>
  </si>
  <si>
    <t>Cursos e treinamentos</t>
  </si>
  <si>
    <t>Manutenção Ar-condicionado</t>
  </si>
  <si>
    <t>Manutenção Geral</t>
  </si>
  <si>
    <t>Locação de Equipamentos (MPT Transporte)</t>
  </si>
  <si>
    <t>Serviço de bordado (Rouparia)</t>
  </si>
  <si>
    <t>Material de Expediente (Itens para escritório)</t>
  </si>
  <si>
    <t>Material de Limpeza</t>
  </si>
  <si>
    <t>Insumos para Copa/ Descartáveis</t>
  </si>
  <si>
    <t>Insumos Clínica</t>
  </si>
  <si>
    <t xml:space="preserve">Equipamentos e informatica </t>
  </si>
  <si>
    <t>DESPESAS COM PESSOAL</t>
  </si>
  <si>
    <t>Uniformes</t>
  </si>
  <si>
    <t>Serviço de bordado (Uniformes)</t>
  </si>
  <si>
    <t>Comissão Fixa</t>
  </si>
  <si>
    <t>Ponto eletrônico</t>
  </si>
  <si>
    <t>Salários</t>
  </si>
  <si>
    <t>Prestadores de Serviços</t>
  </si>
  <si>
    <t>Vale Alimentação | Refeição</t>
  </si>
  <si>
    <t>Vale Transporte</t>
  </si>
  <si>
    <t>Plano de Saúde | Odontológico</t>
  </si>
  <si>
    <t>FGTS | INSS | IRRF/ CONFINS/ PIS / ISS</t>
  </si>
  <si>
    <t>Verbas de Rescisões</t>
  </si>
  <si>
    <t>Exames Admissional | Demissional</t>
  </si>
  <si>
    <t>Retirada Pessoal - Médico</t>
  </si>
  <si>
    <t>DESPESAS COM MARKETING</t>
  </si>
  <si>
    <t>Mentoria</t>
  </si>
  <si>
    <t>Relações Públicas</t>
  </si>
  <si>
    <t>Agência de Marketing</t>
  </si>
  <si>
    <t>Gestão de Redes Sociais</t>
  </si>
  <si>
    <t>Lembranças para o paciente</t>
  </si>
  <si>
    <t>Mídia</t>
  </si>
  <si>
    <t>Salario Marketing</t>
  </si>
  <si>
    <t>Impulsionamento (Google Adwords, Instagram)</t>
  </si>
  <si>
    <t>Decoração (flores, arranjos, datas comemorativas)</t>
  </si>
  <si>
    <t>Material Personalizado (sacolas, envelopes, pastas, cartões)</t>
  </si>
  <si>
    <t>RESUMO</t>
  </si>
  <si>
    <t>MÉDIA</t>
  </si>
  <si>
    <t>% DESPESAS</t>
  </si>
  <si>
    <t>% FATURAMENTO</t>
  </si>
  <si>
    <t>Despesas Fixas</t>
  </si>
  <si>
    <t>Despesas Variáveis</t>
  </si>
  <si>
    <t>Despesas com Pessoal</t>
  </si>
  <si>
    <t>Despesas com Marketing</t>
  </si>
  <si>
    <t>Reforma (Xmi/0.5%a.m./5a)</t>
  </si>
  <si>
    <t>Custo Total</t>
  </si>
  <si>
    <t>Horas trabalhadas no mês</t>
  </si>
  <si>
    <t>Taxa de Sala - hora</t>
  </si>
  <si>
    <t>Taxa de Sala - minuto</t>
  </si>
  <si>
    <t>Custo Clínica - dia</t>
  </si>
  <si>
    <t>Custo Clínica - semana</t>
  </si>
  <si>
    <t>CATEGORIA</t>
  </si>
  <si>
    <t>PROCEDIMENTOS</t>
  </si>
  <si>
    <t>OBS E SUGESTAO</t>
  </si>
  <si>
    <t>DURAÇÃO</t>
  </si>
  <si>
    <t>UNIDADES</t>
  </si>
  <si>
    <t xml:space="preserve">PRODUTOS </t>
  </si>
  <si>
    <t>TAXA DE SALA</t>
  </si>
  <si>
    <t>TOTAL - CUSTO OPERACIONAL</t>
  </si>
  <si>
    <t xml:space="preserve">PREÇO- TABELA </t>
  </si>
  <si>
    <t>CARTÃO DE CRÉDITO</t>
  </si>
  <si>
    <t>IMPOSTOS</t>
  </si>
  <si>
    <t>COMISSÃO</t>
  </si>
  <si>
    <t>LUCRO</t>
  </si>
  <si>
    <t>Quantidade</t>
  </si>
  <si>
    <t>Tempo</t>
  </si>
  <si>
    <t>Faturamento</t>
  </si>
  <si>
    <t>Produto/ Material</t>
  </si>
  <si>
    <t>Taxa de Sala</t>
  </si>
  <si>
    <t>Imposto + Cartão</t>
  </si>
  <si>
    <t>Bonificação</t>
  </si>
  <si>
    <t>Lucro</t>
  </si>
  <si>
    <t>BIÓPSIA DE PELE(TBM CARE PLUS)</t>
  </si>
  <si>
    <t>ABRASÃO CIRURGICA(TBM CARE PLUS)</t>
  </si>
  <si>
    <t xml:space="preserve">	AVALIAÇÃO</t>
  </si>
  <si>
    <t>AVALIAÇÃO ONLINE</t>
  </si>
  <si>
    <t xml:space="preserve">	BIOESTIMULADOR DIAMOND - 1 AMPOLA</t>
  </si>
  <si>
    <t>BIOESTIMULADOR RADIESSE - 1 AMPOLA</t>
  </si>
  <si>
    <t>BIOESTIMULADOR SCULPTRA - 1 AMPOLA</t>
  </si>
  <si>
    <t>BIOESTIMULADOR ELLEVA - 1 AMPOLA</t>
  </si>
  <si>
    <t>BIOIMPEDANCIA</t>
  </si>
  <si>
    <t xml:space="preserve">	BLEFAROPLASTIA - SUPERIOR OU INFERIOR</t>
  </si>
  <si>
    <t xml:space="preserve">	BLEFAROPLASTIA - TOTAL</t>
  </si>
  <si>
    <t>CAUTERIZAÇÃO QUÍMICA - ATÉ 5 LESÕES(TBM CARE PLUS)</t>
  </si>
  <si>
    <t>CONSULTA DERMATOLOGICA - RJ</t>
  </si>
  <si>
    <t>CONSULTA DERMATOLÓGICA - SP</t>
  </si>
  <si>
    <t>CONSULTA DR. VICTOR ROMERO - TRICOLOGISTA</t>
  </si>
  <si>
    <t>CONSULTA ENDOCRINOLOGIA</t>
  </si>
  <si>
    <t xml:space="preserve">CONSULTA NUTRIÇÃO </t>
  </si>
  <si>
    <t xml:space="preserve">	COOLSCULPTING CORPORAL ADVANTAGE - 1 CICLO</t>
  </si>
  <si>
    <t>COOLSCULPTING FACIAL MINI - 1 CICLO</t>
  </si>
  <si>
    <t xml:space="preserve">	COOLSCUPTING CORPORAL PLUS - 1 CICLO</t>
  </si>
  <si>
    <t>COOLSCUPTING CORPORAL SMOOTH - 1 CICLO</t>
  </si>
  <si>
    <t xml:space="preserve">	CORREÇÃO CIRURGICA CICATRIZ ACNE</t>
  </si>
  <si>
    <t>CORREÇÃO DE RINOFIMA</t>
  </si>
  <si>
    <t>CRIOCIRURGIA DE NEOPLASIAS CUTANEAS - NITROGENIO LIQUIDO(TBM CARE PLUS)</t>
  </si>
  <si>
    <t xml:space="preserve">	CRIOPEELING</t>
  </si>
  <si>
    <t xml:space="preserve">	CRIOTERAPIA DE NEOPLASIA CUTÂNEA</t>
  </si>
  <si>
    <t>CURATIVOS EM GERAL SEM ANESTESIA, EXCETO QUEIMADOS</t>
  </si>
  <si>
    <t xml:space="preserve">	CURETAGEM DE MOLUSCO</t>
  </si>
  <si>
    <t>CURETAGEM SIMPLES - ATÉ 15 LESÕES</t>
  </si>
  <si>
    <t>CURSO CIRURGIA DERMATOLÓGICA</t>
  </si>
  <si>
    <t>DEPILAÇÃO A LASER ANTEBRAÇO - 1 SESSÃO</t>
  </si>
  <si>
    <t xml:space="preserve">	DEPILAÇÃO A LASER AXILAS - 1 SESSÃO</t>
  </si>
  <si>
    <t>DEPILAÇÃO A LASER BARBA - 1 SESSÃO</t>
  </si>
  <si>
    <t>DEPILAÇÃO A LASER BARBA INFERIOR - 1 SESSÃO</t>
  </si>
  <si>
    <t>DEPILAÇÃO A LASER BARRIGA (LINHA) - 1 SESSÃO</t>
  </si>
  <si>
    <t>DEPILAÇÃO A LASER BARRIGA COMPLETA - 1 SESSÃO</t>
  </si>
  <si>
    <t>DEPILAÇÃO A LASER BOCHECHAS - 1 SESSÃO</t>
  </si>
  <si>
    <t xml:space="preserve">	DEPILAÇÃO A LASER BRAÇOS - 1 SESSÃO</t>
  </si>
  <si>
    <t>DEPILAÇÃO A LASER BUÇO - 1 SESSÃO</t>
  </si>
  <si>
    <t>DEPILAÇÃO A LASER COCCIX - 1 SESSÃO</t>
  </si>
  <si>
    <t>DEPILAÇÃO A LASER COSTAS - 1 SESSÃO</t>
  </si>
  <si>
    <t>DEPILAÇÃO A LASER COSTELETAS - 1 SESSÃO</t>
  </si>
  <si>
    <t>DEPILAÇÃO A LASER COXAS - 1 SESSÃO</t>
  </si>
  <si>
    <t>DEPILAÇÃO A LASER COXAS (ANTERIOR OU POSTERIOR) - 1 SESSÃO</t>
  </si>
  <si>
    <t>DEPILAÇÃO A LASER DEDOS DAS MÃOS - 1 SESSÃO</t>
  </si>
  <si>
    <t>DEPILAÇÃO A LASER DEDOS DOS PÉS - 1 SESSÃO</t>
  </si>
  <si>
    <t xml:space="preserve">	DEPILAÇÃO A LASER ESCAPULAS - 1 SESSÃO</t>
  </si>
  <si>
    <t>DEPILAÇÃO A LASER GLUTEOS - 1 SESSÃO</t>
  </si>
  <si>
    <t xml:space="preserve">	DEPILAÇÃO A LASER INTERGLUTEA - 1 SESSÃO</t>
  </si>
  <si>
    <t>DEPILAÇÃO A LASER INTERMAMARIO - 1 SESSÃO</t>
  </si>
  <si>
    <t xml:space="preserve">	DEPILAÇÃO A LASER NARIZ - 1 SESSÃO</t>
  </si>
  <si>
    <t>DEPILAÇÃO A LASER NUCA - 1 SESSÃO</t>
  </si>
  <si>
    <t xml:space="preserve">	DEPILAÇÃO A LASER OMBROS - 1 SESSÃO</t>
  </si>
  <si>
    <t>DEPILAÇÃO A LASER ORELHAS - 1 SESSÃO</t>
  </si>
  <si>
    <t>DEPILAÇÃO A LASER PEITORAL - 1 SESSÃO</t>
  </si>
  <si>
    <t>DEPILAÇÃO A LASER PERIANAL FEMININA - 1 SESSÃO</t>
  </si>
  <si>
    <t>DEPILAÇÃO A LASER PERIANAL MASCULINO - 1 SESSÃO</t>
  </si>
  <si>
    <t>DEPILAÇÃO A LASER PERNA - 1 SESSÃO</t>
  </si>
  <si>
    <t>DEPILAÇÃO A LASER PERNA INTEIRA FEMININA - 1 SESSÃO</t>
  </si>
  <si>
    <t>DEPILAÇÃO A LASER PERNA INTEIRA MASCULINA - 1 SESSÃO</t>
  </si>
  <si>
    <t>DEPILAÇÃO A LASER PESCOÇO FEMININO - 1 SESSÃO</t>
  </si>
  <si>
    <t xml:space="preserve">	DEPILAÇÃO A LASER QUEIXO - 1 SESSÃO</t>
  </si>
  <si>
    <t>DEPILAÇÃO A LASER ROSTO INTEIRO - 1 SESSÃO</t>
  </si>
  <si>
    <t xml:space="preserve">	DEPILAÇÃO A LASER SEIOS - 1 SESSÃO</t>
  </si>
  <si>
    <t>DEPILAÇÃO A LASER SOBRANCELHAS - 1 SESSÃO</t>
  </si>
  <si>
    <t>DEPILAÇÃO A LASER SUBMAMARIO - 1 SESSÃO</t>
  </si>
  <si>
    <t>DEPILAÇÃO A LASER TORAX - 1 SESSÃO</t>
  </si>
  <si>
    <t>DEPILAÇÃO A LASER VIRILHA ESTENDIDA FEMININA - 1 SESSÃO</t>
  </si>
  <si>
    <t>DEPILAÇÃO A LASER VIRILHA MASCULINO - 1 SESSÃO</t>
  </si>
  <si>
    <t>DEPILAÇÃO A LASER VIRILHA SIMPLES FEMININA - 1 SESSÃO</t>
  </si>
  <si>
    <t>DEPILAÇÃO ÍNTIMA (ÂNUS)</t>
  </si>
  <si>
    <t xml:space="preserve">	DEPILAÇÃO REGIÃO SUBMAMÁRIA</t>
  </si>
  <si>
    <t>DERMOABRASÃO MALAR/ CICATRIZ ACNE - 1 SESSÃO</t>
  </si>
  <si>
    <t xml:space="preserve">	DERMOABRASÃO PERILABIAL - 1 SESSÃO</t>
  </si>
  <si>
    <t xml:space="preserve">	DERMOABRASÃO REMOÇÃO DE TATUAGEM</t>
  </si>
  <si>
    <t>DESBRIDAMENTO CIRURGICO DE FERIDAS OU EXTREMIDADES</t>
  </si>
  <si>
    <t>DESBRIDAMENTO GRAU I</t>
  </si>
  <si>
    <t xml:space="preserve">	DESBRIDAMENTO GRAU II</t>
  </si>
  <si>
    <t xml:space="preserve">	DESBRIDAMENTO GRAU III</t>
  </si>
  <si>
    <t>LIPO DE PAPADA - DESOXICOLATO</t>
  </si>
  <si>
    <t xml:space="preserve">	DISPARO MACRO PEN LIFTERA</t>
  </si>
  <si>
    <t xml:space="preserve">	DISPARO MICRO LINEAR LIFTERA</t>
  </si>
  <si>
    <t>DISPARO MICRO PEN LIFTERA</t>
  </si>
  <si>
    <t>DISSOLUÇÃO DE NÓDULOS POR PREENCHEDORES</t>
  </si>
  <si>
    <t>DRENAGEM CORPORAL - CORTESIA</t>
  </si>
  <si>
    <t>DRENAGEM FACIAL - CORTESIA</t>
  </si>
  <si>
    <t>ELETROCOAGULAÇÃO DE LESÕES CUTÂNEAS(TBM CARE PLUS)</t>
  </si>
  <si>
    <t>ELETROCOAGULAÇÃO DE LESÕES DE PELE E MUCOSAS- COM OU SEM CURETAGEM -  ATÉ 5 LESÕES(TBM CARE PLUS)</t>
  </si>
  <si>
    <t>EPILAÇÃO POR ELETROLISE - SESSÃO AVULSA(TBM CARE PLUS)</t>
  </si>
  <si>
    <t>EXCISÃO E SUTURA SIMPLES DE PEQUENAS LESÕES - LESÕES DE PELE E TECIDO CELULAR SUBCUTÂNEO - ATÉ 5 LESÕES (TBM CARE PLUS)</t>
  </si>
  <si>
    <t>EXCISÃO EM CUNHA - EM LÁBIO(TBM CARE PLUS)</t>
  </si>
  <si>
    <t xml:space="preserve">	EXERESE DE LESÃO COM AUTO- ENXERTIA -LESÕES DE PELE E TECIDO CELULAR SUBCUTANEO</t>
  </si>
  <si>
    <t xml:space="preserve">	EXERESE DE LESÃO/TUMOR DE PELE E MUCOSA(TBM CARE PLUS)</t>
  </si>
  <si>
    <t>EXERESE E SUTURA DE HEMANGIOMA, LINFANGIOMA OU NEVUS (POR GRUPO DE ATÉ 5 LESÕES)(TBM CARE PLUS)</t>
  </si>
  <si>
    <t>EXERESE E SUTURA DE LESÕES (CIRCULARES OU NÃO) COM ROTAÇÃO DE RETALHOS CUTÂNEOS(TBM CARE PLUS)</t>
  </si>
  <si>
    <t>EXERESE E SUTURA DE PEQUENAS LESÕES - GRUPO DE ATÉ 5 LESÕES - LESÕES DE PELE E TECIDO CELULAR SUBCUTÂNEO</t>
  </si>
  <si>
    <t>(TBM CARE PLUS)</t>
  </si>
  <si>
    <t>EXERESE GRAU I</t>
  </si>
  <si>
    <t>EXERESE GRAU II</t>
  </si>
  <si>
    <t>EXERESE GRAU III</t>
  </si>
  <si>
    <t xml:space="preserve">	EXERESE GRAU IV</t>
  </si>
  <si>
    <t>EXILIS CORPORAL - 1 SESSÃO POR ÁREA</t>
  </si>
  <si>
    <t xml:space="preserve">	EXILIS CORPORAL - 3 SESSÃO POR ÁREA</t>
  </si>
  <si>
    <t xml:space="preserve">	EXILIS FACE + PAPADA - 1 SESSÃO</t>
  </si>
  <si>
    <t xml:space="preserve">	EXILIS PAPADA - 1 SESSÃO</t>
  </si>
  <si>
    <t>CM SLIM - CORTESIA</t>
  </si>
  <si>
    <t xml:space="preserve">CM SLIM - CORTESIA  HIPEX </t>
  </si>
  <si>
    <t xml:space="preserve">	FIO DE PDO BIOESTIMULO CROQUI - 10 FIOS</t>
  </si>
  <si>
    <t>FIO PDO - MARCA - ESPECIFICAÇÃO DO FIO</t>
  </si>
  <si>
    <t>FIO DE PDO ESPECULADO CROQUI 6 FIOS</t>
  </si>
  <si>
    <t xml:space="preserve">	FIO DE PDO TRAÇÃO CROQUI - 4 FIOS</t>
  </si>
  <si>
    <t>FIO DE PDO TRAÇÃO CROQUI - 8 FIOS</t>
  </si>
  <si>
    <t>FOTODERMATOSCOPIA</t>
  </si>
  <si>
    <t xml:space="preserve">	FULGURAÇÃO DE TELANGECTASIAS ( POR GRUPO) - CIRUGIA VENOSA</t>
  </si>
  <si>
    <t>HARMONYCA - 1 AMPOLA</t>
  </si>
  <si>
    <t>HIDRATAÇÃO PROFUNDA (SKINBOOSTERS)</t>
  </si>
  <si>
    <t xml:space="preserve">	INCISÃO E DRENAGEM DE ABCESSO</t>
  </si>
  <si>
    <t>INFILTRAÇÃO DE CORTICÓIDE</t>
  </si>
  <si>
    <t>ETHEREA - 1 SESSÃO</t>
  </si>
  <si>
    <t>SUBSTITUIR LASER PELO NOME DO APARELHO</t>
  </si>
  <si>
    <t>ETHEREA- CICATRIZ 1 A 2 AREAS - 1 SESSÃO</t>
  </si>
  <si>
    <t>ETHEREA -  CICATRIZ 3 A 5 AREAS - 1 SESSÃO</t>
  </si>
  <si>
    <t>ETHEREA -  CORPORAL 1 AREA - 1 SESSÃO</t>
  </si>
  <si>
    <t>ETHEREA -  CORPORAL 1/2 AREA - 1 SESSÃO</t>
  </si>
  <si>
    <t>ETHEREA- CORPORAL 1/2 AREA - 1 SESSÃO</t>
  </si>
  <si>
    <t>ETHEREA -  CORPORAL 2 AREAS - 1 SESSÃO</t>
  </si>
  <si>
    <t>ETHEREA -  CORPORAL 3 AREAS - 1 SESSÃO</t>
  </si>
  <si>
    <t>ETHEREA -  FACE 1 AREA - 1 SESSÃO</t>
  </si>
  <si>
    <t>ETHEREA -  FACE 1/2 AREA - 1 SESSÃO</t>
  </si>
  <si>
    <t>ETHEREA -  FACE 2 AREAS - 1 SESSÃO</t>
  </si>
  <si>
    <t>ETHEREA -  INTIMO - 1 SESSÃO</t>
  </si>
  <si>
    <t>ETHEREA -  PARA ONICOMICOSE - 1 SESSÃO</t>
  </si>
  <si>
    <t>LAVIEEN - 1 SESSÃO</t>
  </si>
  <si>
    <t>LAVIEEN - PACOTE 3 SESSÕES</t>
  </si>
  <si>
    <t>LAVIEEN -1 SESSÃO</t>
  </si>
  <si>
    <t>LAVIEEN 2 AREAS</t>
  </si>
  <si>
    <t xml:space="preserve">	LAVIEEN 3 AREAS</t>
  </si>
  <si>
    <t xml:space="preserve">	LAVIEEN 4 AREAS</t>
  </si>
  <si>
    <t>LIFTERA - DISPAROS</t>
  </si>
  <si>
    <t xml:space="preserve">	LIFTERA - TERÇO INFERIOR</t>
  </si>
  <si>
    <t>LIFTERA - AFINAMENTO</t>
  </si>
  <si>
    <t xml:space="preserve">	LIFTERA - BOCA</t>
  </si>
  <si>
    <t xml:space="preserve">	LIFTERA - BOCA E BOCHECHAS</t>
  </si>
  <si>
    <t xml:space="preserve">	LIFTERA - BOCHECHAS</t>
  </si>
  <si>
    <t>LIFTERA - COLO</t>
  </si>
  <si>
    <t>LIFTERA CORPORAL - 1 RÉGUA</t>
  </si>
  <si>
    <t>LIFTERA - FULL FACE</t>
  </si>
  <si>
    <t xml:space="preserve">	LIFTERA - FULL FACE + PESCOÇO</t>
  </si>
  <si>
    <t xml:space="preserve">	LIFTERA - FULL FACE + SUBMENTO</t>
  </si>
  <si>
    <t>LIFTERA - LOVERS</t>
  </si>
  <si>
    <t>LIFTERA - OLHOS</t>
  </si>
  <si>
    <t>LIFTERA - OLHOS E BOCHECHAS</t>
  </si>
  <si>
    <t xml:space="preserve">	LIFTERA - PALPEBRAL</t>
  </si>
  <si>
    <t>LIFTERA - PESCOÇO</t>
  </si>
  <si>
    <t xml:space="preserve">	LIFTERA - SUBMENTO</t>
  </si>
  <si>
    <t>LIFTERA - SUBMENTO + PESCOÇO</t>
  </si>
  <si>
    <t>LIFTERA - TERÇO INFERIOR + SUBMENTO</t>
  </si>
  <si>
    <t xml:space="preserve">LIMPEZA DE PELE COSTAS </t>
  </si>
  <si>
    <t>LIMPEZA DE PELE FACIAL</t>
  </si>
  <si>
    <t>LIP 1 ÁREA - 1 SESSÃO</t>
  </si>
  <si>
    <t>LIP 2 ÁREAS - 1 SESSÃO</t>
  </si>
  <si>
    <t>LIP FULL FACE - 1 SESSÃO</t>
  </si>
  <si>
    <t>LOCAÇÃO CMSLIM - DIARIA</t>
  </si>
  <si>
    <t>LOCAÇÃO DE SALA</t>
  </si>
  <si>
    <t>LOCAÇÃO HORA/EQUIPAMENTO INTERNO LIFTERA - 1 HORA</t>
  </si>
  <si>
    <t>LOCAÇÃO HORA/SALA INTERNA LIFTERA - 1 HORA</t>
  </si>
  <si>
    <t>LOCAÇÃO HORA/SALA INTERNA LIFTERA - 2 HORAS</t>
  </si>
  <si>
    <t>LOCAÇÃO INSUMOS SMOOTH PRO</t>
  </si>
  <si>
    <t xml:space="preserve">	LOCAÇÃO LIFTERA - 12 HORAS</t>
  </si>
  <si>
    <t xml:space="preserve">	LOCAÇÃO LIFTERA - 4 HORAS</t>
  </si>
  <si>
    <t xml:space="preserve">	LOCAÇÃO LIFTERA - 6 HORAS</t>
  </si>
  <si>
    <t xml:space="preserve">	LOCAÇÃO LIFTERA - 8 HORAS</t>
  </si>
  <si>
    <t xml:space="preserve">	LOGÍSTICA RANIERI</t>
  </si>
  <si>
    <t xml:space="preserve">DRENAGEM LINFÁTICA </t>
  </si>
  <si>
    <t>MASSAGEM MODELADORA</t>
  </si>
  <si>
    <t xml:space="preserve">	MASSAGEM RELAXANTE </t>
  </si>
  <si>
    <t xml:space="preserve">	MATRICECTOMIA CIRÚRGICA</t>
  </si>
  <si>
    <t>MESOTERAPIA CORPORAL - 1 SESSÃO</t>
  </si>
  <si>
    <t>MICROAGULHAMENTO ACNE - 1 SESSÃO</t>
  </si>
  <si>
    <t>MICROAGULHAMENTO COM PEELING</t>
  </si>
  <si>
    <t>MICROAGULHAMENTO MELASMA - 1 SESSÃO</t>
  </si>
  <si>
    <t>MINILIFTING FACIAL</t>
  </si>
  <si>
    <t>MMP CAPILAR</t>
  </si>
  <si>
    <t>NINFOPLASTIA (VULVA)</t>
  </si>
  <si>
    <t>NITROGÊNIO LIQUIDO - (ATÉ 5 LESÕES)(TBM CARE PLUS)</t>
  </si>
  <si>
    <t>OTOPLASTIA (ORELHA)</t>
  </si>
  <si>
    <t>PEELING CORPORAL - 1 SESSÃO</t>
  </si>
  <si>
    <t>PEELING - PRODUTO - CORPORAL</t>
  </si>
  <si>
    <t>PEELING MÉDIO - 1 SESSÃO</t>
  </si>
  <si>
    <t>PEELING - PRODUTO - MÉDIO</t>
  </si>
  <si>
    <t>PEELING MÉDIO DE CAMPO DE CLAREAMENTO</t>
  </si>
  <si>
    <t>INCLUIR O PRODUTO</t>
  </si>
  <si>
    <t>PEELING MÉDIO PALPEBRAL - 1 SESSÃO</t>
  </si>
  <si>
    <t>INCLUIR O PRODUTO -PEELING NÃO DA PRA SER PR NOME , PQ OS MEDICOS MISTURAM O PRODUTO</t>
  </si>
  <si>
    <t>PEELING SUPERFICIAL - 1 SESSÃO</t>
  </si>
  <si>
    <t>PERFURAÇÃO HUMANIZADA - ADULTO (COM JÓIA OU SEM)</t>
  </si>
  <si>
    <t>PERFURAÇÃO HUMANIZADA - BEBÊ (COM JÓIA OU SEM)</t>
  </si>
  <si>
    <t>PLÁSTICA EM Z OU W - LESÕES DE PELE E TECIDO CELULAR SUBCUTÂNEO (TBM CARE PLUS)</t>
  </si>
  <si>
    <t>PREENCHEDOR ULTRA XC</t>
  </si>
  <si>
    <t>PREENCHEDOR VOLIFT</t>
  </si>
  <si>
    <t>PREENCHEDOR LIFT DEEP LIDO</t>
  </si>
  <si>
    <t xml:space="preserve">	PREENCHEDOR LIFT DEEP LINE LIDO</t>
  </si>
  <si>
    <t>PREENCHEDOR LIFT LIDO</t>
  </si>
  <si>
    <t>PREENCHEDOR LIFT PLUS LIDO</t>
  </si>
  <si>
    <t>PREENCHEDOR LIFT ULTRA VOLUME LIDO</t>
  </si>
  <si>
    <t>PREENCHEDOR RESTYLANE LIFT</t>
  </si>
  <si>
    <t>PREENCHEDOR ULTRA PLUS XC</t>
  </si>
  <si>
    <t xml:space="preserve">	PREENCHEDOR VOLUMA</t>
  </si>
  <si>
    <t>PREENCHEDOR VOLUX</t>
  </si>
  <si>
    <t>PREENCHEDOR VOLYME</t>
  </si>
  <si>
    <t>PREENCHIMENTO CORPORAL 1 AMPOLA</t>
  </si>
  <si>
    <t>PREENCHIMENTO INTIMO 2ML</t>
  </si>
  <si>
    <t>INFORMAR O PRODUTO</t>
  </si>
  <si>
    <t>PRP CAPILAR</t>
  </si>
  <si>
    <t>RADIOFREQUENCIA FACIAL - 1 SESSÃO</t>
  </si>
  <si>
    <t>RADIOFREQUENCIA INTIMA - 1 SESSÃO</t>
  </si>
  <si>
    <t xml:space="preserve">	RECONSTRUÇÃO DE ORELHA - RETOQUES</t>
  </si>
  <si>
    <t xml:space="preserve">	REMOÇÃO DE TATUAGEM 10X10 - 1 SESSÃO</t>
  </si>
  <si>
    <t>REMOÇÃO DE TATUAGEM 15X15 - 1 SESSÃO</t>
  </si>
  <si>
    <t>REMOÇÃO DE TATUAGEM 20X20 - 1 SESSÃO</t>
  </si>
  <si>
    <t>REMOÇÃO DE TATUAGEM 3X3 - 1 SESSÃO</t>
  </si>
  <si>
    <t xml:space="preserve">	REMOÇÃO DE TATUAGEM 6X6 - 1 SESSÃO</t>
  </si>
  <si>
    <t>RESULTADO ANATOMOPATOLOGICO</t>
  </si>
  <si>
    <t xml:space="preserve">	RETIRADA DE CORPO ESTRANHO SUBCUTANEO (TBM CARE PUS)</t>
  </si>
  <si>
    <t>RETIRADA DE PONTOS</t>
  </si>
  <si>
    <t xml:space="preserve">	RETORNO - CURATIVO</t>
  </si>
  <si>
    <t>RETORNO - FOTOS</t>
  </si>
  <si>
    <t>RETORNO DE CONSULTA</t>
  </si>
  <si>
    <t>RETORNO DE PROCEDIMENTO</t>
  </si>
  <si>
    <t>RETORNO ONLINE</t>
  </si>
  <si>
    <t>REVISÃO TOXINA BOTULINICA</t>
  </si>
  <si>
    <t>SHAVING ( TBM CARE PLUS)</t>
  </si>
  <si>
    <t>SUBCISÃO - CELULITE</t>
  </si>
  <si>
    <t>SUBCISÃO - CICATRIZ</t>
  </si>
  <si>
    <t>SUBCISÃO - CICATRIZ DE ACNE</t>
  </si>
  <si>
    <t>SUBCISÃO - SULCO NASOLABIAL</t>
  </si>
  <si>
    <t>TAPPING - 1 AREA</t>
  </si>
  <si>
    <t>%</t>
  </si>
  <si>
    <t>TELEMEDICINA DERMATOLOGISTA</t>
  </si>
  <si>
    <t xml:space="preserve">	TELEMEDICINA ENDOCRINOLOGISTA</t>
  </si>
  <si>
    <t>TELEMEDICINA NUTRIÇÃO</t>
  </si>
  <si>
    <t>TERAPIA CORPORAL COMBINADO MMP</t>
  </si>
  <si>
    <t>TOXINA - LATERAL DOS OLHOS</t>
  </si>
  <si>
    <t>TOXINA BOTULÍNICA - BRUXISMO 70UI</t>
  </si>
  <si>
    <t>TOXINA BOTULINICA - ENXAQUECA 100UI</t>
  </si>
  <si>
    <t xml:space="preserve">	TOXINA BOTULINICA - FEMININO 50UI</t>
  </si>
  <si>
    <t>TOXINA BOTULÍNICA - FULL FACE 100UI</t>
  </si>
  <si>
    <t>TOXINA BOTULÍNICA - HIPERIDROSE 150UI</t>
  </si>
  <si>
    <t xml:space="preserve">	TOXINA BOTULÍNICA - MASCULINO 70UI</t>
  </si>
  <si>
    <t>TOXINA BOTULINICA - ROSACEA</t>
  </si>
  <si>
    <t xml:space="preserve">	TOXINA BOTULINICA PERILABIAL - 4UI</t>
  </si>
  <si>
    <t>TOXINA BOTULÍNICA DYSPORT - LATERAL DOS OLHOS</t>
  </si>
  <si>
    <t>TOXINA BOTULÍNICA DYSPORT - BRUXISMO 70UI</t>
  </si>
  <si>
    <t>TOXINA BOTULÍNICA DYSPORT - ENXAQUECA 100UI</t>
  </si>
  <si>
    <t>TOXINA BOTULÍNICA DYSPORT - FEMININO 50UI</t>
  </si>
  <si>
    <t>TOXINA BOTULÍNICA DYSPORT - FULL FACE 100UI</t>
  </si>
  <si>
    <t>TOXINA BOTULÍNICA DYSPORT - HIPERIDROSE 150UI</t>
  </si>
  <si>
    <t>TOXINA BOTULÍNICA DYSPORT - MASCULINO 70UI</t>
  </si>
  <si>
    <t>TOXINA BOTULÍNICA DYSPORT - ROSACEA</t>
  </si>
  <si>
    <t xml:space="preserve">	TOXINA BOTULINICA DYSPORT - PERILABIAL 4UI</t>
  </si>
  <si>
    <t>TOXINA BOTULÍNICA XEOMIN - LATERAL DOS OLHOS</t>
  </si>
  <si>
    <t>TOXINA BOTULÍNICA XEOMIN - BRUXISMO 70UI</t>
  </si>
  <si>
    <t>TOXINA BOTULÍNICA XEOMIN - ENXAQUECA 100UI</t>
  </si>
  <si>
    <t>TOXINA BOTULÍNICA XEOMIN - FEMININO 50UI</t>
  </si>
  <si>
    <t>TOXINA BOTULÍNICA XEOMIN - FULL FACE 100UI</t>
  </si>
  <si>
    <t>TOXINA BOTULÍNICA XEOMIN - HIPERIDROSE 150UI</t>
  </si>
  <si>
    <t>TOXINA BOTULÍNICA XEOMIN - MASCULINO 70UI</t>
  </si>
  <si>
    <t>TOXINA BOTULÍNICA XEOMIN - ROSACEA</t>
  </si>
  <si>
    <t xml:space="preserve">	TOXINA BOTULINICA XEOMIN - PERILABIAL 4UI</t>
  </si>
  <si>
    <t>DATA DA VENDA</t>
  </si>
  <si>
    <t>MEDICO SOLICITANTE</t>
  </si>
  <si>
    <t>PACIENTE</t>
  </si>
  <si>
    <t>QUANTIDADE</t>
  </si>
  <si>
    <t xml:space="preserve">PROCEDIMENTO </t>
  </si>
  <si>
    <t>TIPO</t>
  </si>
  <si>
    <t>PREÇO DE VENDA</t>
  </si>
  <si>
    <t>VENDEDOR</t>
  </si>
  <si>
    <t>FORMA DE PAGAMENTO</t>
  </si>
  <si>
    <t>BANDEIRA</t>
  </si>
  <si>
    <t>TAXA ADM</t>
  </si>
  <si>
    <t>VALOR TAXA ADM</t>
  </si>
  <si>
    <t>TAXA ANTECIPAÇÃO</t>
  </si>
  <si>
    <t>VALOR ANTECIPAÇÃO</t>
  </si>
  <si>
    <t xml:space="preserve">VALOR LIQUIDO </t>
  </si>
  <si>
    <t>TAXA DE SALA 3,12</t>
  </si>
  <si>
    <t>MÉDICO EXECUTOR</t>
  </si>
  <si>
    <t xml:space="preserve">CUSTO TOTAL </t>
  </si>
  <si>
    <t>LUCRO LÍQUIDO</t>
  </si>
  <si>
    <t>%2</t>
  </si>
  <si>
    <t>MÉDICO</t>
  </si>
  <si>
    <t>CLINICA</t>
  </si>
  <si>
    <t>Yasmin</t>
  </si>
  <si>
    <t>Estela</t>
  </si>
  <si>
    <t>MMP Região - Avulso</t>
  </si>
  <si>
    <t>PIX</t>
  </si>
  <si>
    <t>Marlon Henrique Souza de Barros</t>
  </si>
  <si>
    <t>Toxina Botulinica  - Terço Superior</t>
  </si>
  <si>
    <t>Claudia Estela</t>
  </si>
  <si>
    <t>Tirzepatida</t>
  </si>
  <si>
    <t>Karina Lopes</t>
  </si>
  <si>
    <t>1º consulta médica</t>
  </si>
  <si>
    <t>Débora Vicentini</t>
  </si>
  <si>
    <t>Leia Carvalho</t>
  </si>
  <si>
    <t>MMP Alopécia Padrão Feminino (6)</t>
  </si>
  <si>
    <t>CREDITO 6X</t>
  </si>
  <si>
    <t>YASMIN</t>
  </si>
  <si>
    <t>Livia Zugno</t>
  </si>
  <si>
    <t>CREDITO A VISTA</t>
  </si>
  <si>
    <t>YAS E STE</t>
  </si>
  <si>
    <t>Clélia Troleis</t>
  </si>
  <si>
    <t xml:space="preserve">CO2 </t>
  </si>
  <si>
    <t>PROCEDIMENTO</t>
  </si>
  <si>
    <t>Nathália</t>
  </si>
  <si>
    <t>Beatriz</t>
  </si>
  <si>
    <t>Ácido Hialurônico - Volift Juvederm</t>
  </si>
  <si>
    <t>Ácido Hialurônico - Volux Juvederm</t>
  </si>
  <si>
    <t>Lucimara</t>
  </si>
  <si>
    <t>Edimisom</t>
  </si>
  <si>
    <t>MMP Alopécia Androgenética (6)</t>
  </si>
  <si>
    <t>Clube do Botox</t>
  </si>
  <si>
    <t>CREDITO 5X</t>
  </si>
  <si>
    <t>João Vitor</t>
  </si>
  <si>
    <t>Stéphany</t>
  </si>
  <si>
    <t>Victor Omatti</t>
  </si>
  <si>
    <t>DINHEIRO</t>
  </si>
  <si>
    <t>Amanda Bárbara</t>
  </si>
  <si>
    <t>Meire Laura</t>
  </si>
  <si>
    <t>CREDITO 3X</t>
  </si>
  <si>
    <t>Nelson</t>
  </si>
  <si>
    <t>Juliana</t>
  </si>
  <si>
    <t>Pedro Augusto</t>
  </si>
  <si>
    <t>CREDITO 2X</t>
  </si>
  <si>
    <t>Jamille</t>
  </si>
  <si>
    <t>CREDITO 4X</t>
  </si>
  <si>
    <t>Sandro</t>
  </si>
  <si>
    <t>José Ricardo</t>
  </si>
  <si>
    <t>Edimsom</t>
  </si>
  <si>
    <t>Biópsia de Pele (1 lesão)</t>
  </si>
  <si>
    <t>Luiza Rodrigues</t>
  </si>
  <si>
    <t>MMP Eflúvio Telógeno (geral) 6</t>
  </si>
  <si>
    <t xml:space="preserve">YASMIN </t>
  </si>
  <si>
    <t>Jamille Uez</t>
  </si>
  <si>
    <t>Ácido Hialurônico - Volbella Juvederm</t>
  </si>
  <si>
    <t>PRODUTO</t>
  </si>
  <si>
    <t>CONSULTA</t>
  </si>
  <si>
    <t>Ácido Hialurônico Voluma Juvederm</t>
  </si>
  <si>
    <t xml:space="preserve"> -</t>
  </si>
  <si>
    <t>Consulta médica - rotina</t>
  </si>
  <si>
    <t>Crioterapia (por lesão)</t>
  </si>
  <si>
    <t>Exossomos Capilar (4 sessões)</t>
  </si>
  <si>
    <t>TECNOLOGIA</t>
  </si>
  <si>
    <t>Fotoage</t>
  </si>
  <si>
    <t>Jato de Plasma Full Face</t>
  </si>
  <si>
    <t>Jato de Plasma Pálpebras</t>
  </si>
  <si>
    <t>MMP Alopécia Areata em Placa (3)</t>
  </si>
  <si>
    <t>MMP Bronc</t>
  </si>
  <si>
    <t>MMP Capilar Avulsa</t>
  </si>
  <si>
    <t>MMP Crescimento de Barba (5)</t>
  </si>
  <si>
    <t>MMP Crescimento dos Fios (3)</t>
  </si>
  <si>
    <t>MMP Dermatite Seborreica / Caspa / Prurido (3)</t>
  </si>
  <si>
    <t>MMP Eflúvio Telógeno Pós-Parto (3)</t>
  </si>
  <si>
    <t>MMP Eflúvio Telógeno Pós-Praia (3)</t>
  </si>
  <si>
    <t>MMP Fios Brancos (3)</t>
  </si>
  <si>
    <t>MMP Hidratação dos Fios (3)</t>
  </si>
  <si>
    <t>MMP Mesoject</t>
  </si>
  <si>
    <t>PDRN em Meso (Facial/Capilar)</t>
  </si>
  <si>
    <t>PRP</t>
  </si>
  <si>
    <t>Radiesse (1ª ampola)</t>
  </si>
  <si>
    <t>Sculptra (1ª ampola)</t>
  </si>
  <si>
    <t>Skinbooster (1 ampola)</t>
  </si>
  <si>
    <t>Toxina Botulinica  - Masseter (Bruxismo)</t>
  </si>
  <si>
    <t>Toxina Botulinica -  Pescoço</t>
  </si>
  <si>
    <t>Toxina Botulinica - Axilas</t>
  </si>
  <si>
    <t>Toxina Botulinica - Cefaleia</t>
  </si>
  <si>
    <t>Toxina Botulinica - Full Face + pescoço</t>
  </si>
  <si>
    <t>Toxina Botulinica - Palmas das Mãos</t>
  </si>
  <si>
    <t>Toxina Botulinica - Peptídeo Botulínico (intradermoterapia)</t>
  </si>
  <si>
    <t>Toxina Botulinica - Sorriso Gengival</t>
  </si>
  <si>
    <t>Toxina Botulinica - Toxina Botulinica - Trapézio (Pescoço de Noiva)</t>
  </si>
  <si>
    <t>Vitamina B12 (a cada 40 dias)</t>
  </si>
  <si>
    <t>Vitamina D3 (4 unid./1 ano)</t>
  </si>
  <si>
    <t xml:space="preserve">FORMA DE PAGAMENTO </t>
  </si>
  <si>
    <t>DEBITO</t>
  </si>
  <si>
    <t>CREDITO 1X</t>
  </si>
  <si>
    <t>A PARTIR DE 6</t>
  </si>
  <si>
    <t>TED</t>
  </si>
  <si>
    <t>CORTESIA</t>
  </si>
  <si>
    <t>PARCERIA</t>
  </si>
  <si>
    <t>RETORNO</t>
  </si>
  <si>
    <t>CHEQUE</t>
  </si>
  <si>
    <t>PAGO</t>
  </si>
  <si>
    <t xml:space="preserve">EM ABERTO </t>
  </si>
  <si>
    <t>Mesojectium</t>
  </si>
  <si>
    <t xml:space="preserve">Investimento </t>
  </si>
  <si>
    <t>Capacidade</t>
  </si>
  <si>
    <t xml:space="preserve">Vida útil </t>
  </si>
  <si>
    <t>Depreciação mensal</t>
  </si>
  <si>
    <t>Quantidade </t>
  </si>
  <si>
    <t xml:space="preserve">Valor residual </t>
  </si>
  <si>
    <t>Custo </t>
  </si>
  <si>
    <t>Montante rentabilizado</t>
  </si>
  <si>
    <t>Impulsionamento</t>
  </si>
  <si>
    <t>Custo de oportunidade (0,5% a.m.)</t>
  </si>
  <si>
    <t>Lucro </t>
  </si>
  <si>
    <t>Manutenção mensal</t>
  </si>
  <si>
    <t>Custo mensal</t>
  </si>
  <si>
    <t>Custo/procedimento</t>
  </si>
  <si>
    <t>Custo do consumível</t>
  </si>
  <si>
    <t xml:space="preserve">Imposto + cartão </t>
  </si>
  <si>
    <t>Taxa de sala</t>
  </si>
  <si>
    <t>Mão de obra</t>
  </si>
  <si>
    <t>Duração média da SS</t>
  </si>
  <si>
    <t>META TECNOLOGIA</t>
  </si>
  <si>
    <t>Valor médio da SS</t>
  </si>
  <si>
    <t>Lucro por ss</t>
  </si>
  <si>
    <t>MÍNIMA</t>
  </si>
  <si>
    <t>IDEAL</t>
  </si>
  <si>
    <t>DESAFIO</t>
  </si>
  <si>
    <t>N° de procedimentos</t>
  </si>
  <si>
    <t>PE de procedimentos</t>
  </si>
  <si>
    <t>Procedimentos</t>
  </si>
  <si>
    <t xml:space="preserve">Total do custo variável </t>
  </si>
  <si>
    <t>Lucro (%)</t>
  </si>
  <si>
    <t>Lucro final</t>
  </si>
  <si>
    <t>Horas</t>
  </si>
  <si>
    <t>Ponto de equilíbrio</t>
  </si>
  <si>
    <t>14 SESSÕES DE R$ 1.200,00 = R$ 110,23 DE LUCRO</t>
  </si>
  <si>
    <t>Capacidade de faturamento mensal</t>
  </si>
  <si>
    <t>Capacidade de procedimentos mensal</t>
  </si>
  <si>
    <t>Depreciação</t>
  </si>
  <si>
    <t>Manutenção</t>
  </si>
  <si>
    <t>Custo total</t>
  </si>
  <si>
    <t>Imposto + cartão</t>
  </si>
  <si>
    <t>Ponto de equilíbrio total</t>
  </si>
  <si>
    <t>1004 sessões</t>
  </si>
  <si>
    <t>Capacidade de faturamento total</t>
  </si>
  <si>
    <t>Capacidade de procedimentos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</si>
</sst>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[$R$-416]\ * #,##0.00_-;\-[$R$-416]\ * #,##0.00_-;_-[$R$-416]\ * &quot;-&quot;??_-;_-@"/>
    <numFmt numFmtId="165" formatCode="_-&quot;R$&quot;\ * #,##0.00_-;\-&quot;R$&quot;\ * #,##0.00_-;_-&quot;R$&quot;\ * &quot;-&quot;??_-;_-@"/>
    <numFmt numFmtId="166" formatCode="&quot; R$ &quot;* #,##0.00&quot; &quot;;&quot;-R$ &quot;* #,##0.00&quot; &quot;;&quot; R$ &quot;* &quot;-&quot;??&quot; &quot;"/>
    <numFmt numFmtId="167" formatCode="dd/MM/yyyy"/>
    <numFmt numFmtId="168" formatCode="[$R$ ]#,##0.00"/>
    <numFmt numFmtId="169" formatCode="_([$R$ -416]* #,##0.00_);_([$R$ -416]* \(#,##0.00\);_([$R$ -416]* &quot;-&quot;??_);_(@_)"/>
    <numFmt numFmtId="170" formatCode="_-[$R$-416]* #,##0.00_-;_-[$R$-416]* \(#,##0.00\)_-;_-[$R$-416]* &quot;-&quot;??;_-@"/>
    <numFmt numFmtId="171" formatCode="##\ &quot;meses&quot;"/>
    <numFmt numFmtId="172" formatCode="#\ &quot;min&quot;"/>
    <numFmt numFmtId="173" formatCode="#,##0%"/>
    <numFmt numFmtId="174" formatCode="0.0%"/>
  </numFmts>
  <fonts count="24">
    <font>
      <sz val="12.0"/>
      <color theme="1"/>
      <name val="Aptos Narrow"/>
      <scheme val="minor"/>
    </font>
    <font>
      <b/>
      <sz val="13.0"/>
      <color rgb="FF758660"/>
      <name val="Calibri"/>
    </font>
    <font/>
    <font>
      <sz val="11.0"/>
      <color theme="1"/>
      <name val="Calibri"/>
    </font>
    <font>
      <b/>
      <sz val="11.0"/>
      <color rgb="FFEBE9D3"/>
      <name val="Calibri"/>
    </font>
    <font>
      <b/>
      <sz val="11.0"/>
      <color theme="1"/>
      <name val="Calibri"/>
    </font>
    <font>
      <sz val="11.0"/>
      <color rgb="FF707264"/>
      <name val="Calibri"/>
    </font>
    <font>
      <sz val="12.0"/>
      <color rgb="FF758660"/>
      <name val="Calibri"/>
    </font>
    <font>
      <sz val="11.0"/>
      <color rgb="FF758660"/>
      <name val="Calibri"/>
    </font>
    <font>
      <sz val="11.0"/>
      <color rgb="FFEBE9D3"/>
      <name val="Calibri"/>
    </font>
    <font>
      <sz val="12.0"/>
      <color theme="1"/>
      <name val="Calibri"/>
    </font>
    <font>
      <b/>
      <sz val="11.0"/>
      <color theme="1"/>
      <name val="Aptos Narrow"/>
    </font>
    <font>
      <b/>
      <sz val="11.0"/>
      <color rgb="FFF2F2F2"/>
      <name val="Aptos Narrow"/>
    </font>
    <font>
      <sz val="11.0"/>
      <color theme="1"/>
      <name val="Aptos Narrow"/>
    </font>
    <font>
      <sz val="11.0"/>
      <color rgb="FF000000"/>
      <name val="Aptos Narrow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ptos Narrow"/>
      <scheme val="minor"/>
    </font>
    <font>
      <color rgb="FF000000"/>
      <name val="Aptos Narrow"/>
      <scheme val="minor"/>
    </font>
    <font>
      <sz val="11.0"/>
      <color rgb="FF000000"/>
      <name val="Arial"/>
    </font>
    <font>
      <b/>
      <sz val="12.0"/>
      <color rgb="FFEBE9D3"/>
      <name val="Calibri"/>
    </font>
    <font>
      <b/>
      <sz val="11.0"/>
      <color rgb="FF758660"/>
      <name val="Calibri"/>
    </font>
    <font>
      <b/>
      <sz val="12.0"/>
      <color theme="0"/>
      <name val="Calibri"/>
    </font>
    <font>
      <sz val="12.0"/>
      <color theme="1"/>
      <name val="Aptos Narrow"/>
    </font>
  </fonts>
  <fills count="17">
    <fill>
      <patternFill patternType="none"/>
    </fill>
    <fill>
      <patternFill patternType="lightGray"/>
    </fill>
    <fill>
      <patternFill patternType="solid">
        <fgColor rgb="FFEBE9D3"/>
        <bgColor rgb="FFEBE9D3"/>
      </patternFill>
    </fill>
    <fill>
      <patternFill patternType="solid">
        <fgColor theme="0"/>
        <bgColor theme="0"/>
      </patternFill>
    </fill>
    <fill>
      <patternFill patternType="solid">
        <fgColor rgb="FF758660"/>
        <bgColor rgb="FF758660"/>
      </patternFill>
    </fill>
    <fill>
      <patternFill patternType="solid">
        <fgColor rgb="FF94AE89"/>
        <bgColor rgb="FF94AE89"/>
      </patternFill>
    </fill>
    <fill>
      <patternFill patternType="solid">
        <fgColor rgb="FF36523D"/>
        <bgColor rgb="FF36523D"/>
      </patternFill>
    </fill>
    <fill>
      <patternFill patternType="solid">
        <fgColor rgb="FFF2F2F2"/>
        <bgColor rgb="FFF2F2F2"/>
      </patternFill>
    </fill>
    <fill>
      <patternFill patternType="solid">
        <fgColor rgb="FFB3E5A1"/>
        <bgColor rgb="FFB3E5A1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9AA27F"/>
        <bgColor rgb="FF9AA27F"/>
      </patternFill>
    </fill>
    <fill>
      <patternFill patternType="solid">
        <fgColor theme="1"/>
        <bgColor theme="1"/>
      </patternFill>
    </fill>
    <fill>
      <patternFill patternType="solid">
        <fgColor rgb="FF707264"/>
        <bgColor rgb="FF707264"/>
      </patternFill>
    </fill>
    <fill>
      <patternFill patternType="solid">
        <fgColor rgb="FFCCD1B5"/>
        <bgColor rgb="FFCCD1B5"/>
      </patternFill>
    </fill>
    <fill>
      <patternFill patternType="solid">
        <fgColor rgb="FFC7C6B5"/>
        <bgColor rgb="FFC7C6B5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3" fontId="3" numFmtId="0" xfId="0" applyBorder="1" applyFill="1" applyFont="1"/>
    <xf borderId="5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6" fillId="4" fontId="4" numFmtId="0" xfId="0" applyAlignment="1" applyBorder="1" applyFill="1" applyFont="1">
      <alignment horizontal="center" vertical="center"/>
    </xf>
    <xf borderId="6" fillId="4" fontId="4" numFmtId="49" xfId="0" applyAlignment="1" applyBorder="1" applyFont="1" applyNumberFormat="1">
      <alignment horizontal="center" vertical="center"/>
    </xf>
    <xf borderId="4" fillId="3" fontId="5" numFmtId="0" xfId="0" applyBorder="1" applyFont="1"/>
    <xf borderId="6" fillId="2" fontId="6" numFmtId="0" xfId="0" applyBorder="1" applyFont="1"/>
    <xf borderId="6" fillId="0" fontId="6" numFmtId="164" xfId="0" applyAlignment="1" applyBorder="1" applyFont="1" applyNumberFormat="1">
      <alignment horizontal="center"/>
    </xf>
    <xf borderId="4" fillId="3" fontId="6" numFmtId="0" xfId="0" applyBorder="1" applyFont="1"/>
    <xf borderId="6" fillId="4" fontId="4" numFmtId="0" xfId="0" applyAlignment="1" applyBorder="1" applyFont="1">
      <alignment horizontal="center"/>
    </xf>
    <xf borderId="6" fillId="4" fontId="4" numFmtId="164" xfId="0" applyAlignment="1" applyBorder="1" applyFont="1" applyNumberFormat="1">
      <alignment horizontal="center"/>
    </xf>
    <xf borderId="7" fillId="2" fontId="7" numFmtId="165" xfId="0" applyAlignment="1" applyBorder="1" applyFont="1" applyNumberFormat="1">
      <alignment horizontal="center"/>
    </xf>
    <xf borderId="8" fillId="4" fontId="4" numFmtId="49" xfId="0" applyAlignment="1" applyBorder="1" applyFont="1" applyNumberFormat="1">
      <alignment horizontal="center" vertical="center"/>
    </xf>
    <xf borderId="6" fillId="0" fontId="8" numFmtId="9" xfId="0" applyAlignment="1" applyBorder="1" applyFont="1" applyNumberFormat="1">
      <alignment horizontal="center"/>
    </xf>
    <xf borderId="6" fillId="3" fontId="8" numFmtId="9" xfId="0" applyAlignment="1" applyBorder="1" applyFont="1" applyNumberFormat="1">
      <alignment horizontal="center"/>
    </xf>
    <xf borderId="6" fillId="3" fontId="6" numFmtId="0" xfId="0" applyAlignment="1" applyBorder="1" applyFont="1">
      <alignment horizontal="center"/>
    </xf>
    <xf borderId="0" fillId="0" fontId="3" numFmtId="165" xfId="0" applyAlignment="1" applyFont="1" applyNumberFormat="1">
      <alignment horizontal="center"/>
    </xf>
    <xf borderId="6" fillId="4" fontId="9" numFmtId="0" xfId="0" applyBorder="1" applyFont="1"/>
    <xf borderId="6" fillId="4" fontId="9" numFmtId="165" xfId="0" applyAlignment="1" applyBorder="1" applyFont="1" applyNumberFormat="1">
      <alignment horizontal="center"/>
    </xf>
    <xf borderId="0" fillId="0" fontId="10" numFmtId="165" xfId="0" applyAlignment="1" applyFont="1" applyNumberFormat="1">
      <alignment horizontal="center"/>
    </xf>
    <xf borderId="6" fillId="0" fontId="6" numFmtId="165" xfId="0" applyAlignment="1" applyBorder="1" applyFont="1" applyNumberFormat="1">
      <alignment horizontal="center"/>
    </xf>
    <xf borderId="4" fillId="3" fontId="3" numFmtId="164" xfId="0" applyBorder="1" applyFont="1" applyNumberFormat="1"/>
    <xf borderId="6" fillId="5" fontId="11" numFmtId="49" xfId="0" applyAlignment="1" applyBorder="1" applyFill="1" applyFont="1" applyNumberFormat="1">
      <alignment horizontal="center" shrinkToFit="0" vertical="center" wrapText="1"/>
    </xf>
    <xf borderId="6" fillId="5" fontId="11" numFmtId="1" xfId="0" applyAlignment="1" applyBorder="1" applyFont="1" applyNumberFormat="1">
      <alignment horizontal="center" vertical="center"/>
    </xf>
    <xf borderId="6" fillId="5" fontId="11" numFmtId="49" xfId="0" applyAlignment="1" applyBorder="1" applyFont="1" applyNumberFormat="1">
      <alignment horizontal="center" vertical="center"/>
    </xf>
    <xf borderId="9" fillId="5" fontId="11" numFmtId="49" xfId="0" applyAlignment="1" applyBorder="1" applyFont="1" applyNumberFormat="1">
      <alignment horizontal="center" shrinkToFit="0" vertical="center" wrapText="1"/>
    </xf>
    <xf borderId="10" fillId="0" fontId="2" numFmtId="0" xfId="0" applyBorder="1" applyFont="1"/>
    <xf borderId="6" fillId="6" fontId="12" numFmtId="49" xfId="0" applyAlignment="1" applyBorder="1" applyFill="1" applyFont="1" applyNumberFormat="1">
      <alignment horizontal="center" shrinkToFit="0" vertical="center" wrapText="1"/>
    </xf>
    <xf borderId="4" fillId="3" fontId="13" numFmtId="0" xfId="0" applyBorder="1" applyFont="1"/>
    <xf borderId="6" fillId="7" fontId="14" numFmtId="0" xfId="0" applyAlignment="1" applyBorder="1" applyFill="1" applyFont="1">
      <alignment shrinkToFit="0" wrapText="1"/>
    </xf>
    <xf borderId="6" fillId="3" fontId="13" numFmtId="0" xfId="0" applyAlignment="1" applyBorder="1" applyFont="1">
      <alignment horizontal="center"/>
    </xf>
    <xf borderId="6" fillId="3" fontId="13" numFmtId="1" xfId="0" applyAlignment="1" applyBorder="1" applyFont="1" applyNumberFormat="1">
      <alignment horizontal="center" vertical="center"/>
    </xf>
    <xf borderId="6" fillId="3" fontId="13" numFmtId="165" xfId="0" applyBorder="1" applyFont="1" applyNumberFormat="1"/>
    <xf borderId="6" fillId="3" fontId="13" numFmtId="165" xfId="0" applyAlignment="1" applyBorder="1" applyFont="1" applyNumberFormat="1">
      <alignment horizontal="left"/>
    </xf>
    <xf borderId="6" fillId="8" fontId="13" numFmtId="164" xfId="0" applyAlignment="1" applyBorder="1" applyFill="1" applyFont="1" applyNumberFormat="1">
      <alignment horizontal="center"/>
    </xf>
    <xf borderId="6" fillId="3" fontId="13" numFmtId="166" xfId="0" applyBorder="1" applyFont="1" applyNumberFormat="1"/>
    <xf borderId="6" fillId="8" fontId="13" numFmtId="166" xfId="0" applyBorder="1" applyFont="1" applyNumberFormat="1"/>
    <xf borderId="11" fillId="8" fontId="13" numFmtId="9" xfId="0" applyBorder="1" applyFont="1" applyNumberFormat="1"/>
    <xf borderId="6" fillId="0" fontId="13" numFmtId="1" xfId="0" applyAlignment="1" applyBorder="1" applyFont="1" applyNumberFormat="1">
      <alignment horizontal="center"/>
    </xf>
    <xf borderId="6" fillId="0" fontId="13" numFmtId="2" xfId="0" applyAlignment="1" applyBorder="1" applyFont="1" applyNumberFormat="1">
      <alignment horizontal="center"/>
    </xf>
    <xf borderId="6" fillId="0" fontId="13" numFmtId="166" xfId="0" applyBorder="1" applyFont="1" applyNumberFormat="1"/>
    <xf borderId="6" fillId="7" fontId="13" numFmtId="0" xfId="0" applyBorder="1" applyFont="1"/>
    <xf borderId="6" fillId="9" fontId="13" numFmtId="0" xfId="0" applyBorder="1" applyFill="1" applyFont="1"/>
    <xf borderId="4" fillId="3" fontId="11" numFmtId="0" xfId="0" applyBorder="1" applyFont="1"/>
    <xf borderId="6" fillId="0" fontId="13" numFmtId="165" xfId="0" applyBorder="1" applyFont="1" applyNumberFormat="1"/>
    <xf borderId="6" fillId="0" fontId="13" numFmtId="0" xfId="0" applyBorder="1" applyFont="1"/>
    <xf borderId="6" fillId="0" fontId="13" numFmtId="0" xfId="0" applyAlignment="1" applyBorder="1" applyFont="1">
      <alignment shrinkToFit="0" wrapText="1"/>
    </xf>
    <xf borderId="6" fillId="10" fontId="13" numFmtId="0" xfId="0" applyBorder="1" applyFill="1" applyFont="1"/>
    <xf borderId="6" fillId="0" fontId="14" numFmtId="0" xfId="0" applyAlignment="1" applyBorder="1" applyFont="1">
      <alignment shrinkToFit="0" wrapText="1"/>
    </xf>
    <xf borderId="4" fillId="3" fontId="13" numFmtId="1" xfId="0" applyBorder="1" applyFont="1" applyNumberFormat="1"/>
    <xf borderId="4" fillId="3" fontId="13" numFmtId="1" xfId="0" applyAlignment="1" applyBorder="1" applyFont="1" applyNumberFormat="1">
      <alignment horizontal="center"/>
    </xf>
    <xf borderId="4" fillId="3" fontId="13" numFmtId="2" xfId="0" applyBorder="1" applyFont="1" applyNumberFormat="1"/>
    <xf borderId="0" fillId="0" fontId="5" numFmtId="167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164" xfId="0" applyAlignment="1" applyFont="1" applyNumberFormat="1">
      <alignment horizontal="left" readingOrder="0" shrinkToFit="0" vertical="center" wrapText="0"/>
    </xf>
    <xf borderId="12" fillId="11" fontId="15" numFmtId="167" xfId="0" applyAlignment="1" applyBorder="1" applyFill="1" applyFont="1" applyNumberFormat="1">
      <alignment readingOrder="0" shrinkToFit="0" vertical="center" wrapText="1"/>
    </xf>
    <xf borderId="12" fillId="11" fontId="15" numFmtId="0" xfId="0" applyAlignment="1" applyBorder="1" applyFont="1">
      <alignment readingOrder="0" shrinkToFit="0" vertical="center" wrapText="0"/>
    </xf>
    <xf borderId="12" fillId="11" fontId="15" numFmtId="0" xfId="0" applyAlignment="1" applyBorder="1" applyFont="1">
      <alignment horizontal="center" readingOrder="0" shrinkToFit="0" vertical="center" wrapText="0"/>
    </xf>
    <xf borderId="12" fillId="11" fontId="15" numFmtId="0" xfId="0" applyAlignment="1" applyBorder="1" applyFont="1">
      <alignment readingOrder="0" shrinkToFit="0" vertical="center" wrapText="1"/>
    </xf>
    <xf borderId="12" fillId="11" fontId="15" numFmtId="0" xfId="0" applyAlignment="1" applyBorder="1" applyFont="1">
      <alignment shrinkToFit="0" vertical="center" wrapText="1"/>
    </xf>
    <xf borderId="12" fillId="11" fontId="15" numFmtId="0" xfId="0" applyAlignment="1" applyBorder="1" applyFont="1">
      <alignment horizontal="center" shrinkToFit="0" vertical="center" wrapText="0"/>
    </xf>
    <xf borderId="12" fillId="11" fontId="16" numFmtId="164" xfId="0" applyAlignment="1" applyBorder="1" applyFont="1" applyNumberFormat="1">
      <alignment readingOrder="0" shrinkToFit="0" vertical="center" wrapText="0"/>
    </xf>
    <xf borderId="12" fillId="11" fontId="16" numFmtId="164" xfId="0" applyAlignment="1" applyBorder="1" applyFont="1" applyNumberFormat="1">
      <alignment shrinkToFit="0" vertical="center" wrapText="0"/>
    </xf>
    <xf borderId="12" fillId="11" fontId="15" numFmtId="49" xfId="0" applyAlignment="1" applyBorder="1" applyFont="1" applyNumberFormat="1">
      <alignment shrinkToFit="0" vertical="center" wrapText="0"/>
    </xf>
    <xf borderId="12" fillId="11" fontId="15" numFmtId="10" xfId="0" applyAlignment="1" applyBorder="1" applyFont="1" applyNumberFormat="1">
      <alignment shrinkToFit="0" vertical="center" wrapText="0"/>
    </xf>
    <xf borderId="12" fillId="11" fontId="15" numFmtId="165" xfId="0" applyAlignment="1" applyBorder="1" applyFont="1" applyNumberFormat="1">
      <alignment shrinkToFit="0" vertical="center" wrapText="0"/>
    </xf>
    <xf borderId="12" fillId="11" fontId="15" numFmtId="168" xfId="0" applyAlignment="1" applyBorder="1" applyFont="1" applyNumberFormat="1">
      <alignment shrinkToFit="0" vertical="center" wrapText="0"/>
    </xf>
    <xf borderId="12" fillId="11" fontId="15" numFmtId="166" xfId="0" applyAlignment="1" applyBorder="1" applyFont="1" applyNumberFormat="1">
      <alignment shrinkToFit="0" vertical="center" wrapText="0"/>
    </xf>
    <xf borderId="12" fillId="11" fontId="16" numFmtId="166" xfId="0" applyAlignment="1" applyBorder="1" applyFont="1" applyNumberFormat="1">
      <alignment shrinkToFit="0" vertical="center" wrapText="0"/>
    </xf>
    <xf borderId="12" fillId="11" fontId="16" numFmtId="9" xfId="0" applyAlignment="1" applyBorder="1" applyFont="1" applyNumberFormat="1">
      <alignment shrinkToFit="0" vertical="center" wrapText="0"/>
    </xf>
    <xf borderId="12" fillId="11" fontId="16" numFmtId="9" xfId="0" applyAlignment="1" applyBorder="1" applyFont="1" applyNumberFormat="1">
      <alignment horizontal="center" shrinkToFit="0" vertical="center" wrapText="0"/>
    </xf>
    <xf borderId="12" fillId="11" fontId="15" numFmtId="0" xfId="0" applyAlignment="1" applyBorder="1" applyFont="1">
      <alignment readingOrder="0" shrinkToFit="0" vertical="center" wrapText="1"/>
    </xf>
    <xf borderId="12" fillId="11" fontId="15" numFmtId="0" xfId="0" applyAlignment="1" applyBorder="1" applyFont="1">
      <alignment horizontal="center" readingOrder="0" shrinkToFit="0" vertical="center" wrapText="1"/>
    </xf>
    <xf borderId="12" fillId="11" fontId="15" numFmtId="167" xfId="0" applyAlignment="1" applyBorder="1" applyFont="1" applyNumberFormat="1">
      <alignment shrinkToFit="0" vertical="center" wrapText="1"/>
    </xf>
    <xf borderId="12" fillId="11" fontId="15" numFmtId="0" xfId="0" applyAlignment="1" applyBorder="1" applyFont="1">
      <alignment shrinkToFit="0" vertical="center" wrapText="0"/>
    </xf>
    <xf borderId="12" fillId="11" fontId="15" numFmtId="0" xfId="0" applyAlignment="1" applyBorder="1" applyFont="1">
      <alignment shrinkToFit="0" vertical="center" wrapText="1"/>
    </xf>
    <xf borderId="12" fillId="11" fontId="15" numFmtId="0" xfId="0" applyAlignment="1" applyBorder="1" applyFont="1">
      <alignment horizontal="center" shrinkToFit="0" vertical="center" wrapText="1"/>
    </xf>
    <xf borderId="0" fillId="0" fontId="17" numFmtId="167" xfId="0" applyFont="1" applyNumberFormat="1"/>
    <xf borderId="0" fillId="0" fontId="17" numFmtId="0" xfId="0" applyFont="1"/>
    <xf borderId="0" fillId="0" fontId="17" numFmtId="0" xfId="0" applyFont="1"/>
    <xf borderId="0" fillId="0" fontId="17" numFmtId="164" xfId="0" applyFont="1" applyNumberFormat="1"/>
    <xf borderId="0" fillId="0" fontId="17" numFmtId="49" xfId="0" applyFont="1" applyNumberFormat="1"/>
    <xf borderId="0" fillId="0" fontId="17" numFmtId="10" xfId="0" applyFont="1" applyNumberFormat="1"/>
    <xf borderId="0" fillId="0" fontId="17" numFmtId="165" xfId="0" applyFont="1" applyNumberFormat="1"/>
    <xf borderId="0" fillId="0" fontId="17" numFmtId="166" xfId="0" applyFont="1" applyNumberFormat="1"/>
    <xf borderId="0" fillId="0" fontId="17" numFmtId="9" xfId="0" applyFont="1" applyNumberFormat="1"/>
    <xf borderId="0" fillId="0" fontId="17" numFmtId="9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/>
    </xf>
    <xf borderId="13" fillId="4" fontId="16" numFmtId="49" xfId="0" applyAlignment="1" applyBorder="1" applyFont="1" applyNumberFormat="1">
      <alignment horizontal="center" shrinkToFit="0" vertical="center" wrapText="1"/>
    </xf>
    <xf borderId="8" fillId="4" fontId="16" numFmtId="49" xfId="0" applyAlignment="1" applyBorder="1" applyFont="1" applyNumberFormat="1">
      <alignment horizontal="center" shrinkToFit="0" vertical="center" wrapText="1"/>
    </xf>
    <xf borderId="0" fillId="0" fontId="18" numFmtId="0" xfId="0" applyFont="1"/>
    <xf borderId="14" fillId="2" fontId="15" numFmtId="0" xfId="0" applyAlignment="1" applyBorder="1" applyFont="1">
      <alignment readingOrder="0" shrinkToFit="0" wrapText="1"/>
    </xf>
    <xf borderId="6" fillId="2" fontId="15" numFmtId="0" xfId="0" applyAlignment="1" applyBorder="1" applyFont="1">
      <alignment readingOrder="0" shrinkToFit="0" wrapText="1"/>
    </xf>
    <xf borderId="6" fillId="11" fontId="15" numFmtId="0" xfId="0" applyAlignment="1" applyBorder="1" applyFont="1">
      <alignment horizontal="center" readingOrder="0" shrinkToFit="0" wrapText="1"/>
    </xf>
    <xf borderId="11" fillId="12" fontId="15" numFmtId="169" xfId="0" applyAlignment="1" applyBorder="1" applyFill="1" applyFont="1" applyNumberFormat="1">
      <alignment horizontal="right" readingOrder="0" shrinkToFit="0" wrapText="1"/>
    </xf>
    <xf borderId="6" fillId="2" fontId="15" numFmtId="0" xfId="0" applyAlignment="1" applyBorder="1" applyFont="1">
      <alignment readingOrder="0" vertical="center"/>
    </xf>
    <xf borderId="4" fillId="2" fontId="15" numFmtId="0" xfId="0" applyAlignment="1" applyBorder="1" applyFont="1">
      <alignment readingOrder="0" shrinkToFit="0" wrapText="1"/>
    </xf>
    <xf borderId="4" fillId="11" fontId="15" numFmtId="0" xfId="0" applyAlignment="1" applyBorder="1" applyFont="1">
      <alignment horizontal="center" readingOrder="0" shrinkToFit="0" wrapText="1"/>
    </xf>
    <xf borderId="0" fillId="12" fontId="15" numFmtId="169" xfId="0" applyAlignment="1" applyFont="1" applyNumberFormat="1">
      <alignment horizontal="right" readingOrder="0" shrinkToFit="0" wrapText="1"/>
    </xf>
    <xf borderId="4" fillId="3" fontId="15" numFmtId="0" xfId="0" applyBorder="1" applyFont="1"/>
    <xf borderId="0" fillId="0" fontId="18" numFmtId="169" xfId="0" applyFont="1" applyNumberFormat="1"/>
    <xf borderId="15" fillId="13" fontId="16" numFmtId="0" xfId="0" applyAlignment="1" applyBorder="1" applyFill="1" applyFont="1">
      <alignment horizontal="center" shrinkToFit="0" vertical="center" wrapText="1"/>
    </xf>
    <xf borderId="16" fillId="13" fontId="16" numFmtId="0" xfId="0" applyAlignment="1" applyBorder="1" applyFont="1">
      <alignment horizontal="center" vertical="center"/>
    </xf>
    <xf borderId="0" fillId="13" fontId="16" numFmtId="0" xfId="0" applyAlignment="1" applyFont="1">
      <alignment horizontal="center" vertical="center"/>
    </xf>
    <xf borderId="6" fillId="3" fontId="15" numFmtId="0" xfId="0" applyAlignment="1" applyBorder="1" applyFont="1">
      <alignment horizontal="center" readingOrder="0"/>
    </xf>
    <xf borderId="6" fillId="3" fontId="15" numFmtId="10" xfId="0" applyAlignment="1" applyBorder="1" applyFont="1" applyNumberFormat="1">
      <alignment horizontal="center" readingOrder="0"/>
    </xf>
    <xf borderId="0" fillId="3" fontId="15" numFmtId="0" xfId="0" applyAlignment="1" applyFont="1">
      <alignment horizontal="center"/>
    </xf>
    <xf borderId="6" fillId="3" fontId="15" numFmtId="0" xfId="0" applyAlignment="1" applyBorder="1" applyFont="1">
      <alignment horizontal="center"/>
    </xf>
    <xf borderId="6" fillId="3" fontId="15" numFmtId="10" xfId="0" applyAlignment="1" applyBorder="1" applyFont="1" applyNumberFormat="1">
      <alignment horizontal="center"/>
    </xf>
    <xf borderId="0" fillId="3" fontId="19" numFmtId="10" xfId="0" applyAlignment="1" applyFont="1" applyNumberFormat="1">
      <alignment horizontal="center" readingOrder="0"/>
    </xf>
    <xf borderId="0" fillId="3" fontId="19" numFmtId="0" xfId="0" applyAlignment="1" applyFont="1">
      <alignment horizontal="center" readingOrder="0"/>
    </xf>
    <xf borderId="17" fillId="3" fontId="15" numFmtId="10" xfId="0" applyAlignment="1" applyBorder="1" applyFont="1" applyNumberFormat="1">
      <alignment horizontal="center"/>
    </xf>
    <xf borderId="0" fillId="0" fontId="15" numFmtId="0" xfId="0" applyFont="1"/>
    <xf borderId="9" fillId="4" fontId="20" numFmtId="0" xfId="0" applyAlignment="1" applyBorder="1" applyFont="1">
      <alignment horizontal="center" vertical="center"/>
    </xf>
    <xf borderId="18" fillId="0" fontId="2" numFmtId="0" xfId="0" applyBorder="1" applyFont="1"/>
    <xf borderId="19" fillId="4" fontId="4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6" fillId="0" fontId="8" numFmtId="165" xfId="0" applyBorder="1" applyFont="1" applyNumberFormat="1"/>
    <xf borderId="6" fillId="0" fontId="15" numFmtId="170" xfId="0" applyBorder="1" applyFont="1" applyNumberFormat="1"/>
    <xf borderId="22" fillId="2" fontId="8" numFmtId="0" xfId="0" applyAlignment="1" applyBorder="1" applyFont="1">
      <alignment horizontal="center" shrinkToFit="0" vertical="top" wrapText="1"/>
    </xf>
    <xf borderId="23" fillId="0" fontId="2" numFmtId="0" xfId="0" applyBorder="1" applyFont="1"/>
    <xf borderId="24" fillId="0" fontId="2" numFmtId="0" xfId="0" applyBorder="1" applyFont="1"/>
    <xf borderId="6" fillId="0" fontId="8" numFmtId="171" xfId="0" applyBorder="1" applyFont="1" applyNumberFormat="1"/>
    <xf borderId="6" fillId="0" fontId="15" numFmtId="49" xfId="0" applyBorder="1" applyFont="1" applyNumberFormat="1"/>
    <xf borderId="25" fillId="0" fontId="8" numFmtId="9" xfId="0" applyAlignment="1" applyBorder="1" applyFont="1" applyNumberFormat="1">
      <alignment horizontal="center" shrinkToFit="0" vertical="top" wrapText="1"/>
    </xf>
    <xf borderId="26" fillId="0" fontId="8" numFmtId="165" xfId="0" applyAlignment="1" applyBorder="1" applyFont="1" applyNumberFormat="1">
      <alignment shrinkToFit="0" vertical="top" wrapText="1"/>
    </xf>
    <xf borderId="27" fillId="0" fontId="8" numFmtId="0" xfId="0" applyAlignment="1" applyBorder="1" applyFont="1">
      <alignment shrinkToFit="0" vertical="top" wrapText="1"/>
    </xf>
    <xf borderId="28" fillId="0" fontId="8" numFmtId="2" xfId="0" applyAlignment="1" applyBorder="1" applyFont="1" applyNumberFormat="1">
      <alignment shrinkToFit="0" vertical="top" wrapText="1"/>
    </xf>
    <xf borderId="28" fillId="0" fontId="8" numFmtId="165" xfId="0" applyAlignment="1" applyBorder="1" applyFont="1" applyNumberFormat="1">
      <alignment shrinkToFit="0" vertical="top" wrapText="1"/>
    </xf>
    <xf borderId="6" fillId="0" fontId="8" numFmtId="164" xfId="0" applyBorder="1" applyFont="1" applyNumberFormat="1"/>
    <xf borderId="27" fillId="0" fontId="8" numFmtId="0" xfId="0" applyAlignment="1" applyBorder="1" applyFont="1">
      <alignment vertical="top"/>
    </xf>
    <xf borderId="29" fillId="0" fontId="8" numFmtId="0" xfId="0" applyAlignment="1" applyBorder="1" applyFont="1">
      <alignment shrinkToFit="0" vertical="top" wrapText="1"/>
    </xf>
    <xf borderId="30" fillId="0" fontId="21" numFmtId="165" xfId="0" applyAlignment="1" applyBorder="1" applyFont="1" applyNumberFormat="1">
      <alignment shrinkToFit="0" vertical="top" wrapText="1"/>
    </xf>
    <xf borderId="29" fillId="0" fontId="8" numFmtId="0" xfId="0" applyAlignment="1" applyBorder="1" applyFont="1">
      <alignment vertical="top"/>
    </xf>
    <xf borderId="6" fillId="0" fontId="15" numFmtId="170" xfId="0" applyAlignment="1" applyBorder="1" applyFont="1" applyNumberFormat="1">
      <alignment horizontal="center" shrinkToFit="0" vertical="center" wrapText="1"/>
    </xf>
    <xf borderId="6" fillId="0" fontId="8" numFmtId="0" xfId="0" applyBorder="1" applyFont="1"/>
    <xf borderId="6" fillId="0" fontId="15" numFmtId="165" xfId="0" applyBorder="1" applyFont="1" applyNumberFormat="1"/>
    <xf borderId="6" fillId="0" fontId="8" numFmtId="172" xfId="0" applyBorder="1" applyFont="1" applyNumberFormat="1"/>
    <xf borderId="6" fillId="0" fontId="15" numFmtId="2" xfId="0" applyBorder="1" applyFont="1" applyNumberFormat="1"/>
    <xf borderId="9" fillId="4" fontId="22" numFmtId="0" xfId="0" applyAlignment="1" applyBorder="1" applyFont="1">
      <alignment horizontal="center" vertical="center"/>
    </xf>
    <xf borderId="6" fillId="0" fontId="15" numFmtId="0" xfId="0" applyBorder="1" applyFont="1"/>
    <xf borderId="0" fillId="0" fontId="16" numFmtId="0" xfId="0" applyAlignment="1" applyFont="1">
      <alignment horizontal="center" vertical="center"/>
    </xf>
    <xf borderId="6" fillId="0" fontId="15" numFmtId="173" xfId="0" applyBorder="1" applyFont="1" applyNumberFormat="1"/>
    <xf borderId="6" fillId="2" fontId="21" numFmtId="164" xfId="0" applyAlignment="1" applyBorder="1" applyFont="1" applyNumberFormat="1">
      <alignment horizontal="center" vertical="center"/>
    </xf>
    <xf borderId="6" fillId="4" fontId="4" numFmtId="164" xfId="0" applyAlignment="1" applyBorder="1" applyFont="1" applyNumberFormat="1">
      <alignment horizontal="center" vertical="center"/>
    </xf>
    <xf borderId="6" fillId="14" fontId="4" numFmtId="164" xfId="0" applyAlignment="1" applyBorder="1" applyFill="1" applyFont="1" applyNumberFormat="1">
      <alignment horizontal="center" vertical="center"/>
    </xf>
    <xf borderId="6" fillId="3" fontId="8" numFmtId="1" xfId="0" applyAlignment="1" applyBorder="1" applyFont="1" applyNumberFormat="1">
      <alignment horizontal="right"/>
    </xf>
    <xf borderId="6" fillId="3" fontId="8" numFmtId="0" xfId="0" applyBorder="1" applyFont="1"/>
    <xf borderId="6" fillId="0" fontId="8" numFmtId="2" xfId="0" applyAlignment="1" applyBorder="1" applyFont="1" applyNumberFormat="1">
      <alignment horizontal="center"/>
    </xf>
    <xf borderId="6" fillId="3" fontId="8" numFmtId="165" xfId="0" applyBorder="1" applyFont="1" applyNumberFormat="1"/>
    <xf borderId="6" fillId="0" fontId="15" numFmtId="166" xfId="0" applyBorder="1" applyFont="1" applyNumberFormat="1"/>
    <xf borderId="6" fillId="0" fontId="8" numFmtId="164" xfId="0" applyAlignment="1" applyBorder="1" applyFont="1" applyNumberFormat="1">
      <alignment horizontal="center"/>
    </xf>
    <xf borderId="6" fillId="0" fontId="8" numFmtId="165" xfId="0" applyAlignment="1" applyBorder="1" applyFont="1" applyNumberFormat="1">
      <alignment horizontal="center"/>
    </xf>
    <xf borderId="6" fillId="3" fontId="8" numFmtId="164" xfId="0" applyBorder="1" applyFont="1" applyNumberFormat="1"/>
    <xf borderId="6" fillId="0" fontId="8" numFmtId="10" xfId="0" applyAlignment="1" applyBorder="1" applyFont="1" applyNumberFormat="1">
      <alignment horizontal="center"/>
    </xf>
    <xf borderId="6" fillId="0" fontId="15" numFmtId="174" xfId="0" applyBorder="1" applyFont="1" applyNumberFormat="1"/>
    <xf borderId="6" fillId="0" fontId="8" numFmtId="49" xfId="0" applyAlignment="1" applyBorder="1" applyFont="1" applyNumberFormat="1">
      <alignment horizontal="center" vertical="center"/>
    </xf>
    <xf borderId="0" fillId="0" fontId="15" numFmtId="9" xfId="0" applyFont="1" applyNumberFormat="1"/>
    <xf borderId="6" fillId="0" fontId="8" numFmtId="1" xfId="0" applyBorder="1" applyFont="1" applyNumberFormat="1"/>
    <xf borderId="0" fillId="0" fontId="15" numFmtId="0" xfId="0" applyAlignment="1" applyFont="1">
      <alignment horizontal="center"/>
    </xf>
    <xf borderId="6" fillId="0" fontId="8" numFmtId="170" xfId="0" applyAlignment="1" applyBorder="1" applyFont="1" applyNumberFormat="1">
      <alignment horizontal="center" shrinkToFit="0" vertical="center" wrapText="1"/>
    </xf>
    <xf borderId="6" fillId="0" fontId="8" numFmtId="170" xfId="0" applyBorder="1" applyFont="1" applyNumberFormat="1"/>
    <xf borderId="6" fillId="0" fontId="8" numFmtId="165" xfId="0" applyAlignment="1" applyBorder="1" applyFont="1" applyNumberFormat="1">
      <alignment horizontal="center" vertical="center"/>
    </xf>
    <xf borderId="4" fillId="15" fontId="23" numFmtId="0" xfId="0" applyBorder="1" applyFill="1" applyFont="1"/>
    <xf borderId="4" fillId="4" fontId="23" numFmtId="0" xfId="0" applyBorder="1" applyFont="1"/>
    <xf borderId="4" fillId="2" fontId="23" numFmtId="0" xfId="0" applyBorder="1" applyFont="1"/>
    <xf borderId="4" fillId="16" fontId="23" numFmtId="0" xfId="0" applyBorder="1" applyFill="1" applyFont="1"/>
    <xf borderId="4" fillId="12" fontId="23" numFmtId="0" xfId="0" applyBorder="1" applyFont="1"/>
    <xf borderId="4" fillId="14" fontId="23" numFmtId="0" xfId="0" applyBorder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3">
    <tableStyle count="4" pivot="0" name="PRECIFICAÇÃO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PROCEDIMENTOS-style">
      <tableStyleElement dxfId="7" type="headerRow"/>
      <tableStyleElement dxfId="8" type="firstRowStripe"/>
      <tableStyleElement dxfId="7" type="secondRowStripe"/>
    </tableStyle>
    <tableStyle count="3" pivot="0" name="TAXA-style">
      <tableStyleElement dxfId="7" type="headerRow"/>
      <tableStyleElement dxfId="8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1114425</xdr:colOff>
      <xdr:row>0</xdr:row>
      <xdr:rowOff>38100</xdr:rowOff>
    </xdr:from>
    <xdr:ext cx="1771650" cy="409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9</xdr:row>
      <xdr:rowOff>0</xdr:rowOff>
    </xdr:from>
    <xdr:ext cx="323850" cy="304800"/>
    <xdr:sp>
      <xdr:nvSpPr>
        <xdr:cNvPr id="3" name="Shape 3"/>
        <xdr:cNvSpPr/>
      </xdr:nvSpPr>
      <xdr:spPr>
        <a:xfrm>
          <a:off x="5188838" y="3632363"/>
          <a:ext cx="314325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100" displayName="Faturamento" name="Faturamento" id="1">
  <tableColumns count="27">
    <tableColumn name="DATA DA VENDA" id="1"/>
    <tableColumn name="MEDICO SOLICITANTE" id="2"/>
    <tableColumn name="PACIENTE" id="3"/>
    <tableColumn name="QUANTIDADE" id="4"/>
    <tableColumn name="PROCEDIMENTO " id="5"/>
    <tableColumn name="TIPO" id="6"/>
    <tableColumn name="DURAÇÃO" id="7"/>
    <tableColumn name="PREÇO DE VENDA" id="8"/>
    <tableColumn name="VENDEDOR" id="9"/>
    <tableColumn name="FORMA DE PAGAMENTO" id="10"/>
    <tableColumn name="BANDEIRA" id="11"/>
    <tableColumn name="TAXA ADM" id="12"/>
    <tableColumn name="VALOR TAXA ADM" id="13"/>
    <tableColumn name="TAXA ANTECIPAÇÃO" id="14"/>
    <tableColumn name="VALOR ANTECIPAÇÃO" id="15"/>
    <tableColumn name="VALOR LIQUIDO " id="16"/>
    <tableColumn name="PRODUTOS " id="17"/>
    <tableColumn name="TAXA DE SALA 3,12" id="18"/>
    <tableColumn name="IMPOSTOS" id="19"/>
    <tableColumn name="MÉDICO EXECUTOR" id="20"/>
    <tableColumn name="COMISSÃO" id="21"/>
    <tableColumn name="CUSTO TOTAL " id="22"/>
    <tableColumn name="%" id="23"/>
    <tableColumn name="LUCRO LÍQUIDO" id="24"/>
    <tableColumn name="%2" id="25"/>
    <tableColumn name="MÉDICO" id="26"/>
    <tableColumn name="CLINICA" id="27"/>
  </tableColumns>
  <tableStyleInfo name="PRECIFICAÇÃO -style" showColumnStripes="0" showFirstColumn="1" showLastColumn="1" showRowStripes="1"/>
</table>
</file>

<file path=xl/tables/table2.xml><?xml version="1.0" encoding="utf-8"?>
<table xmlns="http://schemas.openxmlformats.org/spreadsheetml/2006/main" ref="A1:D49" displayName="Table_1" name="Table_1" id="2">
  <tableColumns count="4">
    <tableColumn name="TIPO" id="1"/>
    <tableColumn name="PROCEDIMENTO " id="2"/>
    <tableColumn name="DURAÇÃO" id="3"/>
    <tableColumn name="PRODUTO" id="4"/>
  </tableColumns>
  <tableStyleInfo name="PROCEDIMENTOS-style" showColumnStripes="0" showFirstColumn="1" showLastColumn="1" showRowStripes="1"/>
</table>
</file>

<file path=xl/tables/table3.xml><?xml version="1.0" encoding="utf-8"?>
<table xmlns="http://schemas.openxmlformats.org/spreadsheetml/2006/main" headerRowCount="0" ref="A1:E18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TAX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45.22"/>
    <col customWidth="1" min="2" max="13" width="12.22"/>
    <col customWidth="1" min="14" max="14" width="16.67"/>
    <col customWidth="1" min="15" max="15" width="13.22"/>
    <col customWidth="1" min="16" max="16" width="14.44"/>
    <col customWidth="1" min="17" max="26" width="7.67"/>
  </cols>
  <sheetData>
    <row r="1" ht="37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H2" s="7"/>
      <c r="I2" s="7"/>
      <c r="J2" s="7"/>
      <c r="K2" s="7"/>
      <c r="L2" s="7"/>
      <c r="M2" s="7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11" t="s">
        <v>14</v>
      </c>
      <c r="B4" s="12">
        <v>4450.38</v>
      </c>
      <c r="C4" s="12">
        <v>4450.38</v>
      </c>
      <c r="D4" s="12">
        <v>4450.38</v>
      </c>
      <c r="E4" s="12">
        <v>4450.38</v>
      </c>
      <c r="F4" s="12">
        <v>4450.38</v>
      </c>
      <c r="G4" s="12">
        <v>4450.38</v>
      </c>
      <c r="H4" s="12">
        <v>4450.38</v>
      </c>
      <c r="I4" s="12">
        <v>4450.38</v>
      </c>
      <c r="J4" s="12"/>
      <c r="K4" s="12"/>
      <c r="L4" s="12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hidden="1" customHeight="1">
      <c r="A5" s="11" t="s">
        <v>15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hidden="1" customHeight="1">
      <c r="A6" s="11" t="s">
        <v>16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1" t="s">
        <v>17</v>
      </c>
      <c r="B7" s="12">
        <v>140.28</v>
      </c>
      <c r="C7" s="12">
        <v>140.28</v>
      </c>
      <c r="D7" s="12">
        <v>140.28</v>
      </c>
      <c r="E7" s="12">
        <v>140.28</v>
      </c>
      <c r="F7" s="12">
        <v>140.28</v>
      </c>
      <c r="G7" s="12">
        <v>140.28</v>
      </c>
      <c r="H7" s="12">
        <v>140.28</v>
      </c>
      <c r="I7" s="12">
        <v>140.28</v>
      </c>
      <c r="J7" s="12"/>
      <c r="K7" s="12"/>
      <c r="L7" s="12"/>
      <c r="M7" s="1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1" t="s">
        <v>18</v>
      </c>
      <c r="B8" s="12">
        <v>379.98</v>
      </c>
      <c r="C8" s="12">
        <v>379.98</v>
      </c>
      <c r="D8" s="12">
        <v>379.98</v>
      </c>
      <c r="E8" s="12">
        <v>379.98</v>
      </c>
      <c r="F8" s="12">
        <v>379.98</v>
      </c>
      <c r="G8" s="12">
        <v>379.98</v>
      </c>
      <c r="H8" s="12">
        <v>379.98</v>
      </c>
      <c r="I8" s="12">
        <v>379.98</v>
      </c>
      <c r="J8" s="12"/>
      <c r="K8" s="12"/>
      <c r="L8" s="12"/>
      <c r="M8" s="1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1" t="s">
        <v>19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1" t="s">
        <v>20</v>
      </c>
      <c r="B10" s="12">
        <v>197.53</v>
      </c>
      <c r="C10" s="12">
        <v>197.53</v>
      </c>
      <c r="D10" s="12">
        <v>197.53</v>
      </c>
      <c r="E10" s="12">
        <v>197.53</v>
      </c>
      <c r="F10" s="12">
        <v>197.53</v>
      </c>
      <c r="G10" s="12">
        <v>197.53</v>
      </c>
      <c r="H10" s="12">
        <v>197.53</v>
      </c>
      <c r="I10" s="12">
        <v>197.53</v>
      </c>
      <c r="J10" s="12"/>
      <c r="K10" s="12"/>
      <c r="L10" s="12"/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1" t="s">
        <v>21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1" t="s">
        <v>22</v>
      </c>
      <c r="B12" s="12">
        <v>1412.0</v>
      </c>
      <c r="C12" s="12">
        <v>1518.0</v>
      </c>
      <c r="D12" s="12">
        <v>1518.0</v>
      </c>
      <c r="E12" s="12">
        <v>1518.0</v>
      </c>
      <c r="F12" s="12">
        <v>1518.0</v>
      </c>
      <c r="G12" s="12">
        <v>1518.0</v>
      </c>
      <c r="H12" s="12">
        <v>1518.0</v>
      </c>
      <c r="I12" s="12">
        <v>1518.0</v>
      </c>
      <c r="J12" s="12"/>
      <c r="K12" s="12"/>
      <c r="L12" s="12"/>
      <c r="M12" s="1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1" t="s">
        <v>23</v>
      </c>
      <c r="B13" s="12">
        <f t="shared" ref="B13:I13" si="1">90*8</f>
        <v>720</v>
      </c>
      <c r="C13" s="12">
        <f t="shared" si="1"/>
        <v>720</v>
      </c>
      <c r="D13" s="12">
        <f t="shared" si="1"/>
        <v>720</v>
      </c>
      <c r="E13" s="12">
        <f t="shared" si="1"/>
        <v>720</v>
      </c>
      <c r="F13" s="12">
        <f t="shared" si="1"/>
        <v>720</v>
      </c>
      <c r="G13" s="12">
        <f t="shared" si="1"/>
        <v>720</v>
      </c>
      <c r="H13" s="12">
        <f t="shared" si="1"/>
        <v>720</v>
      </c>
      <c r="I13" s="12">
        <f t="shared" si="1"/>
        <v>720</v>
      </c>
      <c r="J13" s="12"/>
      <c r="K13" s="12"/>
      <c r="L13" s="12"/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1" t="s">
        <v>24</v>
      </c>
      <c r="B14" s="12">
        <v>285.97</v>
      </c>
      <c r="C14" s="12">
        <v>285.97</v>
      </c>
      <c r="D14" s="12">
        <v>285.97</v>
      </c>
      <c r="E14" s="12">
        <v>285.97</v>
      </c>
      <c r="F14" s="12">
        <v>285.97</v>
      </c>
      <c r="G14" s="12">
        <v>285.97</v>
      </c>
      <c r="H14" s="12">
        <v>285.97</v>
      </c>
      <c r="I14" s="12">
        <v>285.97</v>
      </c>
      <c r="J14" s="12"/>
      <c r="K14" s="12"/>
      <c r="L14" s="12"/>
      <c r="M14" s="1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1" t="s">
        <v>25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1" t="s">
        <v>26</v>
      </c>
      <c r="B16" s="12">
        <v>856.9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1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1" t="s">
        <v>28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1" t="s">
        <v>29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1" t="s">
        <v>30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1" t="s">
        <v>31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1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4" t="s">
        <v>33</v>
      </c>
      <c r="B23" s="15">
        <f t="shared" ref="B23:M23" si="2">SUM(B4:B22)</f>
        <v>8443.04</v>
      </c>
      <c r="C23" s="15">
        <f t="shared" si="2"/>
        <v>7692.14</v>
      </c>
      <c r="D23" s="15">
        <f t="shared" si="2"/>
        <v>7692.14</v>
      </c>
      <c r="E23" s="15">
        <f t="shared" si="2"/>
        <v>7692.14</v>
      </c>
      <c r="F23" s="15">
        <f t="shared" si="2"/>
        <v>7692.14</v>
      </c>
      <c r="G23" s="15">
        <f t="shared" si="2"/>
        <v>7692.14</v>
      </c>
      <c r="H23" s="15">
        <f t="shared" si="2"/>
        <v>7692.14</v>
      </c>
      <c r="I23" s="15">
        <f t="shared" si="2"/>
        <v>7692.14</v>
      </c>
      <c r="J23" s="15">
        <f t="shared" si="2"/>
        <v>0</v>
      </c>
      <c r="K23" s="15">
        <f t="shared" si="2"/>
        <v>0</v>
      </c>
      <c r="L23" s="15">
        <f t="shared" si="2"/>
        <v>0</v>
      </c>
      <c r="M23" s="15">
        <f t="shared" si="2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6"/>
      <c r="H24" s="7"/>
      <c r="I24" s="7"/>
      <c r="J24" s="7"/>
      <c r="K24" s="7"/>
      <c r="L24" s="7"/>
      <c r="M24" s="7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8" t="s">
        <v>34</v>
      </c>
      <c r="B25" s="9" t="s">
        <v>2</v>
      </c>
      <c r="C25" s="9" t="s">
        <v>3</v>
      </c>
      <c r="D25" s="9" t="s">
        <v>4</v>
      </c>
      <c r="E25" s="9" t="s">
        <v>5</v>
      </c>
      <c r="F25" s="9" t="s">
        <v>6</v>
      </c>
      <c r="G25" s="9" t="s">
        <v>7</v>
      </c>
      <c r="H25" s="9" t="s">
        <v>8</v>
      </c>
      <c r="I25" s="9" t="s">
        <v>9</v>
      </c>
      <c r="J25" s="9" t="s">
        <v>10</v>
      </c>
      <c r="K25" s="9" t="s">
        <v>11</v>
      </c>
      <c r="L25" s="9" t="s">
        <v>12</v>
      </c>
      <c r="M25" s="9" t="s">
        <v>13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11" t="s">
        <v>35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1" t="s">
        <v>36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1" t="s">
        <v>37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1" t="s">
        <v>38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1" t="s">
        <v>39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1" t="s">
        <v>40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1" t="s">
        <v>41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1" t="s">
        <v>42</v>
      </c>
      <c r="B33" s="12">
        <v>200.0</v>
      </c>
      <c r="C33" s="12">
        <v>200.0</v>
      </c>
      <c r="D33" s="12">
        <v>200.0</v>
      </c>
      <c r="E33" s="12">
        <v>200.0</v>
      </c>
      <c r="F33" s="12">
        <v>200.0</v>
      </c>
      <c r="G33" s="12">
        <v>200.0</v>
      </c>
      <c r="H33" s="12">
        <v>200.0</v>
      </c>
      <c r="I33" s="12">
        <v>200.0</v>
      </c>
      <c r="J33" s="12">
        <v>200.0</v>
      </c>
      <c r="K33" s="12"/>
      <c r="L33" s="12"/>
      <c r="M33" s="12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1" t="s">
        <v>43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1" t="s">
        <v>44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1" t="s">
        <v>45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1" t="s">
        <v>46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1" t="s">
        <v>47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1" t="s">
        <v>48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1" t="s">
        <v>32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4" t="s">
        <v>33</v>
      </c>
      <c r="B41" s="15">
        <v>10000.0</v>
      </c>
      <c r="C41" s="15">
        <v>10000.0</v>
      </c>
      <c r="D41" s="15">
        <v>10000.0</v>
      </c>
      <c r="E41" s="15">
        <v>10000.0</v>
      </c>
      <c r="F41" s="15">
        <v>10000.0</v>
      </c>
      <c r="G41" s="15">
        <v>10000.0</v>
      </c>
      <c r="H41" s="15">
        <v>10000.0</v>
      </c>
      <c r="I41" s="15">
        <v>10000.0</v>
      </c>
      <c r="J41" s="15">
        <v>10000.0</v>
      </c>
      <c r="K41" s="15">
        <v>10000.0</v>
      </c>
      <c r="L41" s="15">
        <v>10000.0</v>
      </c>
      <c r="M41" s="15">
        <v>10000.0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"/>
      <c r="H42" s="7"/>
      <c r="I42" s="7"/>
      <c r="J42" s="7"/>
      <c r="K42" s="7"/>
      <c r="L42" s="7"/>
      <c r="M42" s="7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8" t="s">
        <v>49</v>
      </c>
      <c r="B43" s="9" t="s">
        <v>2</v>
      </c>
      <c r="C43" s="9" t="s">
        <v>3</v>
      </c>
      <c r="D43" s="9" t="s">
        <v>4</v>
      </c>
      <c r="E43" s="9" t="s">
        <v>5</v>
      </c>
      <c r="F43" s="9" t="s">
        <v>6</v>
      </c>
      <c r="G43" s="9" t="s">
        <v>7</v>
      </c>
      <c r="H43" s="9" t="s">
        <v>8</v>
      </c>
      <c r="I43" s="9" t="s">
        <v>9</v>
      </c>
      <c r="J43" s="9" t="s">
        <v>10</v>
      </c>
      <c r="K43" s="9" t="s">
        <v>11</v>
      </c>
      <c r="L43" s="9" t="s">
        <v>12</v>
      </c>
      <c r="M43" s="9" t="s">
        <v>13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11" t="s">
        <v>50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1" t="s">
        <v>51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1" t="s">
        <v>52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1" t="s">
        <v>53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1" t="s">
        <v>54</v>
      </c>
      <c r="B48" s="12">
        <v>300.0</v>
      </c>
      <c r="C48" s="12">
        <v>300.0</v>
      </c>
      <c r="D48" s="12">
        <v>300.0</v>
      </c>
      <c r="E48" s="12">
        <v>300.0</v>
      </c>
      <c r="F48" s="12">
        <v>300.0</v>
      </c>
      <c r="G48" s="12">
        <v>300.0</v>
      </c>
      <c r="H48" s="12">
        <v>400.0</v>
      </c>
      <c r="I48" s="12"/>
      <c r="J48" s="12"/>
      <c r="K48" s="12"/>
      <c r="L48" s="12"/>
      <c r="M48" s="12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1" t="s">
        <v>55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1" t="s">
        <v>56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1" t="s">
        <v>57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1" t="s">
        <v>58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1" t="s">
        <v>59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1" t="s">
        <v>60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1" t="s">
        <v>61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1" t="s">
        <v>62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1" t="s">
        <v>32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4" t="s">
        <v>33</v>
      </c>
      <c r="B58" s="15">
        <f t="shared" ref="B58:M58" si="3">SUM(B44:B57)</f>
        <v>300</v>
      </c>
      <c r="C58" s="15">
        <f t="shared" si="3"/>
        <v>300</v>
      </c>
      <c r="D58" s="15">
        <f t="shared" si="3"/>
        <v>300</v>
      </c>
      <c r="E58" s="15">
        <f t="shared" si="3"/>
        <v>300</v>
      </c>
      <c r="F58" s="15">
        <f t="shared" si="3"/>
        <v>300</v>
      </c>
      <c r="G58" s="15">
        <f t="shared" si="3"/>
        <v>300</v>
      </c>
      <c r="H58" s="15">
        <f t="shared" si="3"/>
        <v>400</v>
      </c>
      <c r="I58" s="15">
        <f t="shared" si="3"/>
        <v>0</v>
      </c>
      <c r="J58" s="15">
        <f t="shared" si="3"/>
        <v>0</v>
      </c>
      <c r="K58" s="15">
        <f t="shared" si="3"/>
        <v>0</v>
      </c>
      <c r="L58" s="15">
        <f t="shared" si="3"/>
        <v>0</v>
      </c>
      <c r="M58" s="15">
        <f t="shared" si="3"/>
        <v>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6"/>
      <c r="H59" s="7"/>
      <c r="I59" s="7"/>
      <c r="J59" s="7"/>
      <c r="K59" s="7"/>
      <c r="L59" s="7"/>
      <c r="M59" s="7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8" t="s">
        <v>63</v>
      </c>
      <c r="B60" s="9" t="s">
        <v>2</v>
      </c>
      <c r="C60" s="9" t="s">
        <v>3</v>
      </c>
      <c r="D60" s="9" t="s">
        <v>4</v>
      </c>
      <c r="E60" s="9" t="s">
        <v>5</v>
      </c>
      <c r="F60" s="9" t="s">
        <v>6</v>
      </c>
      <c r="G60" s="9" t="s">
        <v>7</v>
      </c>
      <c r="H60" s="9" t="s">
        <v>8</v>
      </c>
      <c r="I60" s="9" t="s">
        <v>9</v>
      </c>
      <c r="J60" s="9" t="s">
        <v>10</v>
      </c>
      <c r="K60" s="9" t="s">
        <v>11</v>
      </c>
      <c r="L60" s="9" t="s">
        <v>12</v>
      </c>
      <c r="M60" s="9" t="s">
        <v>13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1" t="s">
        <v>64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1" t="s">
        <v>65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1" t="s">
        <v>66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1" t="s">
        <v>67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1" t="s">
        <v>68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1" t="s">
        <v>69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1" t="s">
        <v>70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1" t="s">
        <v>71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1" t="s">
        <v>72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1" t="s">
        <v>73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1" t="s">
        <v>32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4" t="s">
        <v>33</v>
      </c>
      <c r="B72" s="15">
        <f>SUM(B61:B71)</f>
        <v>0</v>
      </c>
      <c r="C72" s="15">
        <v>0.0</v>
      </c>
      <c r="D72" s="15"/>
      <c r="E72" s="15"/>
      <c r="F72" s="15"/>
      <c r="G72" s="15">
        <f t="shared" ref="G72:M72" si="4">SUM(G61:G71)</f>
        <v>0</v>
      </c>
      <c r="H72" s="15">
        <f t="shared" si="4"/>
        <v>0</v>
      </c>
      <c r="I72" s="15">
        <f t="shared" si="4"/>
        <v>0</v>
      </c>
      <c r="J72" s="15">
        <f t="shared" si="4"/>
        <v>0</v>
      </c>
      <c r="K72" s="15">
        <f t="shared" si="4"/>
        <v>0</v>
      </c>
      <c r="L72" s="15">
        <f t="shared" si="4"/>
        <v>0</v>
      </c>
      <c r="M72" s="15">
        <f t="shared" si="4"/>
        <v>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7"/>
      <c r="H73" s="7"/>
      <c r="I73" s="7"/>
      <c r="J73" s="7"/>
      <c r="K73" s="7"/>
      <c r="L73" s="7"/>
      <c r="M73" s="7"/>
      <c r="N73" s="5"/>
      <c r="O73" s="5"/>
      <c r="P73" s="16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9" t="s">
        <v>74</v>
      </c>
      <c r="B74" s="9" t="s">
        <v>2</v>
      </c>
      <c r="C74" s="9" t="s">
        <v>3</v>
      </c>
      <c r="D74" s="9" t="s">
        <v>4</v>
      </c>
      <c r="E74" s="9" t="s">
        <v>5</v>
      </c>
      <c r="F74" s="9" t="s">
        <v>6</v>
      </c>
      <c r="G74" s="9" t="s">
        <v>7</v>
      </c>
      <c r="H74" s="9" t="s">
        <v>8</v>
      </c>
      <c r="I74" s="9" t="s">
        <v>9</v>
      </c>
      <c r="J74" s="9" t="s">
        <v>10</v>
      </c>
      <c r="K74" s="9" t="s">
        <v>11</v>
      </c>
      <c r="L74" s="9" t="s">
        <v>12</v>
      </c>
      <c r="M74" s="9" t="s">
        <v>13</v>
      </c>
      <c r="N74" s="9" t="s">
        <v>75</v>
      </c>
      <c r="O74" s="9" t="s">
        <v>76</v>
      </c>
      <c r="P74" s="17" t="s">
        <v>77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1" t="s">
        <v>78</v>
      </c>
      <c r="B75" s="12">
        <f t="shared" ref="B75:M75" si="5">B23</f>
        <v>8443.04</v>
      </c>
      <c r="C75" s="12">
        <f t="shared" si="5"/>
        <v>7692.14</v>
      </c>
      <c r="D75" s="12">
        <f t="shared" si="5"/>
        <v>7692.14</v>
      </c>
      <c r="E75" s="12">
        <f t="shared" si="5"/>
        <v>7692.14</v>
      </c>
      <c r="F75" s="12">
        <f t="shared" si="5"/>
        <v>7692.14</v>
      </c>
      <c r="G75" s="12">
        <f t="shared" si="5"/>
        <v>7692.14</v>
      </c>
      <c r="H75" s="12">
        <f t="shared" si="5"/>
        <v>7692.14</v>
      </c>
      <c r="I75" s="12">
        <f t="shared" si="5"/>
        <v>7692.14</v>
      </c>
      <c r="J75" s="12">
        <f t="shared" si="5"/>
        <v>0</v>
      </c>
      <c r="K75" s="12">
        <f t="shared" si="5"/>
        <v>0</v>
      </c>
      <c r="L75" s="12">
        <f t="shared" si="5"/>
        <v>0</v>
      </c>
      <c r="M75" s="12">
        <f t="shared" si="5"/>
        <v>0</v>
      </c>
      <c r="N75" s="12">
        <f t="shared" ref="N75:N78" si="7">AVERAGE(B75:D75)</f>
        <v>7942.44</v>
      </c>
      <c r="O75" s="18">
        <f t="shared" ref="O75:O79" si="8">N75/$N$80</f>
        <v>0.4353825475</v>
      </c>
      <c r="P75" s="18" t="str">
        <f t="shared" ref="P75:P80" si="9">N75/$P$73</f>
        <v>#DIV/0!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1" t="s">
        <v>79</v>
      </c>
      <c r="B76" s="12">
        <f t="shared" ref="B76:M76" si="6">B41</f>
        <v>10000</v>
      </c>
      <c r="C76" s="12">
        <f t="shared" si="6"/>
        <v>10000</v>
      </c>
      <c r="D76" s="12">
        <f t="shared" si="6"/>
        <v>10000</v>
      </c>
      <c r="E76" s="12">
        <f t="shared" si="6"/>
        <v>10000</v>
      </c>
      <c r="F76" s="12">
        <f t="shared" si="6"/>
        <v>10000</v>
      </c>
      <c r="G76" s="12">
        <f t="shared" si="6"/>
        <v>10000</v>
      </c>
      <c r="H76" s="12">
        <f t="shared" si="6"/>
        <v>10000</v>
      </c>
      <c r="I76" s="12">
        <f t="shared" si="6"/>
        <v>10000</v>
      </c>
      <c r="J76" s="12">
        <f t="shared" si="6"/>
        <v>10000</v>
      </c>
      <c r="K76" s="12">
        <f t="shared" si="6"/>
        <v>10000</v>
      </c>
      <c r="L76" s="12">
        <f t="shared" si="6"/>
        <v>10000</v>
      </c>
      <c r="M76" s="12">
        <f t="shared" si="6"/>
        <v>10000</v>
      </c>
      <c r="N76" s="12">
        <f t="shared" si="7"/>
        <v>10000</v>
      </c>
      <c r="O76" s="18">
        <f t="shared" si="8"/>
        <v>0.548172284</v>
      </c>
      <c r="P76" s="18" t="str">
        <f t="shared" si="9"/>
        <v>#DIV/0!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1" t="s">
        <v>80</v>
      </c>
      <c r="B77" s="12">
        <f t="shared" ref="B77:M77" si="10">B58</f>
        <v>300</v>
      </c>
      <c r="C77" s="12">
        <f t="shared" si="10"/>
        <v>300</v>
      </c>
      <c r="D77" s="12">
        <f t="shared" si="10"/>
        <v>300</v>
      </c>
      <c r="E77" s="12">
        <f t="shared" si="10"/>
        <v>300</v>
      </c>
      <c r="F77" s="12">
        <f t="shared" si="10"/>
        <v>300</v>
      </c>
      <c r="G77" s="12">
        <f t="shared" si="10"/>
        <v>300</v>
      </c>
      <c r="H77" s="12">
        <f t="shared" si="10"/>
        <v>400</v>
      </c>
      <c r="I77" s="12">
        <f t="shared" si="10"/>
        <v>0</v>
      </c>
      <c r="J77" s="12">
        <f t="shared" si="10"/>
        <v>0</v>
      </c>
      <c r="K77" s="12">
        <f t="shared" si="10"/>
        <v>0</v>
      </c>
      <c r="L77" s="12">
        <f t="shared" si="10"/>
        <v>0</v>
      </c>
      <c r="M77" s="12">
        <f t="shared" si="10"/>
        <v>0</v>
      </c>
      <c r="N77" s="12">
        <f t="shared" si="7"/>
        <v>300</v>
      </c>
      <c r="O77" s="18">
        <f t="shared" si="8"/>
        <v>0.01644516852</v>
      </c>
      <c r="P77" s="18" t="str">
        <f t="shared" si="9"/>
        <v>#DIV/0!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1" t="s">
        <v>81</v>
      </c>
      <c r="B78" s="12">
        <f t="shared" ref="B78:M78" si="11">B72</f>
        <v>0</v>
      </c>
      <c r="C78" s="12">
        <f t="shared" si="11"/>
        <v>0</v>
      </c>
      <c r="D78" s="12" t="str">
        <f t="shared" si="11"/>
        <v/>
      </c>
      <c r="E78" s="12" t="str">
        <f t="shared" si="11"/>
        <v/>
      </c>
      <c r="F78" s="12" t="str">
        <f t="shared" si="11"/>
        <v/>
      </c>
      <c r="G78" s="12">
        <f t="shared" si="11"/>
        <v>0</v>
      </c>
      <c r="H78" s="12">
        <f t="shared" si="11"/>
        <v>0</v>
      </c>
      <c r="I78" s="12">
        <f t="shared" si="11"/>
        <v>0</v>
      </c>
      <c r="J78" s="12">
        <f t="shared" si="11"/>
        <v>0</v>
      </c>
      <c r="K78" s="12">
        <f t="shared" si="11"/>
        <v>0</v>
      </c>
      <c r="L78" s="12">
        <f t="shared" si="11"/>
        <v>0</v>
      </c>
      <c r="M78" s="12">
        <f t="shared" si="11"/>
        <v>0</v>
      </c>
      <c r="N78" s="12">
        <f t="shared" si="7"/>
        <v>0</v>
      </c>
      <c r="O78" s="18">
        <f t="shared" si="8"/>
        <v>0</v>
      </c>
      <c r="P78" s="18" t="str">
        <f t="shared" si="9"/>
        <v>#DIV/0!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1" t="s">
        <v>82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8">
        <f t="shared" si="8"/>
        <v>0</v>
      </c>
      <c r="P79" s="18" t="str">
        <f t="shared" si="9"/>
        <v>#DIV/0!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1" t="s">
        <v>83</v>
      </c>
      <c r="B80" s="12">
        <v>0.0</v>
      </c>
      <c r="C80" s="12">
        <f t="shared" ref="C80:O80" si="12">SUM(C75:C79)</f>
        <v>17992.14</v>
      </c>
      <c r="D80" s="12">
        <f t="shared" si="12"/>
        <v>17992.14</v>
      </c>
      <c r="E80" s="12">
        <f t="shared" si="12"/>
        <v>17992.14</v>
      </c>
      <c r="F80" s="12">
        <f t="shared" si="12"/>
        <v>17992.14</v>
      </c>
      <c r="G80" s="12">
        <f t="shared" si="12"/>
        <v>17992.14</v>
      </c>
      <c r="H80" s="12">
        <f t="shared" si="12"/>
        <v>18092.14</v>
      </c>
      <c r="I80" s="12">
        <f t="shared" si="12"/>
        <v>17692.14</v>
      </c>
      <c r="J80" s="12">
        <f t="shared" si="12"/>
        <v>10000</v>
      </c>
      <c r="K80" s="12">
        <f t="shared" si="12"/>
        <v>10000</v>
      </c>
      <c r="L80" s="12">
        <f t="shared" si="12"/>
        <v>10000</v>
      </c>
      <c r="M80" s="12">
        <f t="shared" si="12"/>
        <v>10000</v>
      </c>
      <c r="N80" s="12">
        <f t="shared" si="12"/>
        <v>18242.44</v>
      </c>
      <c r="O80" s="19">
        <f t="shared" si="12"/>
        <v>1</v>
      </c>
      <c r="P80" s="18" t="str">
        <f t="shared" si="9"/>
        <v>#DIV/0!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1" t="s">
        <v>84</v>
      </c>
      <c r="B81" s="20">
        <v>100.0</v>
      </c>
      <c r="C81" s="20">
        <v>100.0</v>
      </c>
      <c r="D81" s="20">
        <v>100.0</v>
      </c>
      <c r="E81" s="20">
        <v>100.0</v>
      </c>
      <c r="F81" s="20">
        <v>100.0</v>
      </c>
      <c r="G81" s="20">
        <v>100.0</v>
      </c>
      <c r="H81" s="20">
        <v>100.0</v>
      </c>
      <c r="I81" s="20">
        <v>100.0</v>
      </c>
      <c r="J81" s="20">
        <v>100.0</v>
      </c>
      <c r="K81" s="20">
        <v>100.0</v>
      </c>
      <c r="L81" s="20">
        <v>100.0</v>
      </c>
      <c r="M81" s="20">
        <v>100.0</v>
      </c>
      <c r="N81" s="20">
        <v>200.0</v>
      </c>
      <c r="O81" s="7"/>
      <c r="P81" s="7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1" t="s">
        <v>85</v>
      </c>
      <c r="B82" s="12">
        <f t="shared" ref="B82:N82" si="13">B80/B81</f>
        <v>0</v>
      </c>
      <c r="C82" s="12">
        <f t="shared" si="13"/>
        <v>179.9214</v>
      </c>
      <c r="D82" s="12">
        <f t="shared" si="13"/>
        <v>179.9214</v>
      </c>
      <c r="E82" s="12">
        <f t="shared" si="13"/>
        <v>179.9214</v>
      </c>
      <c r="F82" s="12">
        <f t="shared" si="13"/>
        <v>179.9214</v>
      </c>
      <c r="G82" s="12">
        <f t="shared" si="13"/>
        <v>179.9214</v>
      </c>
      <c r="H82" s="12">
        <f t="shared" si="13"/>
        <v>180.9214</v>
      </c>
      <c r="I82" s="12">
        <f t="shared" si="13"/>
        <v>176.9214</v>
      </c>
      <c r="J82" s="12">
        <f t="shared" si="13"/>
        <v>100</v>
      </c>
      <c r="K82" s="12">
        <f t="shared" si="13"/>
        <v>100</v>
      </c>
      <c r="L82" s="12">
        <f t="shared" si="13"/>
        <v>100</v>
      </c>
      <c r="M82" s="12">
        <f t="shared" si="13"/>
        <v>100</v>
      </c>
      <c r="N82" s="12">
        <f t="shared" si="13"/>
        <v>91.2122</v>
      </c>
      <c r="O82" s="21"/>
      <c r="P82" s="21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22" t="s">
        <v>86</v>
      </c>
      <c r="B83" s="23">
        <f t="shared" ref="B83:N83" si="14">B82/60</f>
        <v>0</v>
      </c>
      <c r="C83" s="23">
        <f t="shared" si="14"/>
        <v>2.99869</v>
      </c>
      <c r="D83" s="23">
        <f t="shared" si="14"/>
        <v>2.99869</v>
      </c>
      <c r="E83" s="23">
        <f t="shared" si="14"/>
        <v>2.99869</v>
      </c>
      <c r="F83" s="23">
        <f t="shared" si="14"/>
        <v>2.99869</v>
      </c>
      <c r="G83" s="23">
        <f t="shared" si="14"/>
        <v>2.99869</v>
      </c>
      <c r="H83" s="23">
        <f t="shared" si="14"/>
        <v>3.015356667</v>
      </c>
      <c r="I83" s="23">
        <f t="shared" si="14"/>
        <v>2.94869</v>
      </c>
      <c r="J83" s="23">
        <f t="shared" si="14"/>
        <v>1.666666667</v>
      </c>
      <c r="K83" s="23">
        <f t="shared" si="14"/>
        <v>1.666666667</v>
      </c>
      <c r="L83" s="23">
        <f t="shared" si="14"/>
        <v>1.666666667</v>
      </c>
      <c r="M83" s="23">
        <f t="shared" si="14"/>
        <v>1.666666667</v>
      </c>
      <c r="N83" s="23">
        <f t="shared" si="14"/>
        <v>1.520203333</v>
      </c>
      <c r="O83" s="24"/>
      <c r="P83" s="21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1" t="s">
        <v>87</v>
      </c>
      <c r="B84" s="25">
        <f t="shared" ref="B84:N84" si="15">B80/20</f>
        <v>0</v>
      </c>
      <c r="C84" s="25">
        <f t="shared" si="15"/>
        <v>899.607</v>
      </c>
      <c r="D84" s="25">
        <f t="shared" si="15"/>
        <v>899.607</v>
      </c>
      <c r="E84" s="25">
        <f t="shared" si="15"/>
        <v>899.607</v>
      </c>
      <c r="F84" s="25">
        <f t="shared" si="15"/>
        <v>899.607</v>
      </c>
      <c r="G84" s="25">
        <f t="shared" si="15"/>
        <v>899.607</v>
      </c>
      <c r="H84" s="25">
        <f t="shared" si="15"/>
        <v>904.607</v>
      </c>
      <c r="I84" s="25">
        <f t="shared" si="15"/>
        <v>884.607</v>
      </c>
      <c r="J84" s="25">
        <f t="shared" si="15"/>
        <v>500</v>
      </c>
      <c r="K84" s="25">
        <f t="shared" si="15"/>
        <v>500</v>
      </c>
      <c r="L84" s="25">
        <f t="shared" si="15"/>
        <v>500</v>
      </c>
      <c r="M84" s="25">
        <f t="shared" si="15"/>
        <v>500</v>
      </c>
      <c r="N84" s="25">
        <f t="shared" si="15"/>
        <v>912.122</v>
      </c>
      <c r="O84" s="21"/>
      <c r="P84" s="21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1" t="s">
        <v>88</v>
      </c>
      <c r="B85" s="25">
        <f t="shared" ref="B85:N85" si="16">B80/4</f>
        <v>0</v>
      </c>
      <c r="C85" s="25">
        <f t="shared" si="16"/>
        <v>4498.035</v>
      </c>
      <c r="D85" s="25">
        <f t="shared" si="16"/>
        <v>4498.035</v>
      </c>
      <c r="E85" s="25">
        <f t="shared" si="16"/>
        <v>4498.035</v>
      </c>
      <c r="F85" s="25">
        <f t="shared" si="16"/>
        <v>4498.035</v>
      </c>
      <c r="G85" s="25">
        <f t="shared" si="16"/>
        <v>4498.035</v>
      </c>
      <c r="H85" s="25">
        <f t="shared" si="16"/>
        <v>4523.035</v>
      </c>
      <c r="I85" s="25">
        <f t="shared" si="16"/>
        <v>4423.035</v>
      </c>
      <c r="J85" s="25">
        <f t="shared" si="16"/>
        <v>2500</v>
      </c>
      <c r="K85" s="25">
        <f t="shared" si="16"/>
        <v>2500</v>
      </c>
      <c r="L85" s="25">
        <f t="shared" si="16"/>
        <v>2500</v>
      </c>
      <c r="M85" s="25">
        <f t="shared" si="16"/>
        <v>2500</v>
      </c>
      <c r="N85" s="25">
        <f t="shared" si="16"/>
        <v>4560.61</v>
      </c>
      <c r="O85" s="21"/>
      <c r="P85" s="21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24:G24"/>
    <mergeCell ref="A42:G42"/>
    <mergeCell ref="A59:G59"/>
    <mergeCell ref="A73:G73"/>
  </mergeCells>
  <printOptions/>
  <pageMargins bottom="0.787401575" footer="0.0" header="0.0" left="0.511811024" right="0.511811024" top="0.7874015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56"/>
    <col customWidth="1" min="2" max="2" width="79.67"/>
    <col customWidth="1" min="3" max="3" width="51.44"/>
    <col customWidth="1" min="4" max="4" width="8.44"/>
    <col customWidth="1" min="5" max="5" width="8.67"/>
    <col customWidth="1" min="6" max="7" width="10.67"/>
    <col customWidth="1" min="8" max="8" width="11.89"/>
    <col customWidth="1" min="9" max="9" width="12.67"/>
    <col customWidth="1" min="10" max="10" width="9.22"/>
    <col customWidth="1" min="11" max="11" width="10.11"/>
    <col customWidth="1" min="12" max="12" width="8.67"/>
    <col customWidth="1" min="13" max="13" width="11.0"/>
    <col customWidth="1" min="14" max="14" width="6.44"/>
    <col customWidth="1" min="15" max="15" width="12.67"/>
    <col customWidth="1" min="16" max="16" width="14.22"/>
    <col customWidth="1" min="17" max="22" width="19.67"/>
  </cols>
  <sheetData>
    <row r="1" ht="28.5" customHeight="1">
      <c r="A1" s="27" t="s">
        <v>89</v>
      </c>
      <c r="B1" s="27" t="s">
        <v>90</v>
      </c>
      <c r="C1" s="27" t="s">
        <v>91</v>
      </c>
      <c r="D1" s="28" t="s">
        <v>92</v>
      </c>
      <c r="E1" s="28" t="s">
        <v>93</v>
      </c>
      <c r="F1" s="29" t="s">
        <v>94</v>
      </c>
      <c r="G1" s="27" t="s">
        <v>95</v>
      </c>
      <c r="H1" s="27" t="s">
        <v>96</v>
      </c>
      <c r="I1" s="28" t="s">
        <v>97</v>
      </c>
      <c r="J1" s="27" t="s">
        <v>98</v>
      </c>
      <c r="K1" s="27" t="s">
        <v>99</v>
      </c>
      <c r="L1" s="27" t="s">
        <v>100</v>
      </c>
      <c r="M1" s="30" t="s">
        <v>101</v>
      </c>
      <c r="N1" s="31"/>
      <c r="O1" s="32" t="s">
        <v>102</v>
      </c>
      <c r="P1" s="32" t="s">
        <v>103</v>
      </c>
      <c r="Q1" s="32" t="s">
        <v>104</v>
      </c>
      <c r="R1" s="32" t="s">
        <v>105</v>
      </c>
      <c r="S1" s="32" t="s">
        <v>106</v>
      </c>
      <c r="T1" s="32" t="s">
        <v>107</v>
      </c>
      <c r="U1" s="32" t="s">
        <v>108</v>
      </c>
      <c r="V1" s="32" t="s">
        <v>109</v>
      </c>
      <c r="W1" s="33"/>
      <c r="X1" s="33"/>
      <c r="Y1" s="33"/>
      <c r="Z1" s="33"/>
    </row>
    <row r="2" ht="16.5" customHeight="1">
      <c r="A2" s="34">
        <v>3.0101077E7</v>
      </c>
      <c r="B2" s="34" t="s">
        <v>110</v>
      </c>
      <c r="C2" s="34"/>
      <c r="D2" s="35">
        <v>30.0</v>
      </c>
      <c r="E2" s="36">
        <v>1.0</v>
      </c>
      <c r="F2" s="37"/>
      <c r="G2" s="38">
        <f t="shared" ref="G2:G263" si="1">D2*12.5</f>
        <v>375</v>
      </c>
      <c r="H2" s="37">
        <f t="shared" ref="H2:H33" si="2">F2+G2</f>
        <v>375</v>
      </c>
      <c r="I2" s="39">
        <v>0.0</v>
      </c>
      <c r="J2" s="40">
        <f t="shared" ref="J2:J263" si="3">I2*5%</f>
        <v>0</v>
      </c>
      <c r="K2" s="40">
        <f t="shared" ref="K2:K263" si="4">I2*16.5%</f>
        <v>0</v>
      </c>
      <c r="L2" s="40">
        <f t="shared" ref="L2:L263" si="5">H2*3%</f>
        <v>11.25</v>
      </c>
      <c r="M2" s="41">
        <f t="shared" ref="M2:M263" si="6">I2-H2-J2-K2-L2</f>
        <v>-386.25</v>
      </c>
      <c r="N2" s="42" t="str">
        <f t="shared" ref="N2:N231" si="7">M2/I2</f>
        <v>#DIV/0!</v>
      </c>
      <c r="O2" s="43"/>
      <c r="P2" s="44">
        <f t="shared" ref="P2:P263" si="8">O2*(D2/60)</f>
        <v>0</v>
      </c>
      <c r="Q2" s="45">
        <f t="shared" ref="Q2:Q263" si="9">O2*I2</f>
        <v>0</v>
      </c>
      <c r="R2" s="45">
        <f>O2*F2</f>
        <v>0</v>
      </c>
      <c r="S2" s="45">
        <f>O2*G2</f>
        <v>0</v>
      </c>
      <c r="T2" s="45">
        <f t="shared" ref="T2:T263" si="10">O2*(J2+K2)</f>
        <v>0</v>
      </c>
      <c r="U2" s="45">
        <f t="shared" ref="U2:U263" si="11">O2*L2</f>
        <v>0</v>
      </c>
      <c r="V2" s="45">
        <f t="shared" ref="V2:V263" si="12">Q2-R2-S2-T2-U2</f>
        <v>0</v>
      </c>
      <c r="W2" s="33"/>
      <c r="X2" s="33"/>
      <c r="Y2" s="33"/>
      <c r="Z2" s="33"/>
    </row>
    <row r="3" ht="16.5" customHeight="1">
      <c r="A3" s="46">
        <v>3.0101018E7</v>
      </c>
      <c r="B3" s="46" t="s">
        <v>111</v>
      </c>
      <c r="C3" s="46"/>
      <c r="D3" s="35">
        <v>30.0</v>
      </c>
      <c r="E3" s="36">
        <v>1.0</v>
      </c>
      <c r="F3" s="37"/>
      <c r="G3" s="38">
        <f t="shared" si="1"/>
        <v>375</v>
      </c>
      <c r="H3" s="37">
        <f t="shared" si="2"/>
        <v>375</v>
      </c>
      <c r="I3" s="39">
        <v>0.0</v>
      </c>
      <c r="J3" s="40">
        <f t="shared" si="3"/>
        <v>0</v>
      </c>
      <c r="K3" s="40">
        <f t="shared" si="4"/>
        <v>0</v>
      </c>
      <c r="L3" s="40">
        <f t="shared" si="5"/>
        <v>11.25</v>
      </c>
      <c r="M3" s="41">
        <f t="shared" si="6"/>
        <v>-386.25</v>
      </c>
      <c r="N3" s="42" t="str">
        <f t="shared" si="7"/>
        <v>#DIV/0!</v>
      </c>
      <c r="O3" s="43"/>
      <c r="P3" s="44">
        <f t="shared" si="8"/>
        <v>0</v>
      </c>
      <c r="Q3" s="45">
        <f t="shared" si="9"/>
        <v>0</v>
      </c>
      <c r="R3" s="45">
        <f t="shared" ref="R3:R263" si="13">O3*(F3+G3)</f>
        <v>0</v>
      </c>
      <c r="S3" s="45">
        <f t="shared" ref="S3:S263" si="14">O3*H3</f>
        <v>0</v>
      </c>
      <c r="T3" s="45">
        <f t="shared" si="10"/>
        <v>0</v>
      </c>
      <c r="U3" s="45">
        <f t="shared" si="11"/>
        <v>0</v>
      </c>
      <c r="V3" s="45">
        <f t="shared" si="12"/>
        <v>0</v>
      </c>
      <c r="W3" s="33"/>
      <c r="X3" s="33"/>
      <c r="Y3" s="33"/>
      <c r="Z3" s="33"/>
    </row>
    <row r="4" ht="16.5" customHeight="1">
      <c r="A4" s="46"/>
      <c r="B4" s="46" t="s">
        <v>112</v>
      </c>
      <c r="C4" s="46"/>
      <c r="D4" s="35">
        <v>30.0</v>
      </c>
      <c r="E4" s="36">
        <v>1.0</v>
      </c>
      <c r="F4" s="37"/>
      <c r="G4" s="38">
        <f t="shared" si="1"/>
        <v>375</v>
      </c>
      <c r="H4" s="37">
        <f t="shared" si="2"/>
        <v>375</v>
      </c>
      <c r="I4" s="39">
        <v>360.0</v>
      </c>
      <c r="J4" s="40">
        <f t="shared" si="3"/>
        <v>18</v>
      </c>
      <c r="K4" s="40">
        <f t="shared" si="4"/>
        <v>59.4</v>
      </c>
      <c r="L4" s="40">
        <f t="shared" si="5"/>
        <v>11.25</v>
      </c>
      <c r="M4" s="41">
        <f t="shared" si="6"/>
        <v>-103.65</v>
      </c>
      <c r="N4" s="42">
        <f t="shared" si="7"/>
        <v>-0.2879166667</v>
      </c>
      <c r="O4" s="43"/>
      <c r="P4" s="44">
        <f t="shared" si="8"/>
        <v>0</v>
      </c>
      <c r="Q4" s="45">
        <f t="shared" si="9"/>
        <v>0</v>
      </c>
      <c r="R4" s="45">
        <f t="shared" si="13"/>
        <v>0</v>
      </c>
      <c r="S4" s="45">
        <f t="shared" si="14"/>
        <v>0</v>
      </c>
      <c r="T4" s="45">
        <f t="shared" si="10"/>
        <v>0</v>
      </c>
      <c r="U4" s="45">
        <f t="shared" si="11"/>
        <v>0</v>
      </c>
      <c r="V4" s="45">
        <f t="shared" si="12"/>
        <v>0</v>
      </c>
      <c r="W4" s="33"/>
      <c r="X4" s="33"/>
      <c r="Y4" s="33"/>
      <c r="Z4" s="33"/>
    </row>
    <row r="5" ht="16.5" customHeight="1">
      <c r="A5" s="46"/>
      <c r="B5" s="46" t="s">
        <v>113</v>
      </c>
      <c r="C5" s="46"/>
      <c r="D5" s="35">
        <v>15.0</v>
      </c>
      <c r="E5" s="36">
        <v>1.0</v>
      </c>
      <c r="F5" s="37"/>
      <c r="G5" s="38">
        <f t="shared" si="1"/>
        <v>187.5</v>
      </c>
      <c r="H5" s="37">
        <f t="shared" si="2"/>
        <v>187.5</v>
      </c>
      <c r="I5" s="39">
        <v>0.0</v>
      </c>
      <c r="J5" s="40">
        <f t="shared" si="3"/>
        <v>0</v>
      </c>
      <c r="K5" s="40">
        <f t="shared" si="4"/>
        <v>0</v>
      </c>
      <c r="L5" s="40">
        <f t="shared" si="5"/>
        <v>5.625</v>
      </c>
      <c r="M5" s="41">
        <f t="shared" si="6"/>
        <v>-193.125</v>
      </c>
      <c r="N5" s="42" t="str">
        <f t="shared" si="7"/>
        <v>#DIV/0!</v>
      </c>
      <c r="O5" s="43"/>
      <c r="P5" s="44">
        <f t="shared" si="8"/>
        <v>0</v>
      </c>
      <c r="Q5" s="45">
        <f t="shared" si="9"/>
        <v>0</v>
      </c>
      <c r="R5" s="45">
        <f t="shared" si="13"/>
        <v>0</v>
      </c>
      <c r="S5" s="45">
        <f t="shared" si="14"/>
        <v>0</v>
      </c>
      <c r="T5" s="45">
        <f t="shared" si="10"/>
        <v>0</v>
      </c>
      <c r="U5" s="45">
        <f t="shared" si="11"/>
        <v>0</v>
      </c>
      <c r="V5" s="45">
        <f t="shared" si="12"/>
        <v>0</v>
      </c>
      <c r="W5" s="33"/>
      <c r="X5" s="33"/>
      <c r="Y5" s="33"/>
      <c r="Z5" s="33"/>
    </row>
    <row r="6" ht="16.5" customHeight="1">
      <c r="A6" s="46"/>
      <c r="B6" s="46" t="s">
        <v>114</v>
      </c>
      <c r="C6" s="46"/>
      <c r="D6" s="35">
        <v>30.0</v>
      </c>
      <c r="E6" s="36">
        <v>1.0</v>
      </c>
      <c r="F6" s="37">
        <v>509.9</v>
      </c>
      <c r="G6" s="38">
        <f t="shared" si="1"/>
        <v>375</v>
      </c>
      <c r="H6" s="37">
        <f t="shared" si="2"/>
        <v>884.9</v>
      </c>
      <c r="I6" s="39">
        <v>2300.0</v>
      </c>
      <c r="J6" s="40">
        <f t="shared" si="3"/>
        <v>115</v>
      </c>
      <c r="K6" s="40">
        <f t="shared" si="4"/>
        <v>379.5</v>
      </c>
      <c r="L6" s="40">
        <f t="shared" si="5"/>
        <v>26.547</v>
      </c>
      <c r="M6" s="41">
        <f t="shared" si="6"/>
        <v>894.053</v>
      </c>
      <c r="N6" s="42">
        <f t="shared" si="7"/>
        <v>0.3887186957</v>
      </c>
      <c r="O6" s="43"/>
      <c r="P6" s="44">
        <f t="shared" si="8"/>
        <v>0</v>
      </c>
      <c r="Q6" s="45">
        <f t="shared" si="9"/>
        <v>0</v>
      </c>
      <c r="R6" s="45">
        <f t="shared" si="13"/>
        <v>0</v>
      </c>
      <c r="S6" s="45">
        <f t="shared" si="14"/>
        <v>0</v>
      </c>
      <c r="T6" s="45">
        <f t="shared" si="10"/>
        <v>0</v>
      </c>
      <c r="U6" s="45">
        <f t="shared" si="11"/>
        <v>0</v>
      </c>
      <c r="V6" s="45">
        <f t="shared" si="12"/>
        <v>0</v>
      </c>
      <c r="W6" s="33"/>
      <c r="X6" s="33"/>
      <c r="Y6" s="33"/>
      <c r="Z6" s="33"/>
    </row>
    <row r="7" ht="16.5" customHeight="1">
      <c r="A7" s="34"/>
      <c r="B7" s="34" t="s">
        <v>115</v>
      </c>
      <c r="C7" s="34"/>
      <c r="D7" s="35">
        <v>30.0</v>
      </c>
      <c r="E7" s="36">
        <v>1.0</v>
      </c>
      <c r="F7" s="37">
        <v>848.0</v>
      </c>
      <c r="G7" s="38">
        <f t="shared" si="1"/>
        <v>375</v>
      </c>
      <c r="H7" s="37">
        <f t="shared" si="2"/>
        <v>1223</v>
      </c>
      <c r="I7" s="39">
        <v>2700.0</v>
      </c>
      <c r="J7" s="40">
        <f t="shared" si="3"/>
        <v>135</v>
      </c>
      <c r="K7" s="40">
        <f t="shared" si="4"/>
        <v>445.5</v>
      </c>
      <c r="L7" s="40">
        <f t="shared" si="5"/>
        <v>36.69</v>
      </c>
      <c r="M7" s="41">
        <f t="shared" si="6"/>
        <v>859.81</v>
      </c>
      <c r="N7" s="42">
        <f t="shared" si="7"/>
        <v>0.3184481481</v>
      </c>
      <c r="O7" s="43"/>
      <c r="P7" s="44">
        <f t="shared" si="8"/>
        <v>0</v>
      </c>
      <c r="Q7" s="45">
        <f t="shared" si="9"/>
        <v>0</v>
      </c>
      <c r="R7" s="45">
        <f t="shared" si="13"/>
        <v>0</v>
      </c>
      <c r="S7" s="45">
        <f t="shared" si="14"/>
        <v>0</v>
      </c>
      <c r="T7" s="45">
        <f t="shared" si="10"/>
        <v>0</v>
      </c>
      <c r="U7" s="45">
        <f t="shared" si="11"/>
        <v>0</v>
      </c>
      <c r="V7" s="45">
        <f t="shared" si="12"/>
        <v>0</v>
      </c>
      <c r="W7" s="33"/>
      <c r="X7" s="33"/>
      <c r="Y7" s="33"/>
      <c r="Z7" s="33"/>
    </row>
    <row r="8" ht="16.5" customHeight="1">
      <c r="A8" s="46"/>
      <c r="B8" s="47" t="s">
        <v>116</v>
      </c>
      <c r="C8" s="46"/>
      <c r="D8" s="35">
        <v>30.0</v>
      </c>
      <c r="E8" s="36">
        <v>1.0</v>
      </c>
      <c r="F8" s="37">
        <v>1106.7</v>
      </c>
      <c r="G8" s="38">
        <f t="shared" si="1"/>
        <v>375</v>
      </c>
      <c r="H8" s="37">
        <f t="shared" si="2"/>
        <v>1481.7</v>
      </c>
      <c r="I8" s="39">
        <v>3300.0</v>
      </c>
      <c r="J8" s="40">
        <f t="shared" si="3"/>
        <v>165</v>
      </c>
      <c r="K8" s="40">
        <f t="shared" si="4"/>
        <v>544.5</v>
      </c>
      <c r="L8" s="40">
        <f t="shared" si="5"/>
        <v>44.451</v>
      </c>
      <c r="M8" s="41">
        <f t="shared" si="6"/>
        <v>1064.349</v>
      </c>
      <c r="N8" s="42">
        <f t="shared" si="7"/>
        <v>0.32253</v>
      </c>
      <c r="O8" s="43"/>
      <c r="P8" s="44">
        <f t="shared" si="8"/>
        <v>0</v>
      </c>
      <c r="Q8" s="45">
        <f t="shared" si="9"/>
        <v>0</v>
      </c>
      <c r="R8" s="45">
        <f t="shared" si="13"/>
        <v>0</v>
      </c>
      <c r="S8" s="45">
        <f t="shared" si="14"/>
        <v>0</v>
      </c>
      <c r="T8" s="45">
        <f t="shared" si="10"/>
        <v>0</v>
      </c>
      <c r="U8" s="45">
        <f t="shared" si="11"/>
        <v>0</v>
      </c>
      <c r="V8" s="45">
        <f t="shared" si="12"/>
        <v>0</v>
      </c>
      <c r="W8" s="33"/>
      <c r="X8" s="33"/>
      <c r="Y8" s="33"/>
      <c r="Z8" s="33"/>
    </row>
    <row r="9" ht="16.5" customHeight="1">
      <c r="A9" s="46"/>
      <c r="B9" s="47" t="s">
        <v>117</v>
      </c>
      <c r="C9" s="46"/>
      <c r="D9" s="35">
        <v>30.0</v>
      </c>
      <c r="E9" s="36">
        <v>1.0</v>
      </c>
      <c r="F9" s="37">
        <v>964.9</v>
      </c>
      <c r="G9" s="38">
        <f t="shared" si="1"/>
        <v>375</v>
      </c>
      <c r="H9" s="37">
        <f t="shared" si="2"/>
        <v>1339.9</v>
      </c>
      <c r="I9" s="39">
        <v>3300.0</v>
      </c>
      <c r="J9" s="40">
        <f t="shared" si="3"/>
        <v>165</v>
      </c>
      <c r="K9" s="40">
        <f t="shared" si="4"/>
        <v>544.5</v>
      </c>
      <c r="L9" s="40">
        <f t="shared" si="5"/>
        <v>40.197</v>
      </c>
      <c r="M9" s="41">
        <f t="shared" si="6"/>
        <v>1210.403</v>
      </c>
      <c r="N9" s="42">
        <f t="shared" si="7"/>
        <v>0.3667887879</v>
      </c>
      <c r="O9" s="43"/>
      <c r="P9" s="44">
        <f t="shared" si="8"/>
        <v>0</v>
      </c>
      <c r="Q9" s="45">
        <f t="shared" si="9"/>
        <v>0</v>
      </c>
      <c r="R9" s="45">
        <f t="shared" si="13"/>
        <v>0</v>
      </c>
      <c r="S9" s="45">
        <f t="shared" si="14"/>
        <v>0</v>
      </c>
      <c r="T9" s="45">
        <f t="shared" si="10"/>
        <v>0</v>
      </c>
      <c r="U9" s="45">
        <f t="shared" si="11"/>
        <v>0</v>
      </c>
      <c r="V9" s="45">
        <f t="shared" si="12"/>
        <v>0</v>
      </c>
      <c r="W9" s="33"/>
      <c r="X9" s="33"/>
      <c r="Y9" s="33"/>
      <c r="Z9" s="33"/>
    </row>
    <row r="10" ht="16.5" customHeight="1">
      <c r="A10" s="46"/>
      <c r="B10" s="46" t="s">
        <v>118</v>
      </c>
      <c r="C10" s="46"/>
      <c r="D10" s="35">
        <v>15.0</v>
      </c>
      <c r="E10" s="36">
        <v>1.0</v>
      </c>
      <c r="F10" s="37"/>
      <c r="G10" s="38">
        <f t="shared" si="1"/>
        <v>187.5</v>
      </c>
      <c r="H10" s="37">
        <f t="shared" si="2"/>
        <v>187.5</v>
      </c>
      <c r="I10" s="39">
        <v>55.0</v>
      </c>
      <c r="J10" s="40">
        <f t="shared" si="3"/>
        <v>2.75</v>
      </c>
      <c r="K10" s="40">
        <f t="shared" si="4"/>
        <v>9.075</v>
      </c>
      <c r="L10" s="40">
        <f t="shared" si="5"/>
        <v>5.625</v>
      </c>
      <c r="M10" s="41">
        <f t="shared" si="6"/>
        <v>-149.95</v>
      </c>
      <c r="N10" s="42">
        <f t="shared" si="7"/>
        <v>-2.726363636</v>
      </c>
      <c r="O10" s="43"/>
      <c r="P10" s="44">
        <f t="shared" si="8"/>
        <v>0</v>
      </c>
      <c r="Q10" s="45">
        <f t="shared" si="9"/>
        <v>0</v>
      </c>
      <c r="R10" s="45">
        <f t="shared" si="13"/>
        <v>0</v>
      </c>
      <c r="S10" s="45">
        <f t="shared" si="14"/>
        <v>0</v>
      </c>
      <c r="T10" s="45">
        <f t="shared" si="10"/>
        <v>0</v>
      </c>
      <c r="U10" s="45">
        <f t="shared" si="11"/>
        <v>0</v>
      </c>
      <c r="V10" s="45">
        <f t="shared" si="12"/>
        <v>0</v>
      </c>
      <c r="W10" s="33"/>
      <c r="X10" s="33"/>
      <c r="Y10" s="33"/>
      <c r="Z10" s="33"/>
    </row>
    <row r="11" ht="16.5" customHeight="1">
      <c r="A11" s="46"/>
      <c r="B11" s="46" t="s">
        <v>119</v>
      </c>
      <c r="C11" s="46"/>
      <c r="D11" s="35">
        <v>120.0</v>
      </c>
      <c r="E11" s="36">
        <v>1.0</v>
      </c>
      <c r="F11" s="37"/>
      <c r="G11" s="38">
        <f t="shared" si="1"/>
        <v>1500</v>
      </c>
      <c r="H11" s="37">
        <f t="shared" si="2"/>
        <v>1500</v>
      </c>
      <c r="I11" s="39">
        <v>7000.0</v>
      </c>
      <c r="J11" s="40">
        <f t="shared" si="3"/>
        <v>350</v>
      </c>
      <c r="K11" s="40">
        <f t="shared" si="4"/>
        <v>1155</v>
      </c>
      <c r="L11" s="40">
        <f t="shared" si="5"/>
        <v>45</v>
      </c>
      <c r="M11" s="41">
        <f t="shared" si="6"/>
        <v>3950</v>
      </c>
      <c r="N11" s="42">
        <f t="shared" si="7"/>
        <v>0.5642857143</v>
      </c>
      <c r="O11" s="43"/>
      <c r="P11" s="44">
        <f t="shared" si="8"/>
        <v>0</v>
      </c>
      <c r="Q11" s="45">
        <f t="shared" si="9"/>
        <v>0</v>
      </c>
      <c r="R11" s="45">
        <f t="shared" si="13"/>
        <v>0</v>
      </c>
      <c r="S11" s="45">
        <f t="shared" si="14"/>
        <v>0</v>
      </c>
      <c r="T11" s="45">
        <f t="shared" si="10"/>
        <v>0</v>
      </c>
      <c r="U11" s="45">
        <f t="shared" si="11"/>
        <v>0</v>
      </c>
      <c r="V11" s="45">
        <f t="shared" si="12"/>
        <v>0</v>
      </c>
      <c r="W11" s="33"/>
      <c r="X11" s="33"/>
      <c r="Y11" s="33"/>
      <c r="Z11" s="33"/>
    </row>
    <row r="12" ht="16.5" customHeight="1">
      <c r="A12" s="46"/>
      <c r="B12" s="46" t="s">
        <v>120</v>
      </c>
      <c r="C12" s="46"/>
      <c r="D12" s="35">
        <v>60.0</v>
      </c>
      <c r="E12" s="36">
        <v>1.0</v>
      </c>
      <c r="F12" s="37"/>
      <c r="G12" s="38">
        <f t="shared" si="1"/>
        <v>750</v>
      </c>
      <c r="H12" s="37">
        <f t="shared" si="2"/>
        <v>750</v>
      </c>
      <c r="I12" s="39">
        <v>7000.0</v>
      </c>
      <c r="J12" s="40">
        <f t="shared" si="3"/>
        <v>350</v>
      </c>
      <c r="K12" s="40">
        <f t="shared" si="4"/>
        <v>1155</v>
      </c>
      <c r="L12" s="40">
        <f t="shared" si="5"/>
        <v>22.5</v>
      </c>
      <c r="M12" s="41">
        <f t="shared" si="6"/>
        <v>4722.5</v>
      </c>
      <c r="N12" s="42">
        <f t="shared" si="7"/>
        <v>0.6746428571</v>
      </c>
      <c r="O12" s="43"/>
      <c r="P12" s="44">
        <f t="shared" si="8"/>
        <v>0</v>
      </c>
      <c r="Q12" s="45">
        <f t="shared" si="9"/>
        <v>0</v>
      </c>
      <c r="R12" s="45">
        <f t="shared" si="13"/>
        <v>0</v>
      </c>
      <c r="S12" s="45">
        <f t="shared" si="14"/>
        <v>0</v>
      </c>
      <c r="T12" s="45">
        <f t="shared" si="10"/>
        <v>0</v>
      </c>
      <c r="U12" s="45">
        <f t="shared" si="11"/>
        <v>0</v>
      </c>
      <c r="V12" s="45">
        <f t="shared" si="12"/>
        <v>0</v>
      </c>
      <c r="W12" s="33"/>
      <c r="X12" s="33"/>
      <c r="Y12" s="33"/>
      <c r="Z12" s="33"/>
    </row>
    <row r="13" ht="16.5" customHeight="1">
      <c r="A13" s="46">
        <v>3.0101107E7</v>
      </c>
      <c r="B13" s="46" t="s">
        <v>121</v>
      </c>
      <c r="C13" s="46"/>
      <c r="D13" s="35">
        <v>30.0</v>
      </c>
      <c r="E13" s="36">
        <v>1.0</v>
      </c>
      <c r="F13" s="37"/>
      <c r="G13" s="38">
        <f t="shared" si="1"/>
        <v>375</v>
      </c>
      <c r="H13" s="37">
        <f t="shared" si="2"/>
        <v>375</v>
      </c>
      <c r="I13" s="39">
        <v>850.0</v>
      </c>
      <c r="J13" s="40">
        <f t="shared" si="3"/>
        <v>42.5</v>
      </c>
      <c r="K13" s="40">
        <f t="shared" si="4"/>
        <v>140.25</v>
      </c>
      <c r="L13" s="40">
        <f t="shared" si="5"/>
        <v>11.25</v>
      </c>
      <c r="M13" s="41">
        <f t="shared" si="6"/>
        <v>281</v>
      </c>
      <c r="N13" s="42">
        <f t="shared" si="7"/>
        <v>0.3305882353</v>
      </c>
      <c r="O13" s="43"/>
      <c r="P13" s="44">
        <f t="shared" si="8"/>
        <v>0</v>
      </c>
      <c r="Q13" s="45">
        <f t="shared" si="9"/>
        <v>0</v>
      </c>
      <c r="R13" s="45">
        <f t="shared" si="13"/>
        <v>0</v>
      </c>
      <c r="S13" s="45">
        <f t="shared" si="14"/>
        <v>0</v>
      </c>
      <c r="T13" s="45">
        <f t="shared" si="10"/>
        <v>0</v>
      </c>
      <c r="U13" s="45">
        <f t="shared" si="11"/>
        <v>0</v>
      </c>
      <c r="V13" s="45">
        <f t="shared" si="12"/>
        <v>0</v>
      </c>
      <c r="W13" s="33"/>
      <c r="X13" s="33"/>
      <c r="Y13" s="33"/>
      <c r="Z13" s="33"/>
    </row>
    <row r="14" ht="16.5" customHeight="1">
      <c r="A14" s="46"/>
      <c r="B14" s="46" t="s">
        <v>122</v>
      </c>
      <c r="C14" s="46"/>
      <c r="D14" s="35">
        <v>60.0</v>
      </c>
      <c r="E14" s="36">
        <v>1.0</v>
      </c>
      <c r="F14" s="37"/>
      <c r="G14" s="38">
        <f t="shared" si="1"/>
        <v>750</v>
      </c>
      <c r="H14" s="37">
        <f t="shared" si="2"/>
        <v>750</v>
      </c>
      <c r="I14" s="39">
        <v>680.0</v>
      </c>
      <c r="J14" s="40">
        <f t="shared" si="3"/>
        <v>34</v>
      </c>
      <c r="K14" s="40">
        <f t="shared" si="4"/>
        <v>112.2</v>
      </c>
      <c r="L14" s="40">
        <f t="shared" si="5"/>
        <v>22.5</v>
      </c>
      <c r="M14" s="41">
        <f t="shared" si="6"/>
        <v>-238.7</v>
      </c>
      <c r="N14" s="42">
        <f t="shared" si="7"/>
        <v>-0.3510294118</v>
      </c>
      <c r="O14" s="43"/>
      <c r="P14" s="44">
        <f t="shared" si="8"/>
        <v>0</v>
      </c>
      <c r="Q14" s="45">
        <f t="shared" si="9"/>
        <v>0</v>
      </c>
      <c r="R14" s="45">
        <f t="shared" si="13"/>
        <v>0</v>
      </c>
      <c r="S14" s="45">
        <f t="shared" si="14"/>
        <v>0</v>
      </c>
      <c r="T14" s="45">
        <f t="shared" si="10"/>
        <v>0</v>
      </c>
      <c r="U14" s="45">
        <f t="shared" si="11"/>
        <v>0</v>
      </c>
      <c r="V14" s="45">
        <f t="shared" si="12"/>
        <v>0</v>
      </c>
      <c r="W14" s="33"/>
      <c r="X14" s="33"/>
      <c r="Y14" s="33"/>
      <c r="Z14" s="33"/>
    </row>
    <row r="15" ht="16.5" customHeight="1">
      <c r="A15" s="46"/>
      <c r="B15" s="46" t="s">
        <v>123</v>
      </c>
      <c r="C15" s="46"/>
      <c r="D15" s="35">
        <v>60.0</v>
      </c>
      <c r="E15" s="36">
        <v>1.0</v>
      </c>
      <c r="F15" s="37"/>
      <c r="G15" s="38">
        <f t="shared" si="1"/>
        <v>750</v>
      </c>
      <c r="H15" s="37">
        <f t="shared" si="2"/>
        <v>750</v>
      </c>
      <c r="I15" s="39">
        <v>720.0</v>
      </c>
      <c r="J15" s="40">
        <f t="shared" si="3"/>
        <v>36</v>
      </c>
      <c r="K15" s="40">
        <f t="shared" si="4"/>
        <v>118.8</v>
      </c>
      <c r="L15" s="40">
        <f t="shared" si="5"/>
        <v>22.5</v>
      </c>
      <c r="M15" s="41">
        <f t="shared" si="6"/>
        <v>-207.3</v>
      </c>
      <c r="N15" s="42">
        <f t="shared" si="7"/>
        <v>-0.2879166667</v>
      </c>
      <c r="O15" s="43"/>
      <c r="P15" s="44">
        <f t="shared" si="8"/>
        <v>0</v>
      </c>
      <c r="Q15" s="45">
        <f t="shared" si="9"/>
        <v>0</v>
      </c>
      <c r="R15" s="45">
        <f t="shared" si="13"/>
        <v>0</v>
      </c>
      <c r="S15" s="45">
        <f t="shared" si="14"/>
        <v>0</v>
      </c>
      <c r="T15" s="45">
        <f t="shared" si="10"/>
        <v>0</v>
      </c>
      <c r="U15" s="45">
        <f t="shared" si="11"/>
        <v>0</v>
      </c>
      <c r="V15" s="45">
        <f t="shared" si="12"/>
        <v>0</v>
      </c>
      <c r="W15" s="33"/>
      <c r="X15" s="33"/>
      <c r="Y15" s="33"/>
      <c r="Z15" s="33"/>
    </row>
    <row r="16" ht="16.5" customHeight="1">
      <c r="A16" s="46"/>
      <c r="B16" s="46" t="s">
        <v>124</v>
      </c>
      <c r="C16" s="46"/>
      <c r="D16" s="35">
        <v>60.0</v>
      </c>
      <c r="E16" s="36">
        <v>1.0</v>
      </c>
      <c r="F16" s="37"/>
      <c r="G16" s="38">
        <f t="shared" si="1"/>
        <v>750</v>
      </c>
      <c r="H16" s="37">
        <f t="shared" si="2"/>
        <v>750</v>
      </c>
      <c r="I16" s="39">
        <v>720.0</v>
      </c>
      <c r="J16" s="40">
        <f t="shared" si="3"/>
        <v>36</v>
      </c>
      <c r="K16" s="40">
        <f t="shared" si="4"/>
        <v>118.8</v>
      </c>
      <c r="L16" s="40">
        <f t="shared" si="5"/>
        <v>22.5</v>
      </c>
      <c r="M16" s="41">
        <f t="shared" si="6"/>
        <v>-207.3</v>
      </c>
      <c r="N16" s="42">
        <f t="shared" si="7"/>
        <v>-0.2879166667</v>
      </c>
      <c r="O16" s="43"/>
      <c r="P16" s="44">
        <f t="shared" si="8"/>
        <v>0</v>
      </c>
      <c r="Q16" s="45">
        <f t="shared" si="9"/>
        <v>0</v>
      </c>
      <c r="R16" s="45">
        <f t="shared" si="13"/>
        <v>0</v>
      </c>
      <c r="S16" s="45">
        <f t="shared" si="14"/>
        <v>0</v>
      </c>
      <c r="T16" s="45">
        <f t="shared" si="10"/>
        <v>0</v>
      </c>
      <c r="U16" s="45">
        <f t="shared" si="11"/>
        <v>0</v>
      </c>
      <c r="V16" s="45">
        <f t="shared" si="12"/>
        <v>0</v>
      </c>
      <c r="W16" s="33"/>
      <c r="X16" s="33"/>
      <c r="Y16" s="33"/>
      <c r="Z16" s="33"/>
    </row>
    <row r="17" ht="16.5" customHeight="1">
      <c r="A17" s="34"/>
      <c r="B17" s="34" t="s">
        <v>125</v>
      </c>
      <c r="C17" s="34"/>
      <c r="D17" s="35">
        <v>30.0</v>
      </c>
      <c r="E17" s="36">
        <v>1.0</v>
      </c>
      <c r="F17" s="37"/>
      <c r="G17" s="38">
        <f t="shared" si="1"/>
        <v>375</v>
      </c>
      <c r="H17" s="37">
        <f t="shared" si="2"/>
        <v>375</v>
      </c>
      <c r="I17" s="39">
        <v>650.0</v>
      </c>
      <c r="J17" s="40">
        <f t="shared" si="3"/>
        <v>32.5</v>
      </c>
      <c r="K17" s="40">
        <f t="shared" si="4"/>
        <v>107.25</v>
      </c>
      <c r="L17" s="40">
        <f t="shared" si="5"/>
        <v>11.25</v>
      </c>
      <c r="M17" s="41">
        <f t="shared" si="6"/>
        <v>124</v>
      </c>
      <c r="N17" s="42">
        <f t="shared" si="7"/>
        <v>0.1907692308</v>
      </c>
      <c r="O17" s="43"/>
      <c r="P17" s="44">
        <f t="shared" si="8"/>
        <v>0</v>
      </c>
      <c r="Q17" s="45">
        <f t="shared" si="9"/>
        <v>0</v>
      </c>
      <c r="R17" s="45">
        <f t="shared" si="13"/>
        <v>0</v>
      </c>
      <c r="S17" s="45">
        <f t="shared" si="14"/>
        <v>0</v>
      </c>
      <c r="T17" s="45">
        <f t="shared" si="10"/>
        <v>0</v>
      </c>
      <c r="U17" s="45">
        <f t="shared" si="11"/>
        <v>0</v>
      </c>
      <c r="V17" s="45">
        <f t="shared" si="12"/>
        <v>0</v>
      </c>
      <c r="W17" s="33"/>
      <c r="X17" s="33"/>
      <c r="Y17" s="33"/>
      <c r="Z17" s="33"/>
    </row>
    <row r="18" ht="16.5" customHeight="1">
      <c r="A18" s="46"/>
      <c r="B18" s="46" t="s">
        <v>126</v>
      </c>
      <c r="C18" s="46"/>
      <c r="D18" s="35">
        <v>60.0</v>
      </c>
      <c r="E18" s="36">
        <v>1.0</v>
      </c>
      <c r="F18" s="37"/>
      <c r="G18" s="38">
        <f t="shared" si="1"/>
        <v>750</v>
      </c>
      <c r="H18" s="37">
        <f t="shared" si="2"/>
        <v>750</v>
      </c>
      <c r="I18" s="39">
        <v>450.0</v>
      </c>
      <c r="J18" s="40">
        <f t="shared" si="3"/>
        <v>22.5</v>
      </c>
      <c r="K18" s="40">
        <f t="shared" si="4"/>
        <v>74.25</v>
      </c>
      <c r="L18" s="40">
        <f t="shared" si="5"/>
        <v>22.5</v>
      </c>
      <c r="M18" s="41">
        <f t="shared" si="6"/>
        <v>-419.25</v>
      </c>
      <c r="N18" s="42">
        <f t="shared" si="7"/>
        <v>-0.9316666667</v>
      </c>
      <c r="O18" s="43"/>
      <c r="P18" s="44">
        <f t="shared" si="8"/>
        <v>0</v>
      </c>
      <c r="Q18" s="45">
        <f t="shared" si="9"/>
        <v>0</v>
      </c>
      <c r="R18" s="45">
        <f t="shared" si="13"/>
        <v>0</v>
      </c>
      <c r="S18" s="45">
        <f t="shared" si="14"/>
        <v>0</v>
      </c>
      <c r="T18" s="45">
        <f t="shared" si="10"/>
        <v>0</v>
      </c>
      <c r="U18" s="45">
        <f t="shared" si="11"/>
        <v>0</v>
      </c>
      <c r="V18" s="45">
        <f t="shared" si="12"/>
        <v>0</v>
      </c>
      <c r="W18" s="33"/>
      <c r="X18" s="33"/>
      <c r="Y18" s="33"/>
      <c r="Z18" s="33"/>
    </row>
    <row r="19" ht="16.5" customHeight="1">
      <c r="A19" s="46"/>
      <c r="B19" s="46" t="s">
        <v>127</v>
      </c>
      <c r="C19" s="46"/>
      <c r="D19" s="35">
        <v>35.0</v>
      </c>
      <c r="E19" s="36">
        <v>1.0</v>
      </c>
      <c r="F19" s="37">
        <v>506.29</v>
      </c>
      <c r="G19" s="38">
        <f t="shared" si="1"/>
        <v>437.5</v>
      </c>
      <c r="H19" s="37">
        <f t="shared" si="2"/>
        <v>943.79</v>
      </c>
      <c r="I19" s="39">
        <v>2500.0</v>
      </c>
      <c r="J19" s="40">
        <f t="shared" si="3"/>
        <v>125</v>
      </c>
      <c r="K19" s="40">
        <f t="shared" si="4"/>
        <v>412.5</v>
      </c>
      <c r="L19" s="40">
        <f t="shared" si="5"/>
        <v>28.3137</v>
      </c>
      <c r="M19" s="41">
        <f t="shared" si="6"/>
        <v>990.3963</v>
      </c>
      <c r="N19" s="42">
        <f t="shared" si="7"/>
        <v>0.39615852</v>
      </c>
      <c r="O19" s="43"/>
      <c r="P19" s="44">
        <f t="shared" si="8"/>
        <v>0</v>
      </c>
      <c r="Q19" s="45">
        <f t="shared" si="9"/>
        <v>0</v>
      </c>
      <c r="R19" s="45">
        <f t="shared" si="13"/>
        <v>0</v>
      </c>
      <c r="S19" s="45">
        <f t="shared" si="14"/>
        <v>0</v>
      </c>
      <c r="T19" s="45">
        <f t="shared" si="10"/>
        <v>0</v>
      </c>
      <c r="U19" s="45">
        <f t="shared" si="11"/>
        <v>0</v>
      </c>
      <c r="V19" s="45">
        <f t="shared" si="12"/>
        <v>0</v>
      </c>
      <c r="W19" s="33"/>
      <c r="X19" s="33"/>
      <c r="Y19" s="33"/>
      <c r="Z19" s="33"/>
    </row>
    <row r="20" ht="16.5" customHeight="1">
      <c r="A20" s="46"/>
      <c r="B20" s="46" t="s">
        <v>128</v>
      </c>
      <c r="C20" s="46"/>
      <c r="D20" s="35">
        <v>45.0</v>
      </c>
      <c r="E20" s="36">
        <v>1.0</v>
      </c>
      <c r="F20" s="37">
        <v>1222.29</v>
      </c>
      <c r="G20" s="38">
        <f t="shared" si="1"/>
        <v>562.5</v>
      </c>
      <c r="H20" s="37">
        <f t="shared" si="2"/>
        <v>1784.79</v>
      </c>
      <c r="I20" s="39">
        <v>2700.0</v>
      </c>
      <c r="J20" s="40">
        <f t="shared" si="3"/>
        <v>135</v>
      </c>
      <c r="K20" s="40">
        <f t="shared" si="4"/>
        <v>445.5</v>
      </c>
      <c r="L20" s="40">
        <f t="shared" si="5"/>
        <v>53.5437</v>
      </c>
      <c r="M20" s="41">
        <f t="shared" si="6"/>
        <v>281.1663</v>
      </c>
      <c r="N20" s="42">
        <f t="shared" si="7"/>
        <v>0.1041356667</v>
      </c>
      <c r="O20" s="43"/>
      <c r="P20" s="44">
        <f t="shared" si="8"/>
        <v>0</v>
      </c>
      <c r="Q20" s="45">
        <f t="shared" si="9"/>
        <v>0</v>
      </c>
      <c r="R20" s="45">
        <f t="shared" si="13"/>
        <v>0</v>
      </c>
      <c r="S20" s="45">
        <f t="shared" si="14"/>
        <v>0</v>
      </c>
      <c r="T20" s="45">
        <f t="shared" si="10"/>
        <v>0</v>
      </c>
      <c r="U20" s="45">
        <f t="shared" si="11"/>
        <v>0</v>
      </c>
      <c r="V20" s="45">
        <f t="shared" si="12"/>
        <v>0</v>
      </c>
      <c r="W20" s="33"/>
      <c r="X20" s="33"/>
      <c r="Y20" s="33"/>
      <c r="Z20" s="33"/>
    </row>
    <row r="21" ht="16.5" customHeight="1">
      <c r="A21" s="46"/>
      <c r="B21" s="46" t="s">
        <v>129</v>
      </c>
      <c r="C21" s="46"/>
      <c r="D21" s="35">
        <v>45.0</v>
      </c>
      <c r="E21" s="36">
        <v>1.0</v>
      </c>
      <c r="F21" s="37">
        <v>559.79</v>
      </c>
      <c r="G21" s="38">
        <f t="shared" si="1"/>
        <v>562.5</v>
      </c>
      <c r="H21" s="37">
        <f t="shared" si="2"/>
        <v>1122.29</v>
      </c>
      <c r="I21" s="39">
        <v>2500.0</v>
      </c>
      <c r="J21" s="40">
        <f t="shared" si="3"/>
        <v>125</v>
      </c>
      <c r="K21" s="40">
        <f t="shared" si="4"/>
        <v>412.5</v>
      </c>
      <c r="L21" s="40">
        <f t="shared" si="5"/>
        <v>33.6687</v>
      </c>
      <c r="M21" s="41">
        <f t="shared" si="6"/>
        <v>806.5413</v>
      </c>
      <c r="N21" s="42">
        <f t="shared" si="7"/>
        <v>0.32261652</v>
      </c>
      <c r="O21" s="43"/>
      <c r="P21" s="44">
        <f t="shared" si="8"/>
        <v>0</v>
      </c>
      <c r="Q21" s="45">
        <f t="shared" si="9"/>
        <v>0</v>
      </c>
      <c r="R21" s="45">
        <f t="shared" si="13"/>
        <v>0</v>
      </c>
      <c r="S21" s="45">
        <f t="shared" si="14"/>
        <v>0</v>
      </c>
      <c r="T21" s="45">
        <f t="shared" si="10"/>
        <v>0</v>
      </c>
      <c r="U21" s="45">
        <f t="shared" si="11"/>
        <v>0</v>
      </c>
      <c r="V21" s="45">
        <f t="shared" si="12"/>
        <v>0</v>
      </c>
      <c r="W21" s="33"/>
      <c r="X21" s="33"/>
      <c r="Y21" s="33"/>
      <c r="Z21" s="33"/>
    </row>
    <row r="22" ht="16.5" customHeight="1">
      <c r="A22" s="46"/>
      <c r="B22" s="46" t="s">
        <v>130</v>
      </c>
      <c r="C22" s="46"/>
      <c r="D22" s="35">
        <v>75.0</v>
      </c>
      <c r="E22" s="36">
        <v>1.0</v>
      </c>
      <c r="F22" s="37">
        <v>284.77</v>
      </c>
      <c r="G22" s="38">
        <f t="shared" si="1"/>
        <v>937.5</v>
      </c>
      <c r="H22" s="37">
        <f t="shared" si="2"/>
        <v>1222.27</v>
      </c>
      <c r="I22" s="39">
        <v>2500.0</v>
      </c>
      <c r="J22" s="40">
        <f t="shared" si="3"/>
        <v>125</v>
      </c>
      <c r="K22" s="40">
        <f t="shared" si="4"/>
        <v>412.5</v>
      </c>
      <c r="L22" s="40">
        <f t="shared" si="5"/>
        <v>36.6681</v>
      </c>
      <c r="M22" s="41">
        <f t="shared" si="6"/>
        <v>703.5619</v>
      </c>
      <c r="N22" s="42">
        <f t="shared" si="7"/>
        <v>0.28142476</v>
      </c>
      <c r="O22" s="43"/>
      <c r="P22" s="44">
        <f t="shared" si="8"/>
        <v>0</v>
      </c>
      <c r="Q22" s="45">
        <f t="shared" si="9"/>
        <v>0</v>
      </c>
      <c r="R22" s="45">
        <f t="shared" si="13"/>
        <v>0</v>
      </c>
      <c r="S22" s="45">
        <f t="shared" si="14"/>
        <v>0</v>
      </c>
      <c r="T22" s="45">
        <f t="shared" si="10"/>
        <v>0</v>
      </c>
      <c r="U22" s="45">
        <f t="shared" si="11"/>
        <v>0</v>
      </c>
      <c r="V22" s="45">
        <f t="shared" si="12"/>
        <v>0</v>
      </c>
      <c r="W22" s="33"/>
      <c r="X22" s="33"/>
      <c r="Y22" s="33"/>
      <c r="Z22" s="33"/>
    </row>
    <row r="23" ht="16.5" customHeight="1">
      <c r="A23" s="46"/>
      <c r="B23" s="46" t="s">
        <v>131</v>
      </c>
      <c r="C23" s="46"/>
      <c r="D23" s="35">
        <v>40.0</v>
      </c>
      <c r="E23" s="36">
        <v>1.0</v>
      </c>
      <c r="F23" s="37"/>
      <c r="G23" s="38">
        <f t="shared" si="1"/>
        <v>500</v>
      </c>
      <c r="H23" s="37">
        <f t="shared" si="2"/>
        <v>500</v>
      </c>
      <c r="I23" s="39">
        <v>1200.0</v>
      </c>
      <c r="J23" s="40">
        <f t="shared" si="3"/>
        <v>60</v>
      </c>
      <c r="K23" s="40">
        <f t="shared" si="4"/>
        <v>198</v>
      </c>
      <c r="L23" s="40">
        <f t="shared" si="5"/>
        <v>15</v>
      </c>
      <c r="M23" s="41">
        <f t="shared" si="6"/>
        <v>427</v>
      </c>
      <c r="N23" s="42">
        <f t="shared" si="7"/>
        <v>0.3558333333</v>
      </c>
      <c r="O23" s="43"/>
      <c r="P23" s="44">
        <f t="shared" si="8"/>
        <v>0</v>
      </c>
      <c r="Q23" s="45">
        <f t="shared" si="9"/>
        <v>0</v>
      </c>
      <c r="R23" s="45">
        <f t="shared" si="13"/>
        <v>0</v>
      </c>
      <c r="S23" s="45">
        <f t="shared" si="14"/>
        <v>0</v>
      </c>
      <c r="T23" s="45">
        <f t="shared" si="10"/>
        <v>0</v>
      </c>
      <c r="U23" s="45">
        <f t="shared" si="11"/>
        <v>0</v>
      </c>
      <c r="V23" s="45">
        <f t="shared" si="12"/>
        <v>0</v>
      </c>
      <c r="W23" s="33"/>
      <c r="X23" s="33"/>
      <c r="Y23" s="33"/>
      <c r="Z23" s="33"/>
    </row>
    <row r="24" ht="16.5" customHeight="1">
      <c r="A24" s="46"/>
      <c r="B24" s="46" t="s">
        <v>132</v>
      </c>
      <c r="C24" s="46"/>
      <c r="D24" s="35">
        <v>90.0</v>
      </c>
      <c r="E24" s="36">
        <v>1.0</v>
      </c>
      <c r="F24" s="37"/>
      <c r="G24" s="38">
        <f t="shared" si="1"/>
        <v>1125</v>
      </c>
      <c r="H24" s="37">
        <f t="shared" si="2"/>
        <v>1125</v>
      </c>
      <c r="I24" s="39">
        <v>3500.0</v>
      </c>
      <c r="J24" s="40">
        <f t="shared" si="3"/>
        <v>175</v>
      </c>
      <c r="K24" s="40">
        <f t="shared" si="4"/>
        <v>577.5</v>
      </c>
      <c r="L24" s="40">
        <f t="shared" si="5"/>
        <v>33.75</v>
      </c>
      <c r="M24" s="41">
        <f t="shared" si="6"/>
        <v>1588.75</v>
      </c>
      <c r="N24" s="42">
        <f t="shared" si="7"/>
        <v>0.4539285714</v>
      </c>
      <c r="O24" s="43"/>
      <c r="P24" s="44">
        <f t="shared" si="8"/>
        <v>0</v>
      </c>
      <c r="Q24" s="45">
        <f t="shared" si="9"/>
        <v>0</v>
      </c>
      <c r="R24" s="45">
        <f t="shared" si="13"/>
        <v>0</v>
      </c>
      <c r="S24" s="45">
        <f t="shared" si="14"/>
        <v>0</v>
      </c>
      <c r="T24" s="45">
        <f t="shared" si="10"/>
        <v>0</v>
      </c>
      <c r="U24" s="45">
        <f t="shared" si="11"/>
        <v>0</v>
      </c>
      <c r="V24" s="45">
        <f t="shared" si="12"/>
        <v>0</v>
      </c>
      <c r="W24" s="33"/>
      <c r="X24" s="33"/>
      <c r="Y24" s="33"/>
      <c r="Z24" s="33"/>
    </row>
    <row r="25" ht="16.5" customHeight="1">
      <c r="A25" s="46"/>
      <c r="B25" s="46" t="s">
        <v>133</v>
      </c>
      <c r="C25" s="46"/>
      <c r="D25" s="35">
        <v>20.0</v>
      </c>
      <c r="E25" s="36">
        <v>1.0</v>
      </c>
      <c r="F25" s="37"/>
      <c r="G25" s="38">
        <f t="shared" si="1"/>
        <v>250</v>
      </c>
      <c r="H25" s="37">
        <f t="shared" si="2"/>
        <v>250</v>
      </c>
      <c r="I25" s="39">
        <v>750.0</v>
      </c>
      <c r="J25" s="40">
        <f t="shared" si="3"/>
        <v>37.5</v>
      </c>
      <c r="K25" s="40">
        <f t="shared" si="4"/>
        <v>123.75</v>
      </c>
      <c r="L25" s="40">
        <f t="shared" si="5"/>
        <v>7.5</v>
      </c>
      <c r="M25" s="41">
        <f t="shared" si="6"/>
        <v>331.25</v>
      </c>
      <c r="N25" s="42">
        <f t="shared" si="7"/>
        <v>0.4416666667</v>
      </c>
      <c r="O25" s="43"/>
      <c r="P25" s="44">
        <f t="shared" si="8"/>
        <v>0</v>
      </c>
      <c r="Q25" s="45">
        <f t="shared" si="9"/>
        <v>0</v>
      </c>
      <c r="R25" s="45">
        <f t="shared" si="13"/>
        <v>0</v>
      </c>
      <c r="S25" s="45">
        <f t="shared" si="14"/>
        <v>0</v>
      </c>
      <c r="T25" s="45">
        <f t="shared" si="10"/>
        <v>0</v>
      </c>
      <c r="U25" s="45">
        <f t="shared" si="11"/>
        <v>0</v>
      </c>
      <c r="V25" s="45">
        <f t="shared" si="12"/>
        <v>0</v>
      </c>
      <c r="W25" s="33"/>
      <c r="X25" s="33"/>
      <c r="Y25" s="33"/>
      <c r="Z25" s="33"/>
    </row>
    <row r="26" ht="16.5" customHeight="1">
      <c r="A26" s="46"/>
      <c r="B26" s="46" t="s">
        <v>134</v>
      </c>
      <c r="C26" s="46"/>
      <c r="D26" s="35">
        <v>30.0</v>
      </c>
      <c r="E26" s="36">
        <v>1.0</v>
      </c>
      <c r="F26" s="37"/>
      <c r="G26" s="38">
        <f t="shared" si="1"/>
        <v>375</v>
      </c>
      <c r="H26" s="37">
        <f t="shared" si="2"/>
        <v>375</v>
      </c>
      <c r="I26" s="39">
        <v>850.0</v>
      </c>
      <c r="J26" s="40">
        <f t="shared" si="3"/>
        <v>42.5</v>
      </c>
      <c r="K26" s="40">
        <f t="shared" si="4"/>
        <v>140.25</v>
      </c>
      <c r="L26" s="40">
        <f t="shared" si="5"/>
        <v>11.25</v>
      </c>
      <c r="M26" s="41">
        <f t="shared" si="6"/>
        <v>281</v>
      </c>
      <c r="N26" s="42">
        <f t="shared" si="7"/>
        <v>0.3305882353</v>
      </c>
      <c r="O26" s="43"/>
      <c r="P26" s="44">
        <f t="shared" si="8"/>
        <v>0</v>
      </c>
      <c r="Q26" s="45">
        <f t="shared" si="9"/>
        <v>0</v>
      </c>
      <c r="R26" s="45">
        <f t="shared" si="13"/>
        <v>0</v>
      </c>
      <c r="S26" s="45">
        <f t="shared" si="14"/>
        <v>0</v>
      </c>
      <c r="T26" s="45">
        <f t="shared" si="10"/>
        <v>0</v>
      </c>
      <c r="U26" s="45">
        <f t="shared" si="11"/>
        <v>0</v>
      </c>
      <c r="V26" s="45">
        <f t="shared" si="12"/>
        <v>0</v>
      </c>
      <c r="W26" s="33"/>
      <c r="X26" s="33"/>
      <c r="Y26" s="33"/>
      <c r="Z26" s="33"/>
    </row>
    <row r="27" ht="16.5" customHeight="1">
      <c r="A27" s="46"/>
      <c r="B27" s="46" t="s">
        <v>135</v>
      </c>
      <c r="C27" s="46"/>
      <c r="D27" s="35">
        <v>30.0</v>
      </c>
      <c r="E27" s="36">
        <v>1.0</v>
      </c>
      <c r="F27" s="37"/>
      <c r="G27" s="38">
        <f t="shared" si="1"/>
        <v>375</v>
      </c>
      <c r="H27" s="37">
        <f t="shared" si="2"/>
        <v>375</v>
      </c>
      <c r="I27" s="39">
        <v>800.0</v>
      </c>
      <c r="J27" s="40">
        <f t="shared" si="3"/>
        <v>40</v>
      </c>
      <c r="K27" s="40">
        <f t="shared" si="4"/>
        <v>132</v>
      </c>
      <c r="L27" s="40">
        <f t="shared" si="5"/>
        <v>11.25</v>
      </c>
      <c r="M27" s="41">
        <f t="shared" si="6"/>
        <v>241.75</v>
      </c>
      <c r="N27" s="42">
        <f t="shared" si="7"/>
        <v>0.3021875</v>
      </c>
      <c r="O27" s="43"/>
      <c r="P27" s="44">
        <f t="shared" si="8"/>
        <v>0</v>
      </c>
      <c r="Q27" s="45">
        <f t="shared" si="9"/>
        <v>0</v>
      </c>
      <c r="R27" s="45">
        <f t="shared" si="13"/>
        <v>0</v>
      </c>
      <c r="S27" s="45">
        <f t="shared" si="14"/>
        <v>0</v>
      </c>
      <c r="T27" s="45">
        <f t="shared" si="10"/>
        <v>0</v>
      </c>
      <c r="U27" s="45">
        <f t="shared" si="11"/>
        <v>0</v>
      </c>
      <c r="V27" s="45">
        <f t="shared" si="12"/>
        <v>0</v>
      </c>
      <c r="W27" s="33"/>
      <c r="X27" s="33"/>
      <c r="Y27" s="33"/>
      <c r="Z27" s="33"/>
    </row>
    <row r="28" ht="16.5" customHeight="1">
      <c r="A28" s="46">
        <v>2.0104103E7</v>
      </c>
      <c r="B28" s="46" t="s">
        <v>136</v>
      </c>
      <c r="C28" s="46"/>
      <c r="D28" s="35">
        <v>30.0</v>
      </c>
      <c r="E28" s="36">
        <v>1.0</v>
      </c>
      <c r="F28" s="37"/>
      <c r="G28" s="38">
        <f t="shared" si="1"/>
        <v>375</v>
      </c>
      <c r="H28" s="37">
        <f t="shared" si="2"/>
        <v>375</v>
      </c>
      <c r="I28" s="39">
        <v>19.0</v>
      </c>
      <c r="J28" s="40">
        <f t="shared" si="3"/>
        <v>0.95</v>
      </c>
      <c r="K28" s="40">
        <f t="shared" si="4"/>
        <v>3.135</v>
      </c>
      <c r="L28" s="40">
        <f t="shared" si="5"/>
        <v>11.25</v>
      </c>
      <c r="M28" s="41">
        <f t="shared" si="6"/>
        <v>-371.335</v>
      </c>
      <c r="N28" s="42">
        <f t="shared" si="7"/>
        <v>-19.54394737</v>
      </c>
      <c r="O28" s="43"/>
      <c r="P28" s="44">
        <f t="shared" si="8"/>
        <v>0</v>
      </c>
      <c r="Q28" s="45">
        <f t="shared" si="9"/>
        <v>0</v>
      </c>
      <c r="R28" s="45">
        <f t="shared" si="13"/>
        <v>0</v>
      </c>
      <c r="S28" s="45">
        <f t="shared" si="14"/>
        <v>0</v>
      </c>
      <c r="T28" s="45">
        <f t="shared" si="10"/>
        <v>0</v>
      </c>
      <c r="U28" s="45">
        <f t="shared" si="11"/>
        <v>0</v>
      </c>
      <c r="V28" s="45">
        <f t="shared" si="12"/>
        <v>0</v>
      </c>
      <c r="W28" s="33"/>
      <c r="X28" s="33"/>
      <c r="Y28" s="33"/>
      <c r="Z28" s="33"/>
    </row>
    <row r="29" ht="16.5" customHeight="1">
      <c r="A29" s="46"/>
      <c r="B29" s="46" t="s">
        <v>137</v>
      </c>
      <c r="C29" s="46"/>
      <c r="D29" s="35">
        <v>30.0</v>
      </c>
      <c r="E29" s="36">
        <v>1.0</v>
      </c>
      <c r="F29" s="37"/>
      <c r="G29" s="38">
        <f t="shared" si="1"/>
        <v>375</v>
      </c>
      <c r="H29" s="37">
        <f t="shared" si="2"/>
        <v>375</v>
      </c>
      <c r="I29" s="39">
        <v>1150.0</v>
      </c>
      <c r="J29" s="40">
        <f t="shared" si="3"/>
        <v>57.5</v>
      </c>
      <c r="K29" s="40">
        <f t="shared" si="4"/>
        <v>189.75</v>
      </c>
      <c r="L29" s="40">
        <f t="shared" si="5"/>
        <v>11.25</v>
      </c>
      <c r="M29" s="41">
        <f t="shared" si="6"/>
        <v>516.5</v>
      </c>
      <c r="N29" s="42">
        <f t="shared" si="7"/>
        <v>0.4491304348</v>
      </c>
      <c r="O29" s="43"/>
      <c r="P29" s="44">
        <f t="shared" si="8"/>
        <v>0</v>
      </c>
      <c r="Q29" s="45">
        <f t="shared" si="9"/>
        <v>0</v>
      </c>
      <c r="R29" s="45">
        <f t="shared" si="13"/>
        <v>0</v>
      </c>
      <c r="S29" s="45">
        <f t="shared" si="14"/>
        <v>0</v>
      </c>
      <c r="T29" s="45">
        <f t="shared" si="10"/>
        <v>0</v>
      </c>
      <c r="U29" s="45">
        <f t="shared" si="11"/>
        <v>0</v>
      </c>
      <c r="V29" s="45">
        <f t="shared" si="12"/>
        <v>0</v>
      </c>
      <c r="W29" s="33"/>
      <c r="X29" s="33"/>
      <c r="Y29" s="33"/>
      <c r="Z29" s="33"/>
    </row>
    <row r="30" ht="16.5" customHeight="1">
      <c r="A30" s="46"/>
      <c r="B30" s="46" t="s">
        <v>138</v>
      </c>
      <c r="C30" s="46"/>
      <c r="D30" s="35">
        <v>30.0</v>
      </c>
      <c r="E30" s="36">
        <v>1.0</v>
      </c>
      <c r="F30" s="37"/>
      <c r="G30" s="38">
        <f t="shared" si="1"/>
        <v>375</v>
      </c>
      <c r="H30" s="37">
        <f t="shared" si="2"/>
        <v>375</v>
      </c>
      <c r="I30" s="39">
        <v>850.0</v>
      </c>
      <c r="J30" s="40">
        <f t="shared" si="3"/>
        <v>42.5</v>
      </c>
      <c r="K30" s="40">
        <f t="shared" si="4"/>
        <v>140.25</v>
      </c>
      <c r="L30" s="40">
        <f t="shared" si="5"/>
        <v>11.25</v>
      </c>
      <c r="M30" s="41">
        <f t="shared" si="6"/>
        <v>281</v>
      </c>
      <c r="N30" s="42">
        <f t="shared" si="7"/>
        <v>0.3305882353</v>
      </c>
      <c r="O30" s="43"/>
      <c r="P30" s="44">
        <f t="shared" si="8"/>
        <v>0</v>
      </c>
      <c r="Q30" s="45">
        <f t="shared" si="9"/>
        <v>0</v>
      </c>
      <c r="R30" s="45">
        <f t="shared" si="13"/>
        <v>0</v>
      </c>
      <c r="S30" s="45">
        <f t="shared" si="14"/>
        <v>0</v>
      </c>
      <c r="T30" s="45">
        <f t="shared" si="10"/>
        <v>0</v>
      </c>
      <c r="U30" s="45">
        <f t="shared" si="11"/>
        <v>0</v>
      </c>
      <c r="V30" s="45">
        <f t="shared" si="12"/>
        <v>0</v>
      </c>
      <c r="W30" s="33"/>
      <c r="X30" s="33"/>
      <c r="Y30" s="33"/>
      <c r="Z30" s="33"/>
    </row>
    <row r="31" ht="16.5" customHeight="1">
      <c r="A31" s="34"/>
      <c r="B31" s="34" t="s">
        <v>139</v>
      </c>
      <c r="C31" s="34"/>
      <c r="D31" s="35">
        <v>360.0</v>
      </c>
      <c r="E31" s="36">
        <v>1.0</v>
      </c>
      <c r="F31" s="37"/>
      <c r="G31" s="38">
        <f t="shared" si="1"/>
        <v>4500</v>
      </c>
      <c r="H31" s="37">
        <f t="shared" si="2"/>
        <v>4500</v>
      </c>
      <c r="I31" s="39">
        <v>2300.0</v>
      </c>
      <c r="J31" s="40">
        <f t="shared" si="3"/>
        <v>115</v>
      </c>
      <c r="K31" s="40">
        <f t="shared" si="4"/>
        <v>379.5</v>
      </c>
      <c r="L31" s="40">
        <f t="shared" si="5"/>
        <v>135</v>
      </c>
      <c r="M31" s="41">
        <f t="shared" si="6"/>
        <v>-2829.5</v>
      </c>
      <c r="N31" s="42">
        <f t="shared" si="7"/>
        <v>-1.230217391</v>
      </c>
      <c r="O31" s="43"/>
      <c r="P31" s="44">
        <f t="shared" si="8"/>
        <v>0</v>
      </c>
      <c r="Q31" s="45">
        <f t="shared" si="9"/>
        <v>0</v>
      </c>
      <c r="R31" s="45">
        <f t="shared" si="13"/>
        <v>0</v>
      </c>
      <c r="S31" s="45">
        <f t="shared" si="14"/>
        <v>0</v>
      </c>
      <c r="T31" s="45">
        <f t="shared" si="10"/>
        <v>0</v>
      </c>
      <c r="U31" s="45">
        <f t="shared" si="11"/>
        <v>0</v>
      </c>
      <c r="V31" s="45">
        <f t="shared" si="12"/>
        <v>0</v>
      </c>
      <c r="W31" s="33"/>
      <c r="X31" s="33"/>
      <c r="Y31" s="33"/>
      <c r="Z31" s="33"/>
    </row>
    <row r="32" ht="16.5" customHeight="1">
      <c r="A32" s="46"/>
      <c r="B32" s="46" t="s">
        <v>140</v>
      </c>
      <c r="C32" s="46"/>
      <c r="D32" s="35">
        <v>20.0</v>
      </c>
      <c r="E32" s="36">
        <v>1.0</v>
      </c>
      <c r="F32" s="37"/>
      <c r="G32" s="38">
        <f t="shared" si="1"/>
        <v>250</v>
      </c>
      <c r="H32" s="37">
        <f t="shared" si="2"/>
        <v>250</v>
      </c>
      <c r="I32" s="39">
        <v>350.0</v>
      </c>
      <c r="J32" s="40">
        <f t="shared" si="3"/>
        <v>17.5</v>
      </c>
      <c r="K32" s="40">
        <f t="shared" si="4"/>
        <v>57.75</v>
      </c>
      <c r="L32" s="40">
        <f t="shared" si="5"/>
        <v>7.5</v>
      </c>
      <c r="M32" s="41">
        <f t="shared" si="6"/>
        <v>17.25</v>
      </c>
      <c r="N32" s="42">
        <f t="shared" si="7"/>
        <v>0.04928571429</v>
      </c>
      <c r="O32" s="43"/>
      <c r="P32" s="44">
        <f t="shared" si="8"/>
        <v>0</v>
      </c>
      <c r="Q32" s="45">
        <f t="shared" si="9"/>
        <v>0</v>
      </c>
      <c r="R32" s="45">
        <f t="shared" si="13"/>
        <v>0</v>
      </c>
      <c r="S32" s="45">
        <f t="shared" si="14"/>
        <v>0</v>
      </c>
      <c r="T32" s="45">
        <f t="shared" si="10"/>
        <v>0</v>
      </c>
      <c r="U32" s="45">
        <f t="shared" si="11"/>
        <v>0</v>
      </c>
      <c r="V32" s="45">
        <f t="shared" si="12"/>
        <v>0</v>
      </c>
      <c r="W32" s="33"/>
      <c r="X32" s="33"/>
      <c r="Y32" s="33"/>
      <c r="Z32" s="33"/>
    </row>
    <row r="33" ht="16.5" customHeight="1">
      <c r="A33" s="34"/>
      <c r="B33" s="34" t="s">
        <v>141</v>
      </c>
      <c r="C33" s="34"/>
      <c r="D33" s="35">
        <v>20.0</v>
      </c>
      <c r="E33" s="36">
        <v>1.0</v>
      </c>
      <c r="F33" s="37"/>
      <c r="G33" s="38">
        <f t="shared" si="1"/>
        <v>250</v>
      </c>
      <c r="H33" s="37">
        <f t="shared" si="2"/>
        <v>250</v>
      </c>
      <c r="I33" s="39">
        <v>250.0</v>
      </c>
      <c r="J33" s="40">
        <f t="shared" si="3"/>
        <v>12.5</v>
      </c>
      <c r="K33" s="40">
        <f t="shared" si="4"/>
        <v>41.25</v>
      </c>
      <c r="L33" s="40">
        <f t="shared" si="5"/>
        <v>7.5</v>
      </c>
      <c r="M33" s="41">
        <f t="shared" si="6"/>
        <v>-61.25</v>
      </c>
      <c r="N33" s="42">
        <f t="shared" si="7"/>
        <v>-0.245</v>
      </c>
      <c r="O33" s="43"/>
      <c r="P33" s="44">
        <f t="shared" si="8"/>
        <v>0</v>
      </c>
      <c r="Q33" s="45">
        <f t="shared" si="9"/>
        <v>0</v>
      </c>
      <c r="R33" s="45">
        <f t="shared" si="13"/>
        <v>0</v>
      </c>
      <c r="S33" s="45">
        <f t="shared" si="14"/>
        <v>0</v>
      </c>
      <c r="T33" s="45">
        <f t="shared" si="10"/>
        <v>0</v>
      </c>
      <c r="U33" s="45">
        <f t="shared" si="11"/>
        <v>0</v>
      </c>
      <c r="V33" s="45">
        <f t="shared" si="12"/>
        <v>0</v>
      </c>
      <c r="W33" s="33"/>
      <c r="X33" s="33"/>
      <c r="Y33" s="33"/>
      <c r="Z33" s="33"/>
    </row>
    <row r="34" ht="14.25" customHeight="1">
      <c r="A34" s="34"/>
      <c r="B34" s="34" t="s">
        <v>142</v>
      </c>
      <c r="C34" s="34"/>
      <c r="D34" s="35">
        <v>20.0</v>
      </c>
      <c r="E34" s="36"/>
      <c r="F34" s="37"/>
      <c r="G34" s="38">
        <f t="shared" si="1"/>
        <v>250</v>
      </c>
      <c r="H34" s="37"/>
      <c r="I34" s="39">
        <v>350.0</v>
      </c>
      <c r="J34" s="40">
        <f t="shared" si="3"/>
        <v>17.5</v>
      </c>
      <c r="K34" s="40">
        <f t="shared" si="4"/>
        <v>57.75</v>
      </c>
      <c r="L34" s="40">
        <f t="shared" si="5"/>
        <v>0</v>
      </c>
      <c r="M34" s="41">
        <f t="shared" si="6"/>
        <v>274.75</v>
      </c>
      <c r="N34" s="42">
        <f t="shared" si="7"/>
        <v>0.785</v>
      </c>
      <c r="O34" s="43"/>
      <c r="P34" s="44">
        <f t="shared" si="8"/>
        <v>0</v>
      </c>
      <c r="Q34" s="45">
        <f t="shared" si="9"/>
        <v>0</v>
      </c>
      <c r="R34" s="45">
        <f t="shared" si="13"/>
        <v>0</v>
      </c>
      <c r="S34" s="45">
        <f t="shared" si="14"/>
        <v>0</v>
      </c>
      <c r="T34" s="45">
        <f t="shared" si="10"/>
        <v>0</v>
      </c>
      <c r="U34" s="45">
        <f t="shared" si="11"/>
        <v>0</v>
      </c>
      <c r="V34" s="45">
        <f t="shared" si="12"/>
        <v>0</v>
      </c>
      <c r="W34" s="33"/>
      <c r="X34" s="33"/>
      <c r="Y34" s="33"/>
      <c r="Z34" s="33"/>
    </row>
    <row r="35" ht="21.0" customHeight="1">
      <c r="A35" s="46"/>
      <c r="B35" s="46" t="s">
        <v>143</v>
      </c>
      <c r="C35" s="46"/>
      <c r="D35" s="35">
        <v>20.0</v>
      </c>
      <c r="E35" s="36"/>
      <c r="F35" s="37"/>
      <c r="G35" s="38">
        <f t="shared" si="1"/>
        <v>250</v>
      </c>
      <c r="H35" s="37"/>
      <c r="I35" s="39">
        <v>250.0</v>
      </c>
      <c r="J35" s="40">
        <f t="shared" si="3"/>
        <v>12.5</v>
      </c>
      <c r="K35" s="40">
        <f t="shared" si="4"/>
        <v>41.25</v>
      </c>
      <c r="L35" s="40">
        <f t="shared" si="5"/>
        <v>0</v>
      </c>
      <c r="M35" s="41">
        <f t="shared" si="6"/>
        <v>196.25</v>
      </c>
      <c r="N35" s="42">
        <f t="shared" si="7"/>
        <v>0.785</v>
      </c>
      <c r="O35" s="43"/>
      <c r="P35" s="44">
        <f t="shared" si="8"/>
        <v>0</v>
      </c>
      <c r="Q35" s="45">
        <f t="shared" si="9"/>
        <v>0</v>
      </c>
      <c r="R35" s="45">
        <f t="shared" si="13"/>
        <v>0</v>
      </c>
      <c r="S35" s="45">
        <f t="shared" si="14"/>
        <v>0</v>
      </c>
      <c r="T35" s="45">
        <f t="shared" si="10"/>
        <v>0</v>
      </c>
      <c r="U35" s="45">
        <f t="shared" si="11"/>
        <v>0</v>
      </c>
      <c r="V35" s="45">
        <f t="shared" si="12"/>
        <v>0</v>
      </c>
      <c r="W35" s="33"/>
      <c r="X35" s="33"/>
      <c r="Y35" s="33"/>
      <c r="Z35" s="33"/>
    </row>
    <row r="36" ht="14.25" customHeight="1">
      <c r="A36" s="46"/>
      <c r="B36" s="46" t="s">
        <v>144</v>
      </c>
      <c r="C36" s="46"/>
      <c r="D36" s="35">
        <v>30.0</v>
      </c>
      <c r="E36" s="36"/>
      <c r="F36" s="37"/>
      <c r="G36" s="38">
        <f t="shared" si="1"/>
        <v>375</v>
      </c>
      <c r="H36" s="37"/>
      <c r="I36" s="39">
        <v>250.0</v>
      </c>
      <c r="J36" s="40">
        <f t="shared" si="3"/>
        <v>12.5</v>
      </c>
      <c r="K36" s="40">
        <f t="shared" si="4"/>
        <v>41.25</v>
      </c>
      <c r="L36" s="40">
        <f t="shared" si="5"/>
        <v>0</v>
      </c>
      <c r="M36" s="41">
        <f t="shared" si="6"/>
        <v>196.25</v>
      </c>
      <c r="N36" s="42">
        <f t="shared" si="7"/>
        <v>0.785</v>
      </c>
      <c r="O36" s="43"/>
      <c r="P36" s="44">
        <f t="shared" si="8"/>
        <v>0</v>
      </c>
      <c r="Q36" s="45">
        <f t="shared" si="9"/>
        <v>0</v>
      </c>
      <c r="R36" s="45">
        <f t="shared" si="13"/>
        <v>0</v>
      </c>
      <c r="S36" s="45">
        <f t="shared" si="14"/>
        <v>0</v>
      </c>
      <c r="T36" s="45">
        <f t="shared" si="10"/>
        <v>0</v>
      </c>
      <c r="U36" s="45">
        <f t="shared" si="11"/>
        <v>0</v>
      </c>
      <c r="V36" s="45">
        <f t="shared" si="12"/>
        <v>0</v>
      </c>
      <c r="W36" s="33"/>
      <c r="X36" s="33"/>
      <c r="Y36" s="33"/>
      <c r="Z36" s="33"/>
    </row>
    <row r="37" ht="18.0" customHeight="1">
      <c r="A37" s="46"/>
      <c r="B37" s="46" t="s">
        <v>145</v>
      </c>
      <c r="C37" s="46"/>
      <c r="D37" s="35">
        <v>30.0</v>
      </c>
      <c r="E37" s="36"/>
      <c r="F37" s="37"/>
      <c r="G37" s="38">
        <f t="shared" si="1"/>
        <v>375</v>
      </c>
      <c r="H37" s="37"/>
      <c r="I37" s="39">
        <v>400.0</v>
      </c>
      <c r="J37" s="40">
        <f t="shared" si="3"/>
        <v>20</v>
      </c>
      <c r="K37" s="40">
        <f t="shared" si="4"/>
        <v>66</v>
      </c>
      <c r="L37" s="40">
        <f t="shared" si="5"/>
        <v>0</v>
      </c>
      <c r="M37" s="41">
        <f t="shared" si="6"/>
        <v>314</v>
      </c>
      <c r="N37" s="42">
        <f t="shared" si="7"/>
        <v>0.785</v>
      </c>
      <c r="O37" s="43"/>
      <c r="P37" s="44">
        <f t="shared" si="8"/>
        <v>0</v>
      </c>
      <c r="Q37" s="45">
        <f t="shared" si="9"/>
        <v>0</v>
      </c>
      <c r="R37" s="45">
        <f t="shared" si="13"/>
        <v>0</v>
      </c>
      <c r="S37" s="45">
        <f t="shared" si="14"/>
        <v>0</v>
      </c>
      <c r="T37" s="45">
        <f t="shared" si="10"/>
        <v>0</v>
      </c>
      <c r="U37" s="45">
        <f t="shared" si="11"/>
        <v>0</v>
      </c>
      <c r="V37" s="45">
        <f t="shared" si="12"/>
        <v>0</v>
      </c>
      <c r="W37" s="33"/>
      <c r="X37" s="33"/>
      <c r="Y37" s="33"/>
      <c r="Z37" s="33"/>
    </row>
    <row r="38" ht="14.25" customHeight="1">
      <c r="A38" s="46"/>
      <c r="B38" s="46" t="s">
        <v>146</v>
      </c>
      <c r="C38" s="46"/>
      <c r="D38" s="35">
        <v>20.0</v>
      </c>
      <c r="E38" s="36"/>
      <c r="F38" s="37"/>
      <c r="G38" s="38">
        <f t="shared" si="1"/>
        <v>250</v>
      </c>
      <c r="H38" s="37"/>
      <c r="I38" s="39">
        <v>250.0</v>
      </c>
      <c r="J38" s="40">
        <f t="shared" si="3"/>
        <v>12.5</v>
      </c>
      <c r="K38" s="40">
        <f t="shared" si="4"/>
        <v>41.25</v>
      </c>
      <c r="L38" s="40">
        <f t="shared" si="5"/>
        <v>0</v>
      </c>
      <c r="M38" s="41">
        <f t="shared" si="6"/>
        <v>196.25</v>
      </c>
      <c r="N38" s="42">
        <f t="shared" si="7"/>
        <v>0.785</v>
      </c>
      <c r="O38" s="43"/>
      <c r="P38" s="44">
        <f t="shared" si="8"/>
        <v>0</v>
      </c>
      <c r="Q38" s="45">
        <f t="shared" si="9"/>
        <v>0</v>
      </c>
      <c r="R38" s="45">
        <f t="shared" si="13"/>
        <v>0</v>
      </c>
      <c r="S38" s="45">
        <f t="shared" si="14"/>
        <v>0</v>
      </c>
      <c r="T38" s="45">
        <f t="shared" si="10"/>
        <v>0</v>
      </c>
      <c r="U38" s="45">
        <f t="shared" si="11"/>
        <v>0</v>
      </c>
      <c r="V38" s="45">
        <f t="shared" si="12"/>
        <v>0</v>
      </c>
      <c r="W38" s="33"/>
      <c r="X38" s="33"/>
      <c r="Y38" s="33"/>
      <c r="Z38" s="33"/>
    </row>
    <row r="39" ht="14.25" customHeight="1">
      <c r="A39" s="46"/>
      <c r="B39" s="46" t="s">
        <v>147</v>
      </c>
      <c r="C39" s="46"/>
      <c r="D39" s="35">
        <v>30.0</v>
      </c>
      <c r="E39" s="36"/>
      <c r="F39" s="37"/>
      <c r="G39" s="38">
        <f t="shared" si="1"/>
        <v>375</v>
      </c>
      <c r="H39" s="37"/>
      <c r="I39" s="39">
        <v>400.0</v>
      </c>
      <c r="J39" s="40">
        <f t="shared" si="3"/>
        <v>20</v>
      </c>
      <c r="K39" s="40">
        <f t="shared" si="4"/>
        <v>66</v>
      </c>
      <c r="L39" s="40">
        <f t="shared" si="5"/>
        <v>0</v>
      </c>
      <c r="M39" s="41">
        <f t="shared" si="6"/>
        <v>314</v>
      </c>
      <c r="N39" s="42">
        <f t="shared" si="7"/>
        <v>0.785</v>
      </c>
      <c r="O39" s="43"/>
      <c r="P39" s="44">
        <f t="shared" si="8"/>
        <v>0</v>
      </c>
      <c r="Q39" s="45">
        <f t="shared" si="9"/>
        <v>0</v>
      </c>
      <c r="R39" s="45">
        <f t="shared" si="13"/>
        <v>0</v>
      </c>
      <c r="S39" s="45">
        <f t="shared" si="14"/>
        <v>0</v>
      </c>
      <c r="T39" s="45">
        <f t="shared" si="10"/>
        <v>0</v>
      </c>
      <c r="U39" s="45">
        <f t="shared" si="11"/>
        <v>0</v>
      </c>
      <c r="V39" s="45">
        <f t="shared" si="12"/>
        <v>0</v>
      </c>
      <c r="W39" s="33"/>
      <c r="X39" s="33"/>
      <c r="Y39" s="33"/>
      <c r="Z39" s="33"/>
    </row>
    <row r="40" ht="14.25" customHeight="1">
      <c r="A40" s="46"/>
      <c r="B40" s="46" t="s">
        <v>148</v>
      </c>
      <c r="C40" s="46"/>
      <c r="D40" s="35">
        <v>20.0</v>
      </c>
      <c r="E40" s="36"/>
      <c r="F40" s="37"/>
      <c r="G40" s="38">
        <f t="shared" si="1"/>
        <v>250</v>
      </c>
      <c r="H40" s="37"/>
      <c r="I40" s="39">
        <v>250.0</v>
      </c>
      <c r="J40" s="40">
        <f t="shared" si="3"/>
        <v>12.5</v>
      </c>
      <c r="K40" s="40">
        <f t="shared" si="4"/>
        <v>41.25</v>
      </c>
      <c r="L40" s="40">
        <f t="shared" si="5"/>
        <v>0</v>
      </c>
      <c r="M40" s="41">
        <f t="shared" si="6"/>
        <v>196.25</v>
      </c>
      <c r="N40" s="42">
        <f t="shared" si="7"/>
        <v>0.785</v>
      </c>
      <c r="O40" s="43"/>
      <c r="P40" s="44">
        <f t="shared" si="8"/>
        <v>0</v>
      </c>
      <c r="Q40" s="45">
        <f t="shared" si="9"/>
        <v>0</v>
      </c>
      <c r="R40" s="45">
        <f t="shared" si="13"/>
        <v>0</v>
      </c>
      <c r="S40" s="45">
        <f t="shared" si="14"/>
        <v>0</v>
      </c>
      <c r="T40" s="45">
        <f t="shared" si="10"/>
        <v>0</v>
      </c>
      <c r="U40" s="45">
        <f t="shared" si="11"/>
        <v>0</v>
      </c>
      <c r="V40" s="45">
        <f t="shared" si="12"/>
        <v>0</v>
      </c>
      <c r="W40" s="33"/>
      <c r="X40" s="33"/>
      <c r="Y40" s="33"/>
      <c r="Z40" s="33"/>
    </row>
    <row r="41" ht="14.25" customHeight="1">
      <c r="A41" s="46"/>
      <c r="B41" s="46" t="s">
        <v>149</v>
      </c>
      <c r="C41" s="46"/>
      <c r="D41" s="35">
        <v>20.0</v>
      </c>
      <c r="E41" s="36"/>
      <c r="F41" s="37"/>
      <c r="G41" s="38">
        <f t="shared" si="1"/>
        <v>250</v>
      </c>
      <c r="H41" s="37"/>
      <c r="I41" s="39">
        <v>300.0</v>
      </c>
      <c r="J41" s="40">
        <f t="shared" si="3"/>
        <v>15</v>
      </c>
      <c r="K41" s="40">
        <f t="shared" si="4"/>
        <v>49.5</v>
      </c>
      <c r="L41" s="40">
        <f t="shared" si="5"/>
        <v>0</v>
      </c>
      <c r="M41" s="41">
        <f t="shared" si="6"/>
        <v>235.5</v>
      </c>
      <c r="N41" s="42">
        <f t="shared" si="7"/>
        <v>0.785</v>
      </c>
      <c r="O41" s="43"/>
      <c r="P41" s="44">
        <f t="shared" si="8"/>
        <v>0</v>
      </c>
      <c r="Q41" s="45">
        <f t="shared" si="9"/>
        <v>0</v>
      </c>
      <c r="R41" s="45">
        <f t="shared" si="13"/>
        <v>0</v>
      </c>
      <c r="S41" s="45">
        <f t="shared" si="14"/>
        <v>0</v>
      </c>
      <c r="T41" s="45">
        <f t="shared" si="10"/>
        <v>0</v>
      </c>
      <c r="U41" s="45">
        <f t="shared" si="11"/>
        <v>0</v>
      </c>
      <c r="V41" s="45">
        <f t="shared" si="12"/>
        <v>0</v>
      </c>
      <c r="W41" s="33"/>
      <c r="X41" s="33"/>
      <c r="Y41" s="33"/>
      <c r="Z41" s="33"/>
    </row>
    <row r="42" ht="14.25" customHeight="1">
      <c r="A42" s="46"/>
      <c r="B42" s="46" t="s">
        <v>150</v>
      </c>
      <c r="C42" s="46"/>
      <c r="D42" s="35">
        <v>60.0</v>
      </c>
      <c r="E42" s="36"/>
      <c r="F42" s="37"/>
      <c r="G42" s="38">
        <f t="shared" si="1"/>
        <v>750</v>
      </c>
      <c r="H42" s="37"/>
      <c r="I42" s="39">
        <v>600.0</v>
      </c>
      <c r="J42" s="40">
        <f t="shared" si="3"/>
        <v>30</v>
      </c>
      <c r="K42" s="40">
        <f t="shared" si="4"/>
        <v>99</v>
      </c>
      <c r="L42" s="40">
        <f t="shared" si="5"/>
        <v>0</v>
      </c>
      <c r="M42" s="41">
        <f t="shared" si="6"/>
        <v>471</v>
      </c>
      <c r="N42" s="42">
        <f t="shared" si="7"/>
        <v>0.785</v>
      </c>
      <c r="O42" s="43"/>
      <c r="P42" s="44">
        <f t="shared" si="8"/>
        <v>0</v>
      </c>
      <c r="Q42" s="45">
        <f t="shared" si="9"/>
        <v>0</v>
      </c>
      <c r="R42" s="45">
        <f t="shared" si="13"/>
        <v>0</v>
      </c>
      <c r="S42" s="45">
        <f t="shared" si="14"/>
        <v>0</v>
      </c>
      <c r="T42" s="45">
        <f t="shared" si="10"/>
        <v>0</v>
      </c>
      <c r="U42" s="45">
        <f t="shared" si="11"/>
        <v>0</v>
      </c>
      <c r="V42" s="45">
        <f t="shared" si="12"/>
        <v>0</v>
      </c>
      <c r="W42" s="33"/>
      <c r="X42" s="33"/>
      <c r="Y42" s="33"/>
      <c r="Z42" s="33"/>
    </row>
    <row r="43" ht="14.25" customHeight="1">
      <c r="A43" s="46"/>
      <c r="B43" s="46" t="s">
        <v>151</v>
      </c>
      <c r="C43" s="46"/>
      <c r="D43" s="35">
        <v>20.0</v>
      </c>
      <c r="E43" s="36"/>
      <c r="F43" s="37"/>
      <c r="G43" s="38">
        <f t="shared" si="1"/>
        <v>250</v>
      </c>
      <c r="H43" s="37"/>
      <c r="I43" s="39">
        <v>250.0</v>
      </c>
      <c r="J43" s="40">
        <f t="shared" si="3"/>
        <v>12.5</v>
      </c>
      <c r="K43" s="40">
        <f t="shared" si="4"/>
        <v>41.25</v>
      </c>
      <c r="L43" s="40">
        <f t="shared" si="5"/>
        <v>0</v>
      </c>
      <c r="M43" s="41">
        <f t="shared" si="6"/>
        <v>196.25</v>
      </c>
      <c r="N43" s="42">
        <f t="shared" si="7"/>
        <v>0.785</v>
      </c>
      <c r="O43" s="43"/>
      <c r="P43" s="44">
        <f t="shared" si="8"/>
        <v>0</v>
      </c>
      <c r="Q43" s="45">
        <f t="shared" si="9"/>
        <v>0</v>
      </c>
      <c r="R43" s="45">
        <f t="shared" si="13"/>
        <v>0</v>
      </c>
      <c r="S43" s="45">
        <f t="shared" si="14"/>
        <v>0</v>
      </c>
      <c r="T43" s="45">
        <f t="shared" si="10"/>
        <v>0</v>
      </c>
      <c r="U43" s="45">
        <f t="shared" si="11"/>
        <v>0</v>
      </c>
      <c r="V43" s="45">
        <f t="shared" si="12"/>
        <v>0</v>
      </c>
      <c r="W43" s="33"/>
      <c r="X43" s="33"/>
      <c r="Y43" s="33"/>
      <c r="Z43" s="33"/>
    </row>
    <row r="44" ht="14.25" customHeight="1">
      <c r="A44" s="46"/>
      <c r="B44" s="46" t="s">
        <v>152</v>
      </c>
      <c r="C44" s="46"/>
      <c r="D44" s="35">
        <v>50.0</v>
      </c>
      <c r="E44" s="36"/>
      <c r="F44" s="37"/>
      <c r="G44" s="38">
        <f t="shared" si="1"/>
        <v>625</v>
      </c>
      <c r="H44" s="37"/>
      <c r="I44" s="39">
        <v>600.0</v>
      </c>
      <c r="J44" s="40">
        <f t="shared" si="3"/>
        <v>30</v>
      </c>
      <c r="K44" s="40">
        <f t="shared" si="4"/>
        <v>99</v>
      </c>
      <c r="L44" s="40">
        <f t="shared" si="5"/>
        <v>0</v>
      </c>
      <c r="M44" s="41">
        <f t="shared" si="6"/>
        <v>471</v>
      </c>
      <c r="N44" s="42">
        <f t="shared" si="7"/>
        <v>0.785</v>
      </c>
      <c r="O44" s="43"/>
      <c r="P44" s="44">
        <f t="shared" si="8"/>
        <v>0</v>
      </c>
      <c r="Q44" s="45">
        <f t="shared" si="9"/>
        <v>0</v>
      </c>
      <c r="R44" s="45">
        <f t="shared" si="13"/>
        <v>0</v>
      </c>
      <c r="S44" s="45">
        <f t="shared" si="14"/>
        <v>0</v>
      </c>
      <c r="T44" s="45">
        <f t="shared" si="10"/>
        <v>0</v>
      </c>
      <c r="U44" s="45">
        <f t="shared" si="11"/>
        <v>0</v>
      </c>
      <c r="V44" s="45">
        <f t="shared" si="12"/>
        <v>0</v>
      </c>
      <c r="W44" s="33"/>
      <c r="X44" s="33"/>
      <c r="Y44" s="33"/>
      <c r="Z44" s="33"/>
    </row>
    <row r="45" ht="14.25" customHeight="1">
      <c r="A45" s="34"/>
      <c r="B45" s="34" t="s">
        <v>153</v>
      </c>
      <c r="C45" s="34"/>
      <c r="D45" s="35">
        <v>30.0</v>
      </c>
      <c r="E45" s="36"/>
      <c r="F45" s="37"/>
      <c r="G45" s="38">
        <f t="shared" si="1"/>
        <v>375</v>
      </c>
      <c r="H45" s="37"/>
      <c r="I45" s="39">
        <v>350.0</v>
      </c>
      <c r="J45" s="40">
        <f t="shared" si="3"/>
        <v>17.5</v>
      </c>
      <c r="K45" s="40">
        <f t="shared" si="4"/>
        <v>57.75</v>
      </c>
      <c r="L45" s="40">
        <f t="shared" si="5"/>
        <v>0</v>
      </c>
      <c r="M45" s="41">
        <f t="shared" si="6"/>
        <v>274.75</v>
      </c>
      <c r="N45" s="42">
        <f t="shared" si="7"/>
        <v>0.785</v>
      </c>
      <c r="O45" s="43"/>
      <c r="P45" s="44">
        <f t="shared" si="8"/>
        <v>0</v>
      </c>
      <c r="Q45" s="45">
        <f t="shared" si="9"/>
        <v>0</v>
      </c>
      <c r="R45" s="45">
        <f t="shared" si="13"/>
        <v>0</v>
      </c>
      <c r="S45" s="45">
        <f t="shared" si="14"/>
        <v>0</v>
      </c>
      <c r="T45" s="45">
        <f t="shared" si="10"/>
        <v>0</v>
      </c>
      <c r="U45" s="45">
        <f t="shared" si="11"/>
        <v>0</v>
      </c>
      <c r="V45" s="45">
        <f t="shared" si="12"/>
        <v>0</v>
      </c>
      <c r="W45" s="33"/>
      <c r="X45" s="33"/>
      <c r="Y45" s="33"/>
      <c r="Z45" s="33"/>
    </row>
    <row r="46" ht="14.25" customHeight="1">
      <c r="A46" s="46"/>
      <c r="B46" s="46" t="s">
        <v>154</v>
      </c>
      <c r="C46" s="46"/>
      <c r="D46" s="35">
        <v>20.0</v>
      </c>
      <c r="E46" s="36"/>
      <c r="F46" s="37"/>
      <c r="G46" s="38">
        <f t="shared" si="1"/>
        <v>250</v>
      </c>
      <c r="H46" s="37"/>
      <c r="I46" s="39">
        <v>200.0</v>
      </c>
      <c r="J46" s="40">
        <f t="shared" si="3"/>
        <v>10</v>
      </c>
      <c r="K46" s="40">
        <f t="shared" si="4"/>
        <v>33</v>
      </c>
      <c r="L46" s="40">
        <f t="shared" si="5"/>
        <v>0</v>
      </c>
      <c r="M46" s="41">
        <f t="shared" si="6"/>
        <v>157</v>
      </c>
      <c r="N46" s="42">
        <f t="shared" si="7"/>
        <v>0.785</v>
      </c>
      <c r="O46" s="43"/>
      <c r="P46" s="44">
        <f t="shared" si="8"/>
        <v>0</v>
      </c>
      <c r="Q46" s="45">
        <f t="shared" si="9"/>
        <v>0</v>
      </c>
      <c r="R46" s="45">
        <f t="shared" si="13"/>
        <v>0</v>
      </c>
      <c r="S46" s="45">
        <f t="shared" si="14"/>
        <v>0</v>
      </c>
      <c r="T46" s="45">
        <f t="shared" si="10"/>
        <v>0</v>
      </c>
      <c r="U46" s="45">
        <f t="shared" si="11"/>
        <v>0</v>
      </c>
      <c r="V46" s="45">
        <f t="shared" si="12"/>
        <v>0</v>
      </c>
      <c r="W46" s="33"/>
      <c r="X46" s="33"/>
      <c r="Y46" s="33"/>
      <c r="Z46" s="33"/>
    </row>
    <row r="47" ht="14.25" customHeight="1">
      <c r="A47" s="46"/>
      <c r="B47" s="46" t="s">
        <v>155</v>
      </c>
      <c r="C47" s="46"/>
      <c r="D47" s="35">
        <v>20.0</v>
      </c>
      <c r="E47" s="36"/>
      <c r="F47" s="37"/>
      <c r="G47" s="38">
        <f t="shared" si="1"/>
        <v>250</v>
      </c>
      <c r="H47" s="37"/>
      <c r="I47" s="39">
        <v>280.0</v>
      </c>
      <c r="J47" s="40">
        <f t="shared" si="3"/>
        <v>14</v>
      </c>
      <c r="K47" s="40">
        <f t="shared" si="4"/>
        <v>46.2</v>
      </c>
      <c r="L47" s="40">
        <f t="shared" si="5"/>
        <v>0</v>
      </c>
      <c r="M47" s="41">
        <f t="shared" si="6"/>
        <v>219.8</v>
      </c>
      <c r="N47" s="42">
        <f t="shared" si="7"/>
        <v>0.785</v>
      </c>
      <c r="O47" s="43"/>
      <c r="P47" s="44">
        <f t="shared" si="8"/>
        <v>0</v>
      </c>
      <c r="Q47" s="45">
        <f t="shared" si="9"/>
        <v>0</v>
      </c>
      <c r="R47" s="45">
        <f t="shared" si="13"/>
        <v>0</v>
      </c>
      <c r="S47" s="45">
        <f t="shared" si="14"/>
        <v>0</v>
      </c>
      <c r="T47" s="45">
        <f t="shared" si="10"/>
        <v>0</v>
      </c>
      <c r="U47" s="45">
        <f t="shared" si="11"/>
        <v>0</v>
      </c>
      <c r="V47" s="45">
        <f t="shared" si="12"/>
        <v>0</v>
      </c>
      <c r="W47" s="33"/>
      <c r="X47" s="33"/>
      <c r="Y47" s="33"/>
      <c r="Z47" s="33"/>
    </row>
    <row r="48" ht="14.25" customHeight="1">
      <c r="A48" s="46"/>
      <c r="B48" s="46" t="s">
        <v>156</v>
      </c>
      <c r="C48" s="46"/>
      <c r="D48" s="35">
        <v>30.0</v>
      </c>
      <c r="E48" s="36"/>
      <c r="F48" s="37"/>
      <c r="G48" s="38">
        <f t="shared" si="1"/>
        <v>375</v>
      </c>
      <c r="H48" s="37"/>
      <c r="I48" s="39">
        <v>510.0</v>
      </c>
      <c r="J48" s="40">
        <f t="shared" si="3"/>
        <v>25.5</v>
      </c>
      <c r="K48" s="40">
        <f t="shared" si="4"/>
        <v>84.15</v>
      </c>
      <c r="L48" s="40">
        <f t="shared" si="5"/>
        <v>0</v>
      </c>
      <c r="M48" s="41">
        <f t="shared" si="6"/>
        <v>400.35</v>
      </c>
      <c r="N48" s="42">
        <f t="shared" si="7"/>
        <v>0.785</v>
      </c>
      <c r="O48" s="43"/>
      <c r="P48" s="44">
        <f t="shared" si="8"/>
        <v>0</v>
      </c>
      <c r="Q48" s="45">
        <f t="shared" si="9"/>
        <v>0</v>
      </c>
      <c r="R48" s="45">
        <f t="shared" si="13"/>
        <v>0</v>
      </c>
      <c r="S48" s="45">
        <f t="shared" si="14"/>
        <v>0</v>
      </c>
      <c r="T48" s="45">
        <f t="shared" si="10"/>
        <v>0</v>
      </c>
      <c r="U48" s="45">
        <f t="shared" si="11"/>
        <v>0</v>
      </c>
      <c r="V48" s="45">
        <f t="shared" si="12"/>
        <v>0</v>
      </c>
      <c r="W48" s="33"/>
      <c r="X48" s="33"/>
      <c r="Y48" s="33"/>
      <c r="Z48" s="33"/>
    </row>
    <row r="49" ht="14.25" customHeight="1">
      <c r="A49" s="46"/>
      <c r="B49" s="46" t="s">
        <v>157</v>
      </c>
      <c r="C49" s="46"/>
      <c r="D49" s="35">
        <v>30.0</v>
      </c>
      <c r="E49" s="36"/>
      <c r="F49" s="37"/>
      <c r="G49" s="38">
        <f t="shared" si="1"/>
        <v>375</v>
      </c>
      <c r="H49" s="37"/>
      <c r="I49" s="39">
        <v>510.0</v>
      </c>
      <c r="J49" s="40">
        <f t="shared" si="3"/>
        <v>25.5</v>
      </c>
      <c r="K49" s="40">
        <f t="shared" si="4"/>
        <v>84.15</v>
      </c>
      <c r="L49" s="40">
        <f t="shared" si="5"/>
        <v>0</v>
      </c>
      <c r="M49" s="41">
        <f t="shared" si="6"/>
        <v>400.35</v>
      </c>
      <c r="N49" s="42">
        <f t="shared" si="7"/>
        <v>0.785</v>
      </c>
      <c r="O49" s="43"/>
      <c r="P49" s="44">
        <f t="shared" si="8"/>
        <v>0</v>
      </c>
      <c r="Q49" s="45">
        <f t="shared" si="9"/>
        <v>0</v>
      </c>
      <c r="R49" s="45">
        <f t="shared" si="13"/>
        <v>0</v>
      </c>
      <c r="S49" s="45">
        <f t="shared" si="14"/>
        <v>0</v>
      </c>
      <c r="T49" s="45">
        <f t="shared" si="10"/>
        <v>0</v>
      </c>
      <c r="U49" s="45">
        <f t="shared" si="11"/>
        <v>0</v>
      </c>
      <c r="V49" s="45">
        <f t="shared" si="12"/>
        <v>0</v>
      </c>
      <c r="W49" s="33"/>
      <c r="X49" s="33"/>
      <c r="Y49" s="33"/>
      <c r="Z49" s="33"/>
    </row>
    <row r="50" ht="14.25" customHeight="1">
      <c r="A50" s="46"/>
      <c r="B50" s="46" t="s">
        <v>158</v>
      </c>
      <c r="C50" s="46"/>
      <c r="D50" s="35">
        <v>20.0</v>
      </c>
      <c r="E50" s="36"/>
      <c r="F50" s="37"/>
      <c r="G50" s="38">
        <f t="shared" si="1"/>
        <v>250</v>
      </c>
      <c r="H50" s="37"/>
      <c r="I50" s="39">
        <v>280.0</v>
      </c>
      <c r="J50" s="40">
        <f t="shared" si="3"/>
        <v>14</v>
      </c>
      <c r="K50" s="40">
        <f t="shared" si="4"/>
        <v>46.2</v>
      </c>
      <c r="L50" s="40">
        <f t="shared" si="5"/>
        <v>0</v>
      </c>
      <c r="M50" s="41">
        <f t="shared" si="6"/>
        <v>219.8</v>
      </c>
      <c r="N50" s="42">
        <f t="shared" si="7"/>
        <v>0.785</v>
      </c>
      <c r="O50" s="43"/>
      <c r="P50" s="44">
        <f t="shared" si="8"/>
        <v>0</v>
      </c>
      <c r="Q50" s="45">
        <f t="shared" si="9"/>
        <v>0</v>
      </c>
      <c r="R50" s="45">
        <f t="shared" si="13"/>
        <v>0</v>
      </c>
      <c r="S50" s="45">
        <f t="shared" si="14"/>
        <v>0</v>
      </c>
      <c r="T50" s="45">
        <f t="shared" si="10"/>
        <v>0</v>
      </c>
      <c r="U50" s="45">
        <f t="shared" si="11"/>
        <v>0</v>
      </c>
      <c r="V50" s="45">
        <f t="shared" si="12"/>
        <v>0</v>
      </c>
      <c r="W50" s="33"/>
      <c r="X50" s="33"/>
      <c r="Y50" s="33"/>
      <c r="Z50" s="33"/>
    </row>
    <row r="51" ht="14.25" customHeight="1">
      <c r="A51" s="46"/>
      <c r="B51" s="46" t="s">
        <v>159</v>
      </c>
      <c r="C51" s="46"/>
      <c r="D51" s="35">
        <v>20.0</v>
      </c>
      <c r="E51" s="36"/>
      <c r="F51" s="37"/>
      <c r="G51" s="38">
        <f t="shared" si="1"/>
        <v>250</v>
      </c>
      <c r="H51" s="37"/>
      <c r="I51" s="39">
        <v>280.0</v>
      </c>
      <c r="J51" s="40">
        <f t="shared" si="3"/>
        <v>14</v>
      </c>
      <c r="K51" s="40">
        <f t="shared" si="4"/>
        <v>46.2</v>
      </c>
      <c r="L51" s="40">
        <f t="shared" si="5"/>
        <v>0</v>
      </c>
      <c r="M51" s="41">
        <f t="shared" si="6"/>
        <v>219.8</v>
      </c>
      <c r="N51" s="42">
        <f t="shared" si="7"/>
        <v>0.785</v>
      </c>
      <c r="O51" s="43"/>
      <c r="P51" s="44">
        <f t="shared" si="8"/>
        <v>0</v>
      </c>
      <c r="Q51" s="45">
        <f t="shared" si="9"/>
        <v>0</v>
      </c>
      <c r="R51" s="45">
        <f t="shared" si="13"/>
        <v>0</v>
      </c>
      <c r="S51" s="45">
        <f t="shared" si="14"/>
        <v>0</v>
      </c>
      <c r="T51" s="45">
        <f t="shared" si="10"/>
        <v>0</v>
      </c>
      <c r="U51" s="45">
        <f t="shared" si="11"/>
        <v>0</v>
      </c>
      <c r="V51" s="45">
        <f t="shared" si="12"/>
        <v>0</v>
      </c>
      <c r="W51" s="33"/>
      <c r="X51" s="33"/>
      <c r="Y51" s="33"/>
      <c r="Z51" s="33"/>
    </row>
    <row r="52" ht="14.25" customHeight="1">
      <c r="A52" s="46"/>
      <c r="B52" s="46" t="s">
        <v>160</v>
      </c>
      <c r="C52" s="46"/>
      <c r="D52" s="35">
        <v>20.0</v>
      </c>
      <c r="E52" s="36"/>
      <c r="F52" s="37"/>
      <c r="G52" s="38">
        <f t="shared" si="1"/>
        <v>250</v>
      </c>
      <c r="H52" s="37"/>
      <c r="I52" s="39">
        <v>180.0</v>
      </c>
      <c r="J52" s="40">
        <f t="shared" si="3"/>
        <v>9</v>
      </c>
      <c r="K52" s="40">
        <f t="shared" si="4"/>
        <v>29.7</v>
      </c>
      <c r="L52" s="40">
        <f t="shared" si="5"/>
        <v>0</v>
      </c>
      <c r="M52" s="41">
        <f t="shared" si="6"/>
        <v>141.3</v>
      </c>
      <c r="N52" s="42">
        <f t="shared" si="7"/>
        <v>0.785</v>
      </c>
      <c r="O52" s="43"/>
      <c r="P52" s="44">
        <f t="shared" si="8"/>
        <v>0</v>
      </c>
      <c r="Q52" s="45">
        <f t="shared" si="9"/>
        <v>0</v>
      </c>
      <c r="R52" s="45">
        <f t="shared" si="13"/>
        <v>0</v>
      </c>
      <c r="S52" s="45">
        <f t="shared" si="14"/>
        <v>0</v>
      </c>
      <c r="T52" s="45">
        <f t="shared" si="10"/>
        <v>0</v>
      </c>
      <c r="U52" s="45">
        <f t="shared" si="11"/>
        <v>0</v>
      </c>
      <c r="V52" s="45">
        <f t="shared" si="12"/>
        <v>0</v>
      </c>
      <c r="W52" s="33"/>
      <c r="X52" s="33"/>
      <c r="Y52" s="33"/>
      <c r="Z52" s="33"/>
    </row>
    <row r="53" ht="14.25" customHeight="1">
      <c r="A53" s="34"/>
      <c r="B53" s="34" t="s">
        <v>161</v>
      </c>
      <c r="C53" s="34"/>
      <c r="D53" s="35">
        <v>20.0</v>
      </c>
      <c r="E53" s="36"/>
      <c r="F53" s="37"/>
      <c r="G53" s="38">
        <f t="shared" si="1"/>
        <v>250</v>
      </c>
      <c r="H53" s="37"/>
      <c r="I53" s="39">
        <v>280.0</v>
      </c>
      <c r="J53" s="40">
        <f t="shared" si="3"/>
        <v>14</v>
      </c>
      <c r="K53" s="40">
        <f t="shared" si="4"/>
        <v>46.2</v>
      </c>
      <c r="L53" s="40">
        <f t="shared" si="5"/>
        <v>0</v>
      </c>
      <c r="M53" s="41">
        <f t="shared" si="6"/>
        <v>219.8</v>
      </c>
      <c r="N53" s="42">
        <f t="shared" si="7"/>
        <v>0.785</v>
      </c>
      <c r="O53" s="43"/>
      <c r="P53" s="44">
        <f t="shared" si="8"/>
        <v>0</v>
      </c>
      <c r="Q53" s="45">
        <f t="shared" si="9"/>
        <v>0</v>
      </c>
      <c r="R53" s="45">
        <f t="shared" si="13"/>
        <v>0</v>
      </c>
      <c r="S53" s="45">
        <f t="shared" si="14"/>
        <v>0</v>
      </c>
      <c r="T53" s="45">
        <f t="shared" si="10"/>
        <v>0</v>
      </c>
      <c r="U53" s="45">
        <f t="shared" si="11"/>
        <v>0</v>
      </c>
      <c r="V53" s="45">
        <f t="shared" si="12"/>
        <v>0</v>
      </c>
      <c r="W53" s="33"/>
      <c r="X53" s="33"/>
      <c r="Y53" s="33"/>
      <c r="Z53" s="33"/>
    </row>
    <row r="54" ht="14.25" customHeight="1">
      <c r="A54" s="46"/>
      <c r="B54" s="46" t="s">
        <v>162</v>
      </c>
      <c r="C54" s="46"/>
      <c r="D54" s="35">
        <v>30.0</v>
      </c>
      <c r="E54" s="36"/>
      <c r="F54" s="37"/>
      <c r="G54" s="38">
        <f t="shared" si="1"/>
        <v>375</v>
      </c>
      <c r="H54" s="37"/>
      <c r="I54" s="39">
        <v>510.0</v>
      </c>
      <c r="J54" s="40">
        <f t="shared" si="3"/>
        <v>25.5</v>
      </c>
      <c r="K54" s="40">
        <f t="shared" si="4"/>
        <v>84.15</v>
      </c>
      <c r="L54" s="40">
        <f t="shared" si="5"/>
        <v>0</v>
      </c>
      <c r="M54" s="41">
        <f t="shared" si="6"/>
        <v>400.35</v>
      </c>
      <c r="N54" s="42">
        <f t="shared" si="7"/>
        <v>0.785</v>
      </c>
      <c r="O54" s="43"/>
      <c r="P54" s="44">
        <f t="shared" si="8"/>
        <v>0</v>
      </c>
      <c r="Q54" s="45">
        <f t="shared" si="9"/>
        <v>0</v>
      </c>
      <c r="R54" s="45">
        <f t="shared" si="13"/>
        <v>0</v>
      </c>
      <c r="S54" s="45">
        <f t="shared" si="14"/>
        <v>0</v>
      </c>
      <c r="T54" s="45">
        <f t="shared" si="10"/>
        <v>0</v>
      </c>
      <c r="U54" s="45">
        <f t="shared" si="11"/>
        <v>0</v>
      </c>
      <c r="V54" s="45">
        <f t="shared" si="12"/>
        <v>0</v>
      </c>
      <c r="W54" s="33"/>
      <c r="X54" s="33"/>
      <c r="Y54" s="33"/>
      <c r="Z54" s="33"/>
    </row>
    <row r="55" ht="14.25" customHeight="1">
      <c r="A55" s="34"/>
      <c r="B55" s="34" t="s">
        <v>163</v>
      </c>
      <c r="C55" s="34"/>
      <c r="D55" s="35">
        <v>20.0</v>
      </c>
      <c r="E55" s="36"/>
      <c r="F55" s="37"/>
      <c r="G55" s="38">
        <f t="shared" si="1"/>
        <v>250</v>
      </c>
      <c r="H55" s="37"/>
      <c r="I55" s="39">
        <v>100.0</v>
      </c>
      <c r="J55" s="40">
        <f t="shared" si="3"/>
        <v>5</v>
      </c>
      <c r="K55" s="40">
        <f t="shared" si="4"/>
        <v>16.5</v>
      </c>
      <c r="L55" s="40">
        <f t="shared" si="5"/>
        <v>0</v>
      </c>
      <c r="M55" s="41">
        <f t="shared" si="6"/>
        <v>78.5</v>
      </c>
      <c r="N55" s="42">
        <f t="shared" si="7"/>
        <v>0.785</v>
      </c>
      <c r="O55" s="43"/>
      <c r="P55" s="44">
        <f t="shared" si="8"/>
        <v>0</v>
      </c>
      <c r="Q55" s="45">
        <f t="shared" si="9"/>
        <v>0</v>
      </c>
      <c r="R55" s="45">
        <f t="shared" si="13"/>
        <v>0</v>
      </c>
      <c r="S55" s="45">
        <f t="shared" si="14"/>
        <v>0</v>
      </c>
      <c r="T55" s="45">
        <f t="shared" si="10"/>
        <v>0</v>
      </c>
      <c r="U55" s="45">
        <f t="shared" si="11"/>
        <v>0</v>
      </c>
      <c r="V55" s="45">
        <f t="shared" si="12"/>
        <v>0</v>
      </c>
      <c r="W55" s="33"/>
      <c r="X55" s="33"/>
      <c r="Y55" s="33"/>
      <c r="Z55" s="33"/>
    </row>
    <row r="56" ht="14.25" customHeight="1">
      <c r="A56" s="46"/>
      <c r="B56" s="46" t="s">
        <v>164</v>
      </c>
      <c r="C56" s="46"/>
      <c r="D56" s="35">
        <v>30.0</v>
      </c>
      <c r="E56" s="36"/>
      <c r="F56" s="37"/>
      <c r="G56" s="38">
        <f t="shared" si="1"/>
        <v>375</v>
      </c>
      <c r="H56" s="37"/>
      <c r="I56" s="39">
        <v>510.0</v>
      </c>
      <c r="J56" s="40">
        <f t="shared" si="3"/>
        <v>25.5</v>
      </c>
      <c r="K56" s="40">
        <f t="shared" si="4"/>
        <v>84.15</v>
      </c>
      <c r="L56" s="40">
        <f t="shared" si="5"/>
        <v>0</v>
      </c>
      <c r="M56" s="41">
        <f t="shared" si="6"/>
        <v>400.35</v>
      </c>
      <c r="N56" s="42">
        <f t="shared" si="7"/>
        <v>0.785</v>
      </c>
      <c r="O56" s="43"/>
      <c r="P56" s="44">
        <f t="shared" si="8"/>
        <v>0</v>
      </c>
      <c r="Q56" s="45">
        <f t="shared" si="9"/>
        <v>0</v>
      </c>
      <c r="R56" s="45">
        <f t="shared" si="13"/>
        <v>0</v>
      </c>
      <c r="S56" s="45">
        <f t="shared" si="14"/>
        <v>0</v>
      </c>
      <c r="T56" s="45">
        <f t="shared" si="10"/>
        <v>0</v>
      </c>
      <c r="U56" s="45">
        <f t="shared" si="11"/>
        <v>0</v>
      </c>
      <c r="V56" s="45">
        <f t="shared" si="12"/>
        <v>0</v>
      </c>
      <c r="W56" s="33"/>
      <c r="X56" s="33"/>
      <c r="Y56" s="33"/>
      <c r="Z56" s="33"/>
    </row>
    <row r="57" ht="14.25" customHeight="1">
      <c r="A57" s="34"/>
      <c r="B57" s="34" t="s">
        <v>165</v>
      </c>
      <c r="C57" s="34"/>
      <c r="D57" s="35">
        <v>20.0</v>
      </c>
      <c r="E57" s="36"/>
      <c r="F57" s="37"/>
      <c r="G57" s="38">
        <f t="shared" si="1"/>
        <v>250</v>
      </c>
      <c r="H57" s="37"/>
      <c r="I57" s="39">
        <v>280.0</v>
      </c>
      <c r="J57" s="40">
        <f t="shared" si="3"/>
        <v>14</v>
      </c>
      <c r="K57" s="40">
        <f t="shared" si="4"/>
        <v>46.2</v>
      </c>
      <c r="L57" s="40">
        <f t="shared" si="5"/>
        <v>0</v>
      </c>
      <c r="M57" s="41">
        <f t="shared" si="6"/>
        <v>219.8</v>
      </c>
      <c r="N57" s="42">
        <f t="shared" si="7"/>
        <v>0.785</v>
      </c>
      <c r="O57" s="43"/>
      <c r="P57" s="44">
        <f t="shared" si="8"/>
        <v>0</v>
      </c>
      <c r="Q57" s="45">
        <f t="shared" si="9"/>
        <v>0</v>
      </c>
      <c r="R57" s="45">
        <f t="shared" si="13"/>
        <v>0</v>
      </c>
      <c r="S57" s="45">
        <f t="shared" si="14"/>
        <v>0</v>
      </c>
      <c r="T57" s="45">
        <f t="shared" si="10"/>
        <v>0</v>
      </c>
      <c r="U57" s="45">
        <f t="shared" si="11"/>
        <v>0</v>
      </c>
      <c r="V57" s="45">
        <f t="shared" si="12"/>
        <v>0</v>
      </c>
      <c r="W57" s="33"/>
      <c r="X57" s="33"/>
      <c r="Y57" s="33"/>
      <c r="Z57" s="33"/>
    </row>
    <row r="58" ht="14.25" customHeight="1">
      <c r="A58" s="46"/>
      <c r="B58" s="46" t="s">
        <v>166</v>
      </c>
      <c r="C58" s="46"/>
      <c r="D58" s="35">
        <v>30.0</v>
      </c>
      <c r="E58" s="36"/>
      <c r="F58" s="37"/>
      <c r="G58" s="38">
        <f t="shared" si="1"/>
        <v>375</v>
      </c>
      <c r="H58" s="37"/>
      <c r="I58" s="39">
        <v>510.0</v>
      </c>
      <c r="J58" s="40">
        <f t="shared" si="3"/>
        <v>25.5</v>
      </c>
      <c r="K58" s="40">
        <f t="shared" si="4"/>
        <v>84.15</v>
      </c>
      <c r="L58" s="40">
        <f t="shared" si="5"/>
        <v>0</v>
      </c>
      <c r="M58" s="41">
        <f t="shared" si="6"/>
        <v>400.35</v>
      </c>
      <c r="N58" s="42">
        <f t="shared" si="7"/>
        <v>0.785</v>
      </c>
      <c r="O58" s="43"/>
      <c r="P58" s="44">
        <f t="shared" si="8"/>
        <v>0</v>
      </c>
      <c r="Q58" s="45">
        <f t="shared" si="9"/>
        <v>0</v>
      </c>
      <c r="R58" s="45">
        <f t="shared" si="13"/>
        <v>0</v>
      </c>
      <c r="S58" s="45">
        <f t="shared" si="14"/>
        <v>0</v>
      </c>
      <c r="T58" s="45">
        <f t="shared" si="10"/>
        <v>0</v>
      </c>
      <c r="U58" s="45">
        <f t="shared" si="11"/>
        <v>0</v>
      </c>
      <c r="V58" s="45">
        <f t="shared" si="12"/>
        <v>0</v>
      </c>
      <c r="W58" s="33"/>
      <c r="X58" s="33"/>
      <c r="Y58" s="33"/>
      <c r="Z58" s="33"/>
    </row>
    <row r="59" ht="14.25" customHeight="1">
      <c r="A59" s="46"/>
      <c r="B59" s="46" t="s">
        <v>167</v>
      </c>
      <c r="C59" s="46"/>
      <c r="D59" s="35">
        <v>30.0</v>
      </c>
      <c r="E59" s="36"/>
      <c r="F59" s="37"/>
      <c r="G59" s="38">
        <f t="shared" si="1"/>
        <v>375</v>
      </c>
      <c r="H59" s="37"/>
      <c r="I59" s="39">
        <v>510.0</v>
      </c>
      <c r="J59" s="40">
        <f t="shared" si="3"/>
        <v>25.5</v>
      </c>
      <c r="K59" s="40">
        <f t="shared" si="4"/>
        <v>84.15</v>
      </c>
      <c r="L59" s="40">
        <f t="shared" si="5"/>
        <v>0</v>
      </c>
      <c r="M59" s="41">
        <f t="shared" si="6"/>
        <v>400.35</v>
      </c>
      <c r="N59" s="42">
        <f t="shared" si="7"/>
        <v>0.785</v>
      </c>
      <c r="O59" s="43"/>
      <c r="P59" s="44">
        <f t="shared" si="8"/>
        <v>0</v>
      </c>
      <c r="Q59" s="45">
        <f t="shared" si="9"/>
        <v>0</v>
      </c>
      <c r="R59" s="45">
        <f t="shared" si="13"/>
        <v>0</v>
      </c>
      <c r="S59" s="45">
        <f t="shared" si="14"/>
        <v>0</v>
      </c>
      <c r="T59" s="45">
        <f t="shared" si="10"/>
        <v>0</v>
      </c>
      <c r="U59" s="45">
        <f t="shared" si="11"/>
        <v>0</v>
      </c>
      <c r="V59" s="45">
        <f t="shared" si="12"/>
        <v>0</v>
      </c>
      <c r="W59" s="33"/>
      <c r="X59" s="33"/>
      <c r="Y59" s="33"/>
      <c r="Z59" s="33"/>
    </row>
    <row r="60" ht="14.25" customHeight="1">
      <c r="A60" s="34"/>
      <c r="B60" s="34" t="s">
        <v>168</v>
      </c>
      <c r="C60" s="34"/>
      <c r="D60" s="35">
        <v>90.0</v>
      </c>
      <c r="E60" s="36"/>
      <c r="F60" s="37"/>
      <c r="G60" s="38">
        <f t="shared" si="1"/>
        <v>1125</v>
      </c>
      <c r="H60" s="37"/>
      <c r="I60" s="39">
        <v>700.0</v>
      </c>
      <c r="J60" s="40">
        <f t="shared" si="3"/>
        <v>35</v>
      </c>
      <c r="K60" s="40">
        <f t="shared" si="4"/>
        <v>115.5</v>
      </c>
      <c r="L60" s="40">
        <f t="shared" si="5"/>
        <v>0</v>
      </c>
      <c r="M60" s="41">
        <f t="shared" si="6"/>
        <v>549.5</v>
      </c>
      <c r="N60" s="42">
        <f t="shared" si="7"/>
        <v>0.785</v>
      </c>
      <c r="O60" s="43"/>
      <c r="P60" s="44">
        <f t="shared" si="8"/>
        <v>0</v>
      </c>
      <c r="Q60" s="45">
        <f t="shared" si="9"/>
        <v>0</v>
      </c>
      <c r="R60" s="45">
        <f t="shared" si="13"/>
        <v>0</v>
      </c>
      <c r="S60" s="45">
        <f t="shared" si="14"/>
        <v>0</v>
      </c>
      <c r="T60" s="45">
        <f t="shared" si="10"/>
        <v>0</v>
      </c>
      <c r="U60" s="45">
        <f t="shared" si="11"/>
        <v>0</v>
      </c>
      <c r="V60" s="45">
        <f t="shared" si="12"/>
        <v>0</v>
      </c>
      <c r="W60" s="33"/>
      <c r="X60" s="33"/>
      <c r="Y60" s="33"/>
      <c r="Z60" s="33"/>
    </row>
    <row r="61" ht="14.25" customHeight="1">
      <c r="A61" s="46"/>
      <c r="B61" s="46" t="s">
        <v>169</v>
      </c>
      <c r="C61" s="46"/>
      <c r="D61" s="35">
        <v>90.0</v>
      </c>
      <c r="E61" s="36"/>
      <c r="F61" s="37"/>
      <c r="G61" s="38">
        <f t="shared" si="1"/>
        <v>1125</v>
      </c>
      <c r="H61" s="37"/>
      <c r="I61" s="39">
        <v>900.0</v>
      </c>
      <c r="J61" s="40">
        <f t="shared" si="3"/>
        <v>45</v>
      </c>
      <c r="K61" s="40">
        <f t="shared" si="4"/>
        <v>148.5</v>
      </c>
      <c r="L61" s="40">
        <f t="shared" si="5"/>
        <v>0</v>
      </c>
      <c r="M61" s="41">
        <f t="shared" si="6"/>
        <v>706.5</v>
      </c>
      <c r="N61" s="42">
        <f t="shared" si="7"/>
        <v>0.785</v>
      </c>
      <c r="O61" s="43"/>
      <c r="P61" s="44">
        <f t="shared" si="8"/>
        <v>0</v>
      </c>
      <c r="Q61" s="45">
        <f t="shared" si="9"/>
        <v>0</v>
      </c>
      <c r="R61" s="45">
        <f t="shared" si="13"/>
        <v>0</v>
      </c>
      <c r="S61" s="45">
        <f t="shared" si="14"/>
        <v>0</v>
      </c>
      <c r="T61" s="45">
        <f t="shared" si="10"/>
        <v>0</v>
      </c>
      <c r="U61" s="45">
        <f t="shared" si="11"/>
        <v>0</v>
      </c>
      <c r="V61" s="45">
        <f t="shared" si="12"/>
        <v>0</v>
      </c>
      <c r="W61" s="33"/>
      <c r="X61" s="33"/>
      <c r="Y61" s="33"/>
      <c r="Z61" s="33"/>
    </row>
    <row r="62" ht="14.25" customHeight="1">
      <c r="A62" s="46"/>
      <c r="B62" s="46" t="s">
        <v>170</v>
      </c>
      <c r="C62" s="46"/>
      <c r="D62" s="35">
        <v>20.0</v>
      </c>
      <c r="E62" s="36"/>
      <c r="F62" s="37"/>
      <c r="G62" s="38">
        <f t="shared" si="1"/>
        <v>250</v>
      </c>
      <c r="H62" s="37"/>
      <c r="I62" s="39">
        <v>280.0</v>
      </c>
      <c r="J62" s="40">
        <f t="shared" si="3"/>
        <v>14</v>
      </c>
      <c r="K62" s="40">
        <f t="shared" si="4"/>
        <v>46.2</v>
      </c>
      <c r="L62" s="40">
        <f t="shared" si="5"/>
        <v>0</v>
      </c>
      <c r="M62" s="41">
        <f t="shared" si="6"/>
        <v>219.8</v>
      </c>
      <c r="N62" s="42">
        <f t="shared" si="7"/>
        <v>0.785</v>
      </c>
      <c r="O62" s="43"/>
      <c r="P62" s="44">
        <f t="shared" si="8"/>
        <v>0</v>
      </c>
      <c r="Q62" s="45">
        <f t="shared" si="9"/>
        <v>0</v>
      </c>
      <c r="R62" s="45">
        <f t="shared" si="13"/>
        <v>0</v>
      </c>
      <c r="S62" s="45">
        <f t="shared" si="14"/>
        <v>0</v>
      </c>
      <c r="T62" s="45">
        <f t="shared" si="10"/>
        <v>0</v>
      </c>
      <c r="U62" s="45">
        <f t="shared" si="11"/>
        <v>0</v>
      </c>
      <c r="V62" s="45">
        <f t="shared" si="12"/>
        <v>0</v>
      </c>
      <c r="W62" s="48"/>
      <c r="X62" s="48"/>
      <c r="Y62" s="48"/>
      <c r="Z62" s="48"/>
    </row>
    <row r="63" ht="14.25" customHeight="1">
      <c r="A63" s="46"/>
      <c r="B63" s="46" t="s">
        <v>171</v>
      </c>
      <c r="C63" s="46"/>
      <c r="D63" s="35">
        <v>20.0</v>
      </c>
      <c r="E63" s="36"/>
      <c r="F63" s="37"/>
      <c r="G63" s="38">
        <f t="shared" si="1"/>
        <v>250</v>
      </c>
      <c r="H63" s="37"/>
      <c r="I63" s="39">
        <v>280.0</v>
      </c>
      <c r="J63" s="40">
        <f t="shared" si="3"/>
        <v>14</v>
      </c>
      <c r="K63" s="40">
        <f t="shared" si="4"/>
        <v>46.2</v>
      </c>
      <c r="L63" s="40">
        <f t="shared" si="5"/>
        <v>0</v>
      </c>
      <c r="M63" s="41">
        <f t="shared" si="6"/>
        <v>219.8</v>
      </c>
      <c r="N63" s="42">
        <f t="shared" si="7"/>
        <v>0.785</v>
      </c>
      <c r="O63" s="43"/>
      <c r="P63" s="44">
        <f t="shared" si="8"/>
        <v>0</v>
      </c>
      <c r="Q63" s="45">
        <f t="shared" si="9"/>
        <v>0</v>
      </c>
      <c r="R63" s="45">
        <f t="shared" si="13"/>
        <v>0</v>
      </c>
      <c r="S63" s="45">
        <f t="shared" si="14"/>
        <v>0</v>
      </c>
      <c r="T63" s="45">
        <f t="shared" si="10"/>
        <v>0</v>
      </c>
      <c r="U63" s="45">
        <f t="shared" si="11"/>
        <v>0</v>
      </c>
      <c r="V63" s="45">
        <f t="shared" si="12"/>
        <v>0</v>
      </c>
      <c r="W63" s="33"/>
      <c r="X63" s="33"/>
      <c r="Y63" s="33"/>
      <c r="Z63" s="33"/>
    </row>
    <row r="64" ht="14.25" customHeight="1">
      <c r="A64" s="46"/>
      <c r="B64" s="46" t="s">
        <v>172</v>
      </c>
      <c r="C64" s="46"/>
      <c r="D64" s="35">
        <v>30.0</v>
      </c>
      <c r="E64" s="36"/>
      <c r="F64" s="37"/>
      <c r="G64" s="38">
        <f t="shared" si="1"/>
        <v>375</v>
      </c>
      <c r="H64" s="37"/>
      <c r="I64" s="39">
        <v>480.0</v>
      </c>
      <c r="J64" s="40">
        <f t="shared" si="3"/>
        <v>24</v>
      </c>
      <c r="K64" s="40">
        <f t="shared" si="4"/>
        <v>79.2</v>
      </c>
      <c r="L64" s="40">
        <f t="shared" si="5"/>
        <v>0</v>
      </c>
      <c r="M64" s="41">
        <f t="shared" si="6"/>
        <v>376.8</v>
      </c>
      <c r="N64" s="42">
        <f t="shared" si="7"/>
        <v>0.785</v>
      </c>
      <c r="O64" s="43"/>
      <c r="P64" s="44">
        <f t="shared" si="8"/>
        <v>0</v>
      </c>
      <c r="Q64" s="45">
        <f t="shared" si="9"/>
        <v>0</v>
      </c>
      <c r="R64" s="45">
        <f t="shared" si="13"/>
        <v>0</v>
      </c>
      <c r="S64" s="45">
        <f t="shared" si="14"/>
        <v>0</v>
      </c>
      <c r="T64" s="45">
        <f t="shared" si="10"/>
        <v>0</v>
      </c>
      <c r="U64" s="45">
        <f t="shared" si="11"/>
        <v>0</v>
      </c>
      <c r="V64" s="45">
        <f t="shared" si="12"/>
        <v>0</v>
      </c>
      <c r="W64" s="33"/>
      <c r="X64" s="33"/>
      <c r="Y64" s="33"/>
      <c r="Z64" s="33"/>
    </row>
    <row r="65" ht="14.25" customHeight="1">
      <c r="A65" s="46"/>
      <c r="B65" s="46" t="s">
        <v>173</v>
      </c>
      <c r="C65" s="46"/>
      <c r="D65" s="35">
        <v>20.0</v>
      </c>
      <c r="E65" s="36"/>
      <c r="F65" s="37"/>
      <c r="G65" s="38">
        <f t="shared" si="1"/>
        <v>250</v>
      </c>
      <c r="H65" s="37"/>
      <c r="I65" s="39">
        <v>280.0</v>
      </c>
      <c r="J65" s="40">
        <f t="shared" si="3"/>
        <v>14</v>
      </c>
      <c r="K65" s="40">
        <f t="shared" si="4"/>
        <v>46.2</v>
      </c>
      <c r="L65" s="40">
        <f t="shared" si="5"/>
        <v>0</v>
      </c>
      <c r="M65" s="41">
        <f t="shared" si="6"/>
        <v>219.8</v>
      </c>
      <c r="N65" s="42">
        <f t="shared" si="7"/>
        <v>0.785</v>
      </c>
      <c r="O65" s="43"/>
      <c r="P65" s="44">
        <f t="shared" si="8"/>
        <v>0</v>
      </c>
      <c r="Q65" s="45">
        <f t="shared" si="9"/>
        <v>0</v>
      </c>
      <c r="R65" s="45">
        <f t="shared" si="13"/>
        <v>0</v>
      </c>
      <c r="S65" s="45">
        <f t="shared" si="14"/>
        <v>0</v>
      </c>
      <c r="T65" s="45">
        <f t="shared" si="10"/>
        <v>0</v>
      </c>
      <c r="U65" s="45">
        <f t="shared" si="11"/>
        <v>0</v>
      </c>
      <c r="V65" s="45">
        <f t="shared" si="12"/>
        <v>0</v>
      </c>
      <c r="W65" s="33"/>
      <c r="X65" s="33"/>
      <c r="Y65" s="33"/>
      <c r="Z65" s="33"/>
    </row>
    <row r="66" ht="14.25" customHeight="1">
      <c r="A66" s="46"/>
      <c r="B66" s="46" t="s">
        <v>174</v>
      </c>
      <c r="C66" s="46"/>
      <c r="D66" s="35">
        <v>20.0</v>
      </c>
      <c r="E66" s="36"/>
      <c r="F66" s="37"/>
      <c r="G66" s="38">
        <f t="shared" si="1"/>
        <v>250</v>
      </c>
      <c r="H66" s="37"/>
      <c r="I66" s="39">
        <v>250.0</v>
      </c>
      <c r="J66" s="40">
        <f t="shared" si="3"/>
        <v>12.5</v>
      </c>
      <c r="K66" s="40">
        <f t="shared" si="4"/>
        <v>41.25</v>
      </c>
      <c r="L66" s="40">
        <f t="shared" si="5"/>
        <v>0</v>
      </c>
      <c r="M66" s="41">
        <f t="shared" si="6"/>
        <v>196.25</v>
      </c>
      <c r="N66" s="42">
        <f t="shared" si="7"/>
        <v>0.785</v>
      </c>
      <c r="O66" s="43"/>
      <c r="P66" s="44">
        <f t="shared" si="8"/>
        <v>0</v>
      </c>
      <c r="Q66" s="45">
        <f t="shared" si="9"/>
        <v>0</v>
      </c>
      <c r="R66" s="45">
        <f t="shared" si="13"/>
        <v>0</v>
      </c>
      <c r="S66" s="45">
        <f t="shared" si="14"/>
        <v>0</v>
      </c>
      <c r="T66" s="45">
        <f t="shared" si="10"/>
        <v>0</v>
      </c>
      <c r="U66" s="45">
        <f t="shared" si="11"/>
        <v>0</v>
      </c>
      <c r="V66" s="45">
        <f t="shared" si="12"/>
        <v>0</v>
      </c>
      <c r="W66" s="33"/>
      <c r="X66" s="33"/>
      <c r="Y66" s="33"/>
      <c r="Z66" s="33"/>
    </row>
    <row r="67" ht="14.25" customHeight="1">
      <c r="A67" s="34"/>
      <c r="B67" s="34" t="s">
        <v>175</v>
      </c>
      <c r="C67" s="34"/>
      <c r="D67" s="35">
        <v>20.0</v>
      </c>
      <c r="E67" s="36"/>
      <c r="F67" s="37"/>
      <c r="G67" s="38">
        <f t="shared" si="1"/>
        <v>250</v>
      </c>
      <c r="H67" s="37"/>
      <c r="I67" s="39">
        <v>280.0</v>
      </c>
      <c r="J67" s="40">
        <f t="shared" si="3"/>
        <v>14</v>
      </c>
      <c r="K67" s="40">
        <f t="shared" si="4"/>
        <v>46.2</v>
      </c>
      <c r="L67" s="40">
        <f t="shared" si="5"/>
        <v>0</v>
      </c>
      <c r="M67" s="41">
        <f t="shared" si="6"/>
        <v>219.8</v>
      </c>
      <c r="N67" s="42">
        <f t="shared" si="7"/>
        <v>0.785</v>
      </c>
      <c r="O67" s="43"/>
      <c r="P67" s="44">
        <f t="shared" si="8"/>
        <v>0</v>
      </c>
      <c r="Q67" s="45">
        <f t="shared" si="9"/>
        <v>0</v>
      </c>
      <c r="R67" s="45">
        <f t="shared" si="13"/>
        <v>0</v>
      </c>
      <c r="S67" s="45">
        <f t="shared" si="14"/>
        <v>0</v>
      </c>
      <c r="T67" s="45">
        <f t="shared" si="10"/>
        <v>0</v>
      </c>
      <c r="U67" s="45">
        <f t="shared" si="11"/>
        <v>0</v>
      </c>
      <c r="V67" s="45">
        <f t="shared" si="12"/>
        <v>0</v>
      </c>
      <c r="W67" s="33"/>
      <c r="X67" s="33"/>
      <c r="Y67" s="33"/>
      <c r="Z67" s="33"/>
    </row>
    <row r="68" ht="14.25" customHeight="1">
      <c r="A68" s="46"/>
      <c r="B68" s="46" t="s">
        <v>176</v>
      </c>
      <c r="C68" s="46"/>
      <c r="D68" s="35">
        <v>60.0</v>
      </c>
      <c r="E68" s="36"/>
      <c r="F68" s="37"/>
      <c r="G68" s="38">
        <f t="shared" si="1"/>
        <v>750</v>
      </c>
      <c r="H68" s="37"/>
      <c r="I68" s="39">
        <v>700.0</v>
      </c>
      <c r="J68" s="40">
        <f t="shared" si="3"/>
        <v>35</v>
      </c>
      <c r="K68" s="40">
        <f t="shared" si="4"/>
        <v>115.5</v>
      </c>
      <c r="L68" s="40">
        <f t="shared" si="5"/>
        <v>0</v>
      </c>
      <c r="M68" s="41">
        <f t="shared" si="6"/>
        <v>549.5</v>
      </c>
      <c r="N68" s="42">
        <f t="shared" si="7"/>
        <v>0.785</v>
      </c>
      <c r="O68" s="43"/>
      <c r="P68" s="44">
        <f t="shared" si="8"/>
        <v>0</v>
      </c>
      <c r="Q68" s="45">
        <f t="shared" si="9"/>
        <v>0</v>
      </c>
      <c r="R68" s="45">
        <f t="shared" si="13"/>
        <v>0</v>
      </c>
      <c r="S68" s="45">
        <f t="shared" si="14"/>
        <v>0</v>
      </c>
      <c r="T68" s="45">
        <f t="shared" si="10"/>
        <v>0</v>
      </c>
      <c r="U68" s="45">
        <f t="shared" si="11"/>
        <v>0</v>
      </c>
      <c r="V68" s="45">
        <f t="shared" si="12"/>
        <v>0</v>
      </c>
      <c r="W68" s="33"/>
      <c r="X68" s="33"/>
      <c r="Y68" s="33"/>
      <c r="Z68" s="33"/>
    </row>
    <row r="69" ht="14.25" customHeight="1">
      <c r="A69" s="46"/>
      <c r="B69" s="46" t="s">
        <v>177</v>
      </c>
      <c r="C69" s="46"/>
      <c r="D69" s="35">
        <v>40.0</v>
      </c>
      <c r="E69" s="36"/>
      <c r="F69" s="37"/>
      <c r="G69" s="38">
        <f t="shared" si="1"/>
        <v>500</v>
      </c>
      <c r="H69" s="37"/>
      <c r="I69" s="39">
        <v>480.0</v>
      </c>
      <c r="J69" s="40">
        <f t="shared" si="3"/>
        <v>24</v>
      </c>
      <c r="K69" s="40">
        <f t="shared" si="4"/>
        <v>79.2</v>
      </c>
      <c r="L69" s="40">
        <f t="shared" si="5"/>
        <v>0</v>
      </c>
      <c r="M69" s="41">
        <f t="shared" si="6"/>
        <v>376.8</v>
      </c>
      <c r="N69" s="42">
        <f t="shared" si="7"/>
        <v>0.785</v>
      </c>
      <c r="O69" s="43"/>
      <c r="P69" s="44">
        <f t="shared" si="8"/>
        <v>0</v>
      </c>
      <c r="Q69" s="45">
        <f t="shared" si="9"/>
        <v>0</v>
      </c>
      <c r="R69" s="45">
        <f t="shared" si="13"/>
        <v>0</v>
      </c>
      <c r="S69" s="45">
        <f t="shared" si="14"/>
        <v>0</v>
      </c>
      <c r="T69" s="45">
        <f t="shared" si="10"/>
        <v>0</v>
      </c>
      <c r="U69" s="45">
        <f t="shared" si="11"/>
        <v>0</v>
      </c>
      <c r="V69" s="45">
        <f t="shared" si="12"/>
        <v>0</v>
      </c>
      <c r="W69" s="33"/>
      <c r="X69" s="33"/>
      <c r="Y69" s="33"/>
      <c r="Z69" s="33"/>
    </row>
    <row r="70" ht="14.25" customHeight="1">
      <c r="A70" s="46"/>
      <c r="B70" s="46" t="s">
        <v>178</v>
      </c>
      <c r="C70" s="46"/>
      <c r="D70" s="35">
        <v>30.0</v>
      </c>
      <c r="E70" s="36"/>
      <c r="F70" s="37"/>
      <c r="G70" s="38">
        <f t="shared" si="1"/>
        <v>375</v>
      </c>
      <c r="H70" s="37"/>
      <c r="I70" s="39">
        <v>510.0</v>
      </c>
      <c r="J70" s="40">
        <f t="shared" si="3"/>
        <v>25.5</v>
      </c>
      <c r="K70" s="40">
        <f t="shared" si="4"/>
        <v>84.15</v>
      </c>
      <c r="L70" s="40">
        <f t="shared" si="5"/>
        <v>0</v>
      </c>
      <c r="M70" s="41">
        <f t="shared" si="6"/>
        <v>400.35</v>
      </c>
      <c r="N70" s="42">
        <f t="shared" si="7"/>
        <v>0.785</v>
      </c>
      <c r="O70" s="43"/>
      <c r="P70" s="44">
        <f t="shared" si="8"/>
        <v>0</v>
      </c>
      <c r="Q70" s="45">
        <f t="shared" si="9"/>
        <v>0</v>
      </c>
      <c r="R70" s="45">
        <f t="shared" si="13"/>
        <v>0</v>
      </c>
      <c r="S70" s="45">
        <f t="shared" si="14"/>
        <v>0</v>
      </c>
      <c r="T70" s="45">
        <f t="shared" si="10"/>
        <v>0</v>
      </c>
      <c r="U70" s="45">
        <f t="shared" si="11"/>
        <v>0</v>
      </c>
      <c r="V70" s="45">
        <f t="shared" si="12"/>
        <v>0</v>
      </c>
      <c r="W70" s="33"/>
      <c r="X70" s="33"/>
      <c r="Y70" s="33"/>
      <c r="Z70" s="33"/>
    </row>
    <row r="71" ht="14.25" customHeight="1">
      <c r="A71" s="46"/>
      <c r="B71" s="46" t="s">
        <v>179</v>
      </c>
      <c r="C71" s="46"/>
      <c r="D71" s="35">
        <v>30.0</v>
      </c>
      <c r="E71" s="36"/>
      <c r="F71" s="37"/>
      <c r="G71" s="38">
        <f t="shared" si="1"/>
        <v>375</v>
      </c>
      <c r="H71" s="37"/>
      <c r="I71" s="39">
        <v>280.0</v>
      </c>
      <c r="J71" s="40">
        <f t="shared" si="3"/>
        <v>14</v>
      </c>
      <c r="K71" s="40">
        <f t="shared" si="4"/>
        <v>46.2</v>
      </c>
      <c r="L71" s="40">
        <f t="shared" si="5"/>
        <v>0</v>
      </c>
      <c r="M71" s="41">
        <f t="shared" si="6"/>
        <v>219.8</v>
      </c>
      <c r="N71" s="42">
        <f t="shared" si="7"/>
        <v>0.785</v>
      </c>
      <c r="O71" s="43"/>
      <c r="P71" s="44">
        <f t="shared" si="8"/>
        <v>0</v>
      </c>
      <c r="Q71" s="45">
        <f t="shared" si="9"/>
        <v>0</v>
      </c>
      <c r="R71" s="45">
        <f t="shared" si="13"/>
        <v>0</v>
      </c>
      <c r="S71" s="45">
        <f t="shared" si="14"/>
        <v>0</v>
      </c>
      <c r="T71" s="45">
        <f t="shared" si="10"/>
        <v>0</v>
      </c>
      <c r="U71" s="45">
        <f t="shared" si="11"/>
        <v>0</v>
      </c>
      <c r="V71" s="45">
        <f t="shared" si="12"/>
        <v>0</v>
      </c>
      <c r="W71" s="33"/>
      <c r="X71" s="33"/>
      <c r="Y71" s="33"/>
      <c r="Z71" s="33"/>
    </row>
    <row r="72" ht="14.25" customHeight="1">
      <c r="A72" s="46"/>
      <c r="B72" s="46" t="s">
        <v>180</v>
      </c>
      <c r="C72" s="46"/>
      <c r="D72" s="35">
        <v>15.0</v>
      </c>
      <c r="E72" s="36"/>
      <c r="F72" s="37"/>
      <c r="G72" s="38">
        <f t="shared" si="1"/>
        <v>187.5</v>
      </c>
      <c r="H72" s="37"/>
      <c r="I72" s="39">
        <v>180.0</v>
      </c>
      <c r="J72" s="40">
        <f t="shared" si="3"/>
        <v>9</v>
      </c>
      <c r="K72" s="40">
        <f t="shared" si="4"/>
        <v>29.7</v>
      </c>
      <c r="L72" s="40">
        <f t="shared" si="5"/>
        <v>0</v>
      </c>
      <c r="M72" s="41">
        <f t="shared" si="6"/>
        <v>141.3</v>
      </c>
      <c r="N72" s="42">
        <f t="shared" si="7"/>
        <v>0.785</v>
      </c>
      <c r="O72" s="43"/>
      <c r="P72" s="44">
        <f t="shared" si="8"/>
        <v>0</v>
      </c>
      <c r="Q72" s="45">
        <f t="shared" si="9"/>
        <v>0</v>
      </c>
      <c r="R72" s="45">
        <f t="shared" si="13"/>
        <v>0</v>
      </c>
      <c r="S72" s="45">
        <f t="shared" si="14"/>
        <v>0</v>
      </c>
      <c r="T72" s="45">
        <f t="shared" si="10"/>
        <v>0</v>
      </c>
      <c r="U72" s="45">
        <f t="shared" si="11"/>
        <v>0</v>
      </c>
      <c r="V72" s="45">
        <f t="shared" si="12"/>
        <v>0</v>
      </c>
      <c r="W72" s="33"/>
      <c r="X72" s="33"/>
      <c r="Y72" s="33"/>
      <c r="Z72" s="33"/>
    </row>
    <row r="73" ht="14.25" customHeight="1">
      <c r="A73" s="46"/>
      <c r="B73" s="46" t="s">
        <v>181</v>
      </c>
      <c r="C73" s="46"/>
      <c r="D73" s="35">
        <v>20.0</v>
      </c>
      <c r="E73" s="36"/>
      <c r="F73" s="37"/>
      <c r="G73" s="38">
        <f t="shared" si="1"/>
        <v>250</v>
      </c>
      <c r="H73" s="37"/>
      <c r="I73" s="39">
        <v>280.0</v>
      </c>
      <c r="J73" s="40">
        <f t="shared" si="3"/>
        <v>14</v>
      </c>
      <c r="K73" s="40">
        <f t="shared" si="4"/>
        <v>46.2</v>
      </c>
      <c r="L73" s="40">
        <f t="shared" si="5"/>
        <v>0</v>
      </c>
      <c r="M73" s="41">
        <f t="shared" si="6"/>
        <v>219.8</v>
      </c>
      <c r="N73" s="42">
        <f t="shared" si="7"/>
        <v>0.785</v>
      </c>
      <c r="O73" s="43"/>
      <c r="P73" s="44">
        <f t="shared" si="8"/>
        <v>0</v>
      </c>
      <c r="Q73" s="45">
        <f t="shared" si="9"/>
        <v>0</v>
      </c>
      <c r="R73" s="45">
        <f t="shared" si="13"/>
        <v>0</v>
      </c>
      <c r="S73" s="45">
        <f t="shared" si="14"/>
        <v>0</v>
      </c>
      <c r="T73" s="45">
        <f t="shared" si="10"/>
        <v>0</v>
      </c>
      <c r="U73" s="45">
        <f t="shared" si="11"/>
        <v>0</v>
      </c>
      <c r="V73" s="45">
        <f t="shared" si="12"/>
        <v>0</v>
      </c>
      <c r="W73" s="33"/>
      <c r="X73" s="33"/>
      <c r="Y73" s="33"/>
      <c r="Z73" s="33"/>
    </row>
    <row r="74" ht="14.25" customHeight="1">
      <c r="A74" s="46"/>
      <c r="B74" s="46" t="s">
        <v>182</v>
      </c>
      <c r="C74" s="46"/>
      <c r="D74" s="35">
        <v>60.0</v>
      </c>
      <c r="E74" s="36"/>
      <c r="F74" s="37"/>
      <c r="G74" s="38">
        <f t="shared" si="1"/>
        <v>750</v>
      </c>
      <c r="H74" s="37"/>
      <c r="I74" s="39">
        <v>1950.0</v>
      </c>
      <c r="J74" s="40">
        <f t="shared" si="3"/>
        <v>97.5</v>
      </c>
      <c r="K74" s="40">
        <f t="shared" si="4"/>
        <v>321.75</v>
      </c>
      <c r="L74" s="40">
        <f t="shared" si="5"/>
        <v>0</v>
      </c>
      <c r="M74" s="41">
        <f t="shared" si="6"/>
        <v>1530.75</v>
      </c>
      <c r="N74" s="42">
        <f t="shared" si="7"/>
        <v>0.785</v>
      </c>
      <c r="O74" s="43"/>
      <c r="P74" s="44">
        <f t="shared" si="8"/>
        <v>0</v>
      </c>
      <c r="Q74" s="45">
        <f t="shared" si="9"/>
        <v>0</v>
      </c>
      <c r="R74" s="45">
        <f t="shared" si="13"/>
        <v>0</v>
      </c>
      <c r="S74" s="45">
        <f t="shared" si="14"/>
        <v>0</v>
      </c>
      <c r="T74" s="45">
        <f t="shared" si="10"/>
        <v>0</v>
      </c>
      <c r="U74" s="45">
        <f t="shared" si="11"/>
        <v>0</v>
      </c>
      <c r="V74" s="45">
        <f t="shared" si="12"/>
        <v>0</v>
      </c>
      <c r="W74" s="33"/>
      <c r="X74" s="33"/>
      <c r="Y74" s="33"/>
      <c r="Z74" s="33"/>
    </row>
    <row r="75" ht="14.25" customHeight="1">
      <c r="A75" s="46"/>
      <c r="B75" s="46" t="s">
        <v>183</v>
      </c>
      <c r="C75" s="46"/>
      <c r="D75" s="35">
        <v>60.0</v>
      </c>
      <c r="E75" s="36"/>
      <c r="F75" s="37"/>
      <c r="G75" s="38">
        <f t="shared" si="1"/>
        <v>750</v>
      </c>
      <c r="H75" s="37"/>
      <c r="I75" s="39">
        <v>2700.0</v>
      </c>
      <c r="J75" s="40">
        <f t="shared" si="3"/>
        <v>135</v>
      </c>
      <c r="K75" s="40">
        <f t="shared" si="4"/>
        <v>445.5</v>
      </c>
      <c r="L75" s="40">
        <f t="shared" si="5"/>
        <v>0</v>
      </c>
      <c r="M75" s="41">
        <f t="shared" si="6"/>
        <v>2119.5</v>
      </c>
      <c r="N75" s="42">
        <f t="shared" si="7"/>
        <v>0.785</v>
      </c>
      <c r="O75" s="43"/>
      <c r="P75" s="44">
        <f t="shared" si="8"/>
        <v>0</v>
      </c>
      <c r="Q75" s="45">
        <f t="shared" si="9"/>
        <v>0</v>
      </c>
      <c r="R75" s="45">
        <f t="shared" si="13"/>
        <v>0</v>
      </c>
      <c r="S75" s="45">
        <f t="shared" si="14"/>
        <v>0</v>
      </c>
      <c r="T75" s="45">
        <f t="shared" si="10"/>
        <v>0</v>
      </c>
      <c r="U75" s="45">
        <f t="shared" si="11"/>
        <v>0</v>
      </c>
      <c r="V75" s="45">
        <f t="shared" si="12"/>
        <v>0</v>
      </c>
      <c r="W75" s="33"/>
      <c r="X75" s="33"/>
      <c r="Y75" s="33"/>
      <c r="Z75" s="33"/>
    </row>
    <row r="76" ht="14.25" customHeight="1">
      <c r="A76" s="34"/>
      <c r="B76" s="34" t="s">
        <v>184</v>
      </c>
      <c r="C76" s="34"/>
      <c r="D76" s="35">
        <v>60.0</v>
      </c>
      <c r="E76" s="36"/>
      <c r="F76" s="37"/>
      <c r="G76" s="38">
        <f t="shared" si="1"/>
        <v>750</v>
      </c>
      <c r="H76" s="37"/>
      <c r="I76" s="39">
        <v>2800.0</v>
      </c>
      <c r="J76" s="40">
        <f t="shared" si="3"/>
        <v>140</v>
      </c>
      <c r="K76" s="40">
        <f t="shared" si="4"/>
        <v>462</v>
      </c>
      <c r="L76" s="40">
        <f t="shared" si="5"/>
        <v>0</v>
      </c>
      <c r="M76" s="41">
        <f t="shared" si="6"/>
        <v>2198</v>
      </c>
      <c r="N76" s="42">
        <f t="shared" si="7"/>
        <v>0.785</v>
      </c>
      <c r="O76" s="43"/>
      <c r="P76" s="44">
        <f t="shared" si="8"/>
        <v>0</v>
      </c>
      <c r="Q76" s="45">
        <f t="shared" si="9"/>
        <v>0</v>
      </c>
      <c r="R76" s="45">
        <f t="shared" si="13"/>
        <v>0</v>
      </c>
      <c r="S76" s="45">
        <f t="shared" si="14"/>
        <v>0</v>
      </c>
      <c r="T76" s="45">
        <f t="shared" si="10"/>
        <v>0</v>
      </c>
      <c r="U76" s="45">
        <f t="shared" si="11"/>
        <v>0</v>
      </c>
      <c r="V76" s="45">
        <f t="shared" si="12"/>
        <v>0</v>
      </c>
      <c r="W76" s="33"/>
      <c r="X76" s="33"/>
      <c r="Y76" s="33"/>
      <c r="Z76" s="33"/>
    </row>
    <row r="77" ht="14.25" customHeight="1">
      <c r="A77" s="34"/>
      <c r="B77" s="34" t="s">
        <v>185</v>
      </c>
      <c r="C77" s="34"/>
      <c r="D77" s="35">
        <v>60.0</v>
      </c>
      <c r="E77" s="36"/>
      <c r="F77" s="37"/>
      <c r="G77" s="38">
        <f t="shared" si="1"/>
        <v>750</v>
      </c>
      <c r="H77" s="37"/>
      <c r="I77" s="39">
        <v>1500.0</v>
      </c>
      <c r="J77" s="40">
        <f t="shared" si="3"/>
        <v>75</v>
      </c>
      <c r="K77" s="40">
        <f t="shared" si="4"/>
        <v>247.5</v>
      </c>
      <c r="L77" s="40">
        <f t="shared" si="5"/>
        <v>0</v>
      </c>
      <c r="M77" s="41">
        <f t="shared" si="6"/>
        <v>1177.5</v>
      </c>
      <c r="N77" s="42">
        <f t="shared" si="7"/>
        <v>0.785</v>
      </c>
      <c r="O77" s="43"/>
      <c r="P77" s="44">
        <f t="shared" si="8"/>
        <v>0</v>
      </c>
      <c r="Q77" s="45">
        <f t="shared" si="9"/>
        <v>0</v>
      </c>
      <c r="R77" s="45">
        <f t="shared" si="13"/>
        <v>0</v>
      </c>
      <c r="S77" s="45">
        <f t="shared" si="14"/>
        <v>0</v>
      </c>
      <c r="T77" s="45">
        <f t="shared" si="10"/>
        <v>0</v>
      </c>
      <c r="U77" s="45">
        <f t="shared" si="11"/>
        <v>0</v>
      </c>
      <c r="V77" s="45">
        <f t="shared" si="12"/>
        <v>0</v>
      </c>
      <c r="W77" s="33"/>
      <c r="X77" s="33"/>
      <c r="Y77" s="33"/>
      <c r="Z77" s="33"/>
    </row>
    <row r="78" ht="14.25" customHeight="1">
      <c r="A78" s="46"/>
      <c r="B78" s="46" t="s">
        <v>186</v>
      </c>
      <c r="C78" s="46"/>
      <c r="D78" s="35">
        <v>30.0</v>
      </c>
      <c r="E78" s="36"/>
      <c r="F78" s="37"/>
      <c r="G78" s="38">
        <f t="shared" si="1"/>
        <v>375</v>
      </c>
      <c r="H78" s="37"/>
      <c r="I78" s="39">
        <v>1112.0</v>
      </c>
      <c r="J78" s="40">
        <f t="shared" si="3"/>
        <v>55.6</v>
      </c>
      <c r="K78" s="40">
        <f t="shared" si="4"/>
        <v>183.48</v>
      </c>
      <c r="L78" s="40">
        <f t="shared" si="5"/>
        <v>0</v>
      </c>
      <c r="M78" s="41">
        <f t="shared" si="6"/>
        <v>872.92</v>
      </c>
      <c r="N78" s="42">
        <f t="shared" si="7"/>
        <v>0.785</v>
      </c>
      <c r="O78" s="43"/>
      <c r="P78" s="44">
        <f t="shared" si="8"/>
        <v>0</v>
      </c>
      <c r="Q78" s="45">
        <f t="shared" si="9"/>
        <v>0</v>
      </c>
      <c r="R78" s="45">
        <f t="shared" si="13"/>
        <v>0</v>
      </c>
      <c r="S78" s="45">
        <f t="shared" si="14"/>
        <v>0</v>
      </c>
      <c r="T78" s="45">
        <f t="shared" si="10"/>
        <v>0</v>
      </c>
      <c r="U78" s="45">
        <f t="shared" si="11"/>
        <v>0</v>
      </c>
      <c r="V78" s="45">
        <f t="shared" si="12"/>
        <v>0</v>
      </c>
      <c r="W78" s="33"/>
      <c r="X78" s="33"/>
      <c r="Y78" s="33"/>
      <c r="Z78" s="33"/>
    </row>
    <row r="79" ht="14.25" customHeight="1">
      <c r="A79" s="46"/>
      <c r="B79" s="46" t="s">
        <v>187</v>
      </c>
      <c r="C79" s="46"/>
      <c r="D79" s="35">
        <v>60.0</v>
      </c>
      <c r="E79" s="36"/>
      <c r="F79" s="37"/>
      <c r="G79" s="38">
        <f t="shared" si="1"/>
        <v>750</v>
      </c>
      <c r="H79" s="37"/>
      <c r="I79" s="39">
        <v>1534.0</v>
      </c>
      <c r="J79" s="40">
        <f t="shared" si="3"/>
        <v>76.7</v>
      </c>
      <c r="K79" s="40">
        <f t="shared" si="4"/>
        <v>253.11</v>
      </c>
      <c r="L79" s="40">
        <f t="shared" si="5"/>
        <v>0</v>
      </c>
      <c r="M79" s="41">
        <f t="shared" si="6"/>
        <v>1204.19</v>
      </c>
      <c r="N79" s="42">
        <f t="shared" si="7"/>
        <v>0.785</v>
      </c>
      <c r="O79" s="43"/>
      <c r="P79" s="44">
        <f t="shared" si="8"/>
        <v>0</v>
      </c>
      <c r="Q79" s="45">
        <f t="shared" si="9"/>
        <v>0</v>
      </c>
      <c r="R79" s="45">
        <f t="shared" si="13"/>
        <v>0</v>
      </c>
      <c r="S79" s="45">
        <f t="shared" si="14"/>
        <v>0</v>
      </c>
      <c r="T79" s="45">
        <f t="shared" si="10"/>
        <v>0</v>
      </c>
      <c r="U79" s="45">
        <f t="shared" si="11"/>
        <v>0</v>
      </c>
      <c r="V79" s="45">
        <f t="shared" si="12"/>
        <v>0</v>
      </c>
      <c r="W79" s="33"/>
      <c r="X79" s="33"/>
      <c r="Y79" s="33"/>
      <c r="Z79" s="33"/>
    </row>
    <row r="80" ht="14.25" customHeight="1">
      <c r="A80" s="46"/>
      <c r="B80" s="46" t="s">
        <v>188</v>
      </c>
      <c r="C80" s="46"/>
      <c r="D80" s="35">
        <v>60.0</v>
      </c>
      <c r="E80" s="36"/>
      <c r="F80" s="37"/>
      <c r="G80" s="38">
        <f t="shared" si="1"/>
        <v>750</v>
      </c>
      <c r="H80" s="37"/>
      <c r="I80" s="39">
        <v>1917.0</v>
      </c>
      <c r="J80" s="40">
        <f t="shared" si="3"/>
        <v>95.85</v>
      </c>
      <c r="K80" s="40">
        <f t="shared" si="4"/>
        <v>316.305</v>
      </c>
      <c r="L80" s="40">
        <f t="shared" si="5"/>
        <v>0</v>
      </c>
      <c r="M80" s="41">
        <f t="shared" si="6"/>
        <v>1504.845</v>
      </c>
      <c r="N80" s="42">
        <f t="shared" si="7"/>
        <v>0.785</v>
      </c>
      <c r="O80" s="43"/>
      <c r="P80" s="44">
        <f t="shared" si="8"/>
        <v>0</v>
      </c>
      <c r="Q80" s="45">
        <f t="shared" si="9"/>
        <v>0</v>
      </c>
      <c r="R80" s="45">
        <f t="shared" si="13"/>
        <v>0</v>
      </c>
      <c r="S80" s="45">
        <f t="shared" si="14"/>
        <v>0</v>
      </c>
      <c r="T80" s="45">
        <f t="shared" si="10"/>
        <v>0</v>
      </c>
      <c r="U80" s="45">
        <f t="shared" si="11"/>
        <v>0</v>
      </c>
      <c r="V80" s="45">
        <f t="shared" si="12"/>
        <v>0</v>
      </c>
      <c r="W80" s="33"/>
      <c r="X80" s="33"/>
      <c r="Y80" s="33"/>
      <c r="Z80" s="33"/>
    </row>
    <row r="81" ht="14.25" customHeight="1">
      <c r="A81" s="34"/>
      <c r="B81" s="34" t="s">
        <v>189</v>
      </c>
      <c r="C81" s="34"/>
      <c r="D81" s="35">
        <v>30.0</v>
      </c>
      <c r="E81" s="36"/>
      <c r="F81" s="37"/>
      <c r="G81" s="38">
        <f t="shared" si="1"/>
        <v>375</v>
      </c>
      <c r="H81" s="37"/>
      <c r="I81" s="39">
        <v>1667.0</v>
      </c>
      <c r="J81" s="40">
        <f t="shared" si="3"/>
        <v>83.35</v>
      </c>
      <c r="K81" s="40">
        <f t="shared" si="4"/>
        <v>275.055</v>
      </c>
      <c r="L81" s="40">
        <f t="shared" si="5"/>
        <v>0</v>
      </c>
      <c r="M81" s="41">
        <f t="shared" si="6"/>
        <v>1308.595</v>
      </c>
      <c r="N81" s="42">
        <f t="shared" si="7"/>
        <v>0.785</v>
      </c>
      <c r="O81" s="43"/>
      <c r="P81" s="44">
        <f t="shared" si="8"/>
        <v>0</v>
      </c>
      <c r="Q81" s="45">
        <f t="shared" si="9"/>
        <v>0</v>
      </c>
      <c r="R81" s="45">
        <f t="shared" si="13"/>
        <v>0</v>
      </c>
      <c r="S81" s="45">
        <f t="shared" si="14"/>
        <v>0</v>
      </c>
      <c r="T81" s="45">
        <f t="shared" si="10"/>
        <v>0</v>
      </c>
      <c r="U81" s="45">
        <f t="shared" si="11"/>
        <v>0</v>
      </c>
      <c r="V81" s="45">
        <f t="shared" si="12"/>
        <v>0</v>
      </c>
      <c r="W81" s="33"/>
      <c r="X81" s="33"/>
      <c r="Y81" s="33"/>
      <c r="Z81" s="33"/>
    </row>
    <row r="82" ht="14.25" customHeight="1">
      <c r="A82" s="46"/>
      <c r="B82" s="46" t="s">
        <v>190</v>
      </c>
      <c r="C82" s="46"/>
      <c r="D82" s="35">
        <v>5.0</v>
      </c>
      <c r="E82" s="36"/>
      <c r="F82" s="37"/>
      <c r="G82" s="38">
        <f t="shared" si="1"/>
        <v>62.5</v>
      </c>
      <c r="H82" s="37"/>
      <c r="I82" s="39">
        <v>0.15</v>
      </c>
      <c r="J82" s="40">
        <f t="shared" si="3"/>
        <v>0.0075</v>
      </c>
      <c r="K82" s="40">
        <f t="shared" si="4"/>
        <v>0.02475</v>
      </c>
      <c r="L82" s="40">
        <f t="shared" si="5"/>
        <v>0</v>
      </c>
      <c r="M82" s="41">
        <f t="shared" si="6"/>
        <v>0.11775</v>
      </c>
      <c r="N82" s="42">
        <f t="shared" si="7"/>
        <v>0.785</v>
      </c>
      <c r="O82" s="43"/>
      <c r="P82" s="44">
        <f t="shared" si="8"/>
        <v>0</v>
      </c>
      <c r="Q82" s="45">
        <f t="shared" si="9"/>
        <v>0</v>
      </c>
      <c r="R82" s="45">
        <f t="shared" si="13"/>
        <v>0</v>
      </c>
      <c r="S82" s="45">
        <f t="shared" si="14"/>
        <v>0</v>
      </c>
      <c r="T82" s="45">
        <f t="shared" si="10"/>
        <v>0</v>
      </c>
      <c r="U82" s="45">
        <f t="shared" si="11"/>
        <v>0</v>
      </c>
      <c r="V82" s="45">
        <f t="shared" si="12"/>
        <v>0</v>
      </c>
      <c r="W82" s="33"/>
      <c r="X82" s="33"/>
      <c r="Y82" s="33"/>
      <c r="Z82" s="33"/>
    </row>
    <row r="83" ht="14.25" customHeight="1">
      <c r="A83" s="46"/>
      <c r="B83" s="46" t="s">
        <v>191</v>
      </c>
      <c r="C83" s="46"/>
      <c r="D83" s="35">
        <v>5.0</v>
      </c>
      <c r="E83" s="36"/>
      <c r="F83" s="37"/>
      <c r="G83" s="38">
        <f t="shared" si="1"/>
        <v>62.5</v>
      </c>
      <c r="H83" s="37"/>
      <c r="I83" s="39">
        <v>2.8</v>
      </c>
      <c r="J83" s="40">
        <f t="shared" si="3"/>
        <v>0.14</v>
      </c>
      <c r="K83" s="40">
        <f t="shared" si="4"/>
        <v>0.462</v>
      </c>
      <c r="L83" s="40">
        <f t="shared" si="5"/>
        <v>0</v>
      </c>
      <c r="M83" s="41">
        <f t="shared" si="6"/>
        <v>2.198</v>
      </c>
      <c r="N83" s="42">
        <f t="shared" si="7"/>
        <v>0.785</v>
      </c>
      <c r="O83" s="43"/>
      <c r="P83" s="44">
        <f t="shared" si="8"/>
        <v>0</v>
      </c>
      <c r="Q83" s="45">
        <f t="shared" si="9"/>
        <v>0</v>
      </c>
      <c r="R83" s="45">
        <f t="shared" si="13"/>
        <v>0</v>
      </c>
      <c r="S83" s="45">
        <f t="shared" si="14"/>
        <v>0</v>
      </c>
      <c r="T83" s="45">
        <f t="shared" si="10"/>
        <v>0</v>
      </c>
      <c r="U83" s="45">
        <f t="shared" si="11"/>
        <v>0</v>
      </c>
      <c r="V83" s="45">
        <f t="shared" si="12"/>
        <v>0</v>
      </c>
      <c r="W83" s="33"/>
      <c r="X83" s="33"/>
      <c r="Y83" s="33"/>
      <c r="Z83" s="33"/>
    </row>
    <row r="84" ht="14.25" customHeight="1">
      <c r="A84" s="46"/>
      <c r="B84" s="46" t="s">
        <v>192</v>
      </c>
      <c r="C84" s="46"/>
      <c r="D84" s="35">
        <v>5.0</v>
      </c>
      <c r="E84" s="36"/>
      <c r="F84" s="37"/>
      <c r="G84" s="38">
        <f t="shared" si="1"/>
        <v>62.5</v>
      </c>
      <c r="H84" s="37"/>
      <c r="I84" s="39">
        <v>0.15</v>
      </c>
      <c r="J84" s="40">
        <f t="shared" si="3"/>
        <v>0.0075</v>
      </c>
      <c r="K84" s="40">
        <f t="shared" si="4"/>
        <v>0.02475</v>
      </c>
      <c r="L84" s="40">
        <f t="shared" si="5"/>
        <v>0</v>
      </c>
      <c r="M84" s="41">
        <f t="shared" si="6"/>
        <v>0.11775</v>
      </c>
      <c r="N84" s="42">
        <f t="shared" si="7"/>
        <v>0.785</v>
      </c>
      <c r="O84" s="43"/>
      <c r="P84" s="44">
        <f t="shared" si="8"/>
        <v>0</v>
      </c>
      <c r="Q84" s="45">
        <f t="shared" si="9"/>
        <v>0</v>
      </c>
      <c r="R84" s="45">
        <f t="shared" si="13"/>
        <v>0</v>
      </c>
      <c r="S84" s="45">
        <f t="shared" si="14"/>
        <v>0</v>
      </c>
      <c r="T84" s="45">
        <f t="shared" si="10"/>
        <v>0</v>
      </c>
      <c r="U84" s="45">
        <f t="shared" si="11"/>
        <v>0</v>
      </c>
      <c r="V84" s="45">
        <f t="shared" si="12"/>
        <v>0</v>
      </c>
      <c r="W84" s="33"/>
      <c r="X84" s="33"/>
      <c r="Y84" s="33"/>
      <c r="Z84" s="33"/>
    </row>
    <row r="85" ht="14.25" customHeight="1">
      <c r="A85" s="46"/>
      <c r="B85" s="46" t="s">
        <v>193</v>
      </c>
      <c r="C85" s="46"/>
      <c r="D85" s="35">
        <v>30.0</v>
      </c>
      <c r="E85" s="36"/>
      <c r="F85" s="37"/>
      <c r="G85" s="38">
        <f t="shared" si="1"/>
        <v>375</v>
      </c>
      <c r="H85" s="37"/>
      <c r="I85" s="39">
        <v>1334.0</v>
      </c>
      <c r="J85" s="40">
        <f t="shared" si="3"/>
        <v>66.7</v>
      </c>
      <c r="K85" s="40">
        <f t="shared" si="4"/>
        <v>220.11</v>
      </c>
      <c r="L85" s="40">
        <f t="shared" si="5"/>
        <v>0</v>
      </c>
      <c r="M85" s="41">
        <f t="shared" si="6"/>
        <v>1047.19</v>
      </c>
      <c r="N85" s="42">
        <f t="shared" si="7"/>
        <v>0.785</v>
      </c>
      <c r="O85" s="43"/>
      <c r="P85" s="44">
        <f t="shared" si="8"/>
        <v>0</v>
      </c>
      <c r="Q85" s="45">
        <f t="shared" si="9"/>
        <v>0</v>
      </c>
      <c r="R85" s="45">
        <f t="shared" si="13"/>
        <v>0</v>
      </c>
      <c r="S85" s="45">
        <f t="shared" si="14"/>
        <v>0</v>
      </c>
      <c r="T85" s="45">
        <f t="shared" si="10"/>
        <v>0</v>
      </c>
      <c r="U85" s="45">
        <f t="shared" si="11"/>
        <v>0</v>
      </c>
      <c r="V85" s="45">
        <f t="shared" si="12"/>
        <v>0</v>
      </c>
      <c r="W85" s="33"/>
      <c r="X85" s="33"/>
      <c r="Y85" s="33"/>
      <c r="Z85" s="33"/>
    </row>
    <row r="86" ht="14.25" customHeight="1">
      <c r="A86" s="46"/>
      <c r="B86" s="46" t="s">
        <v>194</v>
      </c>
      <c r="C86" s="46"/>
      <c r="D86" s="35">
        <v>30.0</v>
      </c>
      <c r="E86" s="36"/>
      <c r="F86" s="37"/>
      <c r="G86" s="38">
        <f t="shared" si="1"/>
        <v>375</v>
      </c>
      <c r="H86" s="37"/>
      <c r="I86" s="39">
        <v>0.0</v>
      </c>
      <c r="J86" s="40">
        <f t="shared" si="3"/>
        <v>0</v>
      </c>
      <c r="K86" s="40">
        <f t="shared" si="4"/>
        <v>0</v>
      </c>
      <c r="L86" s="40">
        <f t="shared" si="5"/>
        <v>0</v>
      </c>
      <c r="M86" s="41">
        <f t="shared" si="6"/>
        <v>0</v>
      </c>
      <c r="N86" s="42" t="str">
        <f t="shared" si="7"/>
        <v>#DIV/0!</v>
      </c>
      <c r="O86" s="43"/>
      <c r="P86" s="44">
        <f t="shared" si="8"/>
        <v>0</v>
      </c>
      <c r="Q86" s="45">
        <f t="shared" si="9"/>
        <v>0</v>
      </c>
      <c r="R86" s="45">
        <f t="shared" si="13"/>
        <v>0</v>
      </c>
      <c r="S86" s="45">
        <f t="shared" si="14"/>
        <v>0</v>
      </c>
      <c r="T86" s="45">
        <f t="shared" si="10"/>
        <v>0</v>
      </c>
      <c r="U86" s="45">
        <f t="shared" si="11"/>
        <v>0</v>
      </c>
      <c r="V86" s="45">
        <f t="shared" si="12"/>
        <v>0</v>
      </c>
      <c r="W86" s="33"/>
      <c r="X86" s="33"/>
      <c r="Y86" s="33"/>
      <c r="Z86" s="33"/>
    </row>
    <row r="87" ht="14.25" customHeight="1">
      <c r="A87" s="46"/>
      <c r="B87" s="46" t="s">
        <v>195</v>
      </c>
      <c r="C87" s="46"/>
      <c r="D87" s="35">
        <v>30.0</v>
      </c>
      <c r="E87" s="36"/>
      <c r="F87" s="37"/>
      <c r="G87" s="38">
        <f t="shared" si="1"/>
        <v>375</v>
      </c>
      <c r="H87" s="37"/>
      <c r="I87" s="39">
        <v>0.0</v>
      </c>
      <c r="J87" s="40">
        <f t="shared" si="3"/>
        <v>0</v>
      </c>
      <c r="K87" s="40">
        <f t="shared" si="4"/>
        <v>0</v>
      </c>
      <c r="L87" s="40">
        <f t="shared" si="5"/>
        <v>0</v>
      </c>
      <c r="M87" s="41">
        <f t="shared" si="6"/>
        <v>0</v>
      </c>
      <c r="N87" s="42" t="str">
        <f t="shared" si="7"/>
        <v>#DIV/0!</v>
      </c>
      <c r="O87" s="43"/>
      <c r="P87" s="44">
        <f t="shared" si="8"/>
        <v>0</v>
      </c>
      <c r="Q87" s="45">
        <f t="shared" si="9"/>
        <v>0</v>
      </c>
      <c r="R87" s="45">
        <f t="shared" si="13"/>
        <v>0</v>
      </c>
      <c r="S87" s="45">
        <f t="shared" si="14"/>
        <v>0</v>
      </c>
      <c r="T87" s="45">
        <f t="shared" si="10"/>
        <v>0</v>
      </c>
      <c r="U87" s="45">
        <f t="shared" si="11"/>
        <v>0</v>
      </c>
      <c r="V87" s="45">
        <f t="shared" si="12"/>
        <v>0</v>
      </c>
      <c r="W87" s="33"/>
      <c r="X87" s="33"/>
      <c r="Y87" s="33"/>
      <c r="Z87" s="33"/>
    </row>
    <row r="88" ht="14.25" customHeight="1">
      <c r="A88" s="46"/>
      <c r="B88" s="46" t="s">
        <v>196</v>
      </c>
      <c r="C88" s="46"/>
      <c r="D88" s="35">
        <v>40.0</v>
      </c>
      <c r="E88" s="36"/>
      <c r="F88" s="37"/>
      <c r="G88" s="38">
        <f t="shared" si="1"/>
        <v>500</v>
      </c>
      <c r="H88" s="37"/>
      <c r="I88" s="39">
        <v>1100.0</v>
      </c>
      <c r="J88" s="40">
        <f t="shared" si="3"/>
        <v>55</v>
      </c>
      <c r="K88" s="40">
        <f t="shared" si="4"/>
        <v>181.5</v>
      </c>
      <c r="L88" s="40">
        <f t="shared" si="5"/>
        <v>0</v>
      </c>
      <c r="M88" s="41">
        <f t="shared" si="6"/>
        <v>863.5</v>
      </c>
      <c r="N88" s="42">
        <f t="shared" si="7"/>
        <v>0.785</v>
      </c>
      <c r="O88" s="43"/>
      <c r="P88" s="44">
        <f t="shared" si="8"/>
        <v>0</v>
      </c>
      <c r="Q88" s="45">
        <f t="shared" si="9"/>
        <v>0</v>
      </c>
      <c r="R88" s="45">
        <f t="shared" si="13"/>
        <v>0</v>
      </c>
      <c r="S88" s="45">
        <f t="shared" si="14"/>
        <v>0</v>
      </c>
      <c r="T88" s="45">
        <f t="shared" si="10"/>
        <v>0</v>
      </c>
      <c r="U88" s="45">
        <f t="shared" si="11"/>
        <v>0</v>
      </c>
      <c r="V88" s="45">
        <f t="shared" si="12"/>
        <v>0</v>
      </c>
      <c r="W88" s="33"/>
      <c r="X88" s="33"/>
      <c r="Y88" s="33"/>
      <c r="Z88" s="33"/>
    </row>
    <row r="89" ht="14.25" customHeight="1">
      <c r="A89" s="46">
        <v>3.0101298E7</v>
      </c>
      <c r="B89" s="46" t="s">
        <v>197</v>
      </c>
      <c r="C89" s="46"/>
      <c r="D89" s="35">
        <v>30.0</v>
      </c>
      <c r="E89" s="36"/>
      <c r="F89" s="37"/>
      <c r="G89" s="38">
        <f t="shared" si="1"/>
        <v>375</v>
      </c>
      <c r="H89" s="37"/>
      <c r="I89" s="39">
        <v>0.0</v>
      </c>
      <c r="J89" s="40">
        <f t="shared" si="3"/>
        <v>0</v>
      </c>
      <c r="K89" s="40">
        <f t="shared" si="4"/>
        <v>0</v>
      </c>
      <c r="L89" s="40">
        <f t="shared" si="5"/>
        <v>0</v>
      </c>
      <c r="M89" s="41">
        <f t="shared" si="6"/>
        <v>0</v>
      </c>
      <c r="N89" s="42" t="str">
        <f t="shared" si="7"/>
        <v>#DIV/0!</v>
      </c>
      <c r="O89" s="43"/>
      <c r="P89" s="44">
        <f t="shared" si="8"/>
        <v>0</v>
      </c>
      <c r="Q89" s="45">
        <f t="shared" si="9"/>
        <v>0</v>
      </c>
      <c r="R89" s="45">
        <f t="shared" si="13"/>
        <v>0</v>
      </c>
      <c r="S89" s="45">
        <f t="shared" si="14"/>
        <v>0</v>
      </c>
      <c r="T89" s="45">
        <f t="shared" si="10"/>
        <v>0</v>
      </c>
      <c r="U89" s="45">
        <f t="shared" si="11"/>
        <v>0</v>
      </c>
      <c r="V89" s="45">
        <f t="shared" si="12"/>
        <v>0</v>
      </c>
      <c r="W89" s="33"/>
      <c r="X89" s="33"/>
      <c r="Y89" s="33"/>
      <c r="Z89" s="33"/>
    </row>
    <row r="90" ht="14.25" customHeight="1">
      <c r="A90" s="34">
        <v>3.0101352E7</v>
      </c>
      <c r="B90" s="34" t="s">
        <v>198</v>
      </c>
      <c r="C90" s="34"/>
      <c r="D90" s="35">
        <v>60.0</v>
      </c>
      <c r="E90" s="36"/>
      <c r="F90" s="37"/>
      <c r="G90" s="38">
        <f t="shared" si="1"/>
        <v>750</v>
      </c>
      <c r="H90" s="37"/>
      <c r="I90" s="39">
        <v>0.0</v>
      </c>
      <c r="J90" s="40">
        <f t="shared" si="3"/>
        <v>0</v>
      </c>
      <c r="K90" s="40">
        <f t="shared" si="4"/>
        <v>0</v>
      </c>
      <c r="L90" s="40">
        <f t="shared" si="5"/>
        <v>0</v>
      </c>
      <c r="M90" s="41">
        <f t="shared" si="6"/>
        <v>0</v>
      </c>
      <c r="N90" s="42" t="str">
        <f t="shared" si="7"/>
        <v>#DIV/0!</v>
      </c>
      <c r="O90" s="43"/>
      <c r="P90" s="44">
        <f t="shared" si="8"/>
        <v>0</v>
      </c>
      <c r="Q90" s="45">
        <f t="shared" si="9"/>
        <v>0</v>
      </c>
      <c r="R90" s="45">
        <f t="shared" si="13"/>
        <v>0</v>
      </c>
      <c r="S90" s="45">
        <f t="shared" si="14"/>
        <v>0</v>
      </c>
      <c r="T90" s="45">
        <f t="shared" si="10"/>
        <v>0</v>
      </c>
      <c r="U90" s="45">
        <f t="shared" si="11"/>
        <v>0</v>
      </c>
      <c r="V90" s="45">
        <f t="shared" si="12"/>
        <v>0</v>
      </c>
      <c r="W90" s="33"/>
      <c r="X90" s="33"/>
      <c r="Y90" s="33"/>
      <c r="Z90" s="33"/>
    </row>
    <row r="91" ht="14.25" customHeight="1">
      <c r="A91" s="34"/>
      <c r="B91" s="34" t="s">
        <v>199</v>
      </c>
      <c r="C91" s="34"/>
      <c r="D91" s="35">
        <v>60.0</v>
      </c>
      <c r="E91" s="36"/>
      <c r="F91" s="37"/>
      <c r="G91" s="38">
        <f t="shared" si="1"/>
        <v>750</v>
      </c>
      <c r="H91" s="37"/>
      <c r="I91" s="39">
        <v>0.0</v>
      </c>
      <c r="J91" s="40">
        <f t="shared" si="3"/>
        <v>0</v>
      </c>
      <c r="K91" s="40">
        <f t="shared" si="4"/>
        <v>0</v>
      </c>
      <c r="L91" s="40">
        <f t="shared" si="5"/>
        <v>0</v>
      </c>
      <c r="M91" s="41">
        <f t="shared" si="6"/>
        <v>0</v>
      </c>
      <c r="N91" s="42" t="str">
        <f t="shared" si="7"/>
        <v>#DIV/0!</v>
      </c>
      <c r="O91" s="43"/>
      <c r="P91" s="44">
        <f t="shared" si="8"/>
        <v>0</v>
      </c>
      <c r="Q91" s="45">
        <f t="shared" si="9"/>
        <v>0</v>
      </c>
      <c r="R91" s="45">
        <f t="shared" si="13"/>
        <v>0</v>
      </c>
      <c r="S91" s="45">
        <f t="shared" si="14"/>
        <v>0</v>
      </c>
      <c r="T91" s="45">
        <f t="shared" si="10"/>
        <v>0</v>
      </c>
      <c r="U91" s="45">
        <f t="shared" si="11"/>
        <v>0</v>
      </c>
      <c r="V91" s="45">
        <f t="shared" si="12"/>
        <v>0</v>
      </c>
      <c r="W91" s="33"/>
      <c r="X91" s="33"/>
      <c r="Y91" s="33"/>
      <c r="Z91" s="33"/>
    </row>
    <row r="92" ht="14.25" customHeight="1">
      <c r="A92" s="34">
        <v>3.0201055E7</v>
      </c>
      <c r="B92" s="34" t="s">
        <v>200</v>
      </c>
      <c r="C92" s="34"/>
      <c r="D92" s="35">
        <v>60.0</v>
      </c>
      <c r="E92" s="36"/>
      <c r="F92" s="37"/>
      <c r="G92" s="38">
        <f t="shared" si="1"/>
        <v>750</v>
      </c>
      <c r="H92" s="37"/>
      <c r="I92" s="39">
        <v>0.0</v>
      </c>
      <c r="J92" s="40">
        <f t="shared" si="3"/>
        <v>0</v>
      </c>
      <c r="K92" s="40">
        <f t="shared" si="4"/>
        <v>0</v>
      </c>
      <c r="L92" s="40">
        <f t="shared" si="5"/>
        <v>0</v>
      </c>
      <c r="M92" s="41">
        <f t="shared" si="6"/>
        <v>0</v>
      </c>
      <c r="N92" s="42" t="str">
        <f t="shared" si="7"/>
        <v>#DIV/0!</v>
      </c>
      <c r="O92" s="43"/>
      <c r="P92" s="44">
        <f t="shared" si="8"/>
        <v>0</v>
      </c>
      <c r="Q92" s="45">
        <f t="shared" si="9"/>
        <v>0</v>
      </c>
      <c r="R92" s="45">
        <f t="shared" si="13"/>
        <v>0</v>
      </c>
      <c r="S92" s="45">
        <f t="shared" si="14"/>
        <v>0</v>
      </c>
      <c r="T92" s="45">
        <f t="shared" si="10"/>
        <v>0</v>
      </c>
      <c r="U92" s="45">
        <f t="shared" si="11"/>
        <v>0</v>
      </c>
      <c r="V92" s="45">
        <f t="shared" si="12"/>
        <v>0</v>
      </c>
      <c r="W92" s="33"/>
      <c r="X92" s="33"/>
      <c r="Y92" s="33"/>
      <c r="Z92" s="33"/>
    </row>
    <row r="93" ht="14.25" customHeight="1">
      <c r="A93" s="46">
        <v>3.0101441E7</v>
      </c>
      <c r="B93" s="46" t="s">
        <v>201</v>
      </c>
      <c r="C93" s="46"/>
      <c r="D93" s="35">
        <v>0.0</v>
      </c>
      <c r="E93" s="36"/>
      <c r="F93" s="37"/>
      <c r="G93" s="38">
        <f t="shared" si="1"/>
        <v>0</v>
      </c>
      <c r="H93" s="37"/>
      <c r="I93" s="39">
        <v>0.0</v>
      </c>
      <c r="J93" s="40">
        <f t="shared" si="3"/>
        <v>0</v>
      </c>
      <c r="K93" s="40">
        <f t="shared" si="4"/>
        <v>0</v>
      </c>
      <c r="L93" s="40">
        <f t="shared" si="5"/>
        <v>0</v>
      </c>
      <c r="M93" s="41">
        <f t="shared" si="6"/>
        <v>0</v>
      </c>
      <c r="N93" s="42" t="str">
        <f t="shared" si="7"/>
        <v>#DIV/0!</v>
      </c>
      <c r="O93" s="43"/>
      <c r="P93" s="44">
        <f t="shared" si="8"/>
        <v>0</v>
      </c>
      <c r="Q93" s="45">
        <f t="shared" si="9"/>
        <v>0</v>
      </c>
      <c r="R93" s="45">
        <f t="shared" si="13"/>
        <v>0</v>
      </c>
      <c r="S93" s="45">
        <f t="shared" si="14"/>
        <v>0</v>
      </c>
      <c r="T93" s="45">
        <f t="shared" si="10"/>
        <v>0</v>
      </c>
      <c r="U93" s="45">
        <f t="shared" si="11"/>
        <v>0</v>
      </c>
      <c r="V93" s="45">
        <f t="shared" si="12"/>
        <v>0</v>
      </c>
      <c r="W93" s="33"/>
      <c r="X93" s="33"/>
      <c r="Y93" s="33"/>
      <c r="Z93" s="33"/>
    </row>
    <row r="94" ht="14.25" customHeight="1">
      <c r="A94" s="46">
        <v>3.0101468E7</v>
      </c>
      <c r="B94" s="46" t="s">
        <v>202</v>
      </c>
      <c r="C94" s="46"/>
      <c r="D94" s="35">
        <v>0.0</v>
      </c>
      <c r="E94" s="36"/>
      <c r="F94" s="37"/>
      <c r="G94" s="38">
        <f t="shared" si="1"/>
        <v>0</v>
      </c>
      <c r="H94" s="37"/>
      <c r="I94" s="39">
        <v>0.0</v>
      </c>
      <c r="J94" s="40">
        <f t="shared" si="3"/>
        <v>0</v>
      </c>
      <c r="K94" s="40">
        <f t="shared" si="4"/>
        <v>0</v>
      </c>
      <c r="L94" s="40">
        <f t="shared" si="5"/>
        <v>0</v>
      </c>
      <c r="M94" s="41">
        <f t="shared" si="6"/>
        <v>0</v>
      </c>
      <c r="N94" s="42" t="str">
        <f t="shared" si="7"/>
        <v>#DIV/0!</v>
      </c>
      <c r="O94" s="43"/>
      <c r="P94" s="44">
        <f t="shared" si="8"/>
        <v>0</v>
      </c>
      <c r="Q94" s="45">
        <f t="shared" si="9"/>
        <v>0</v>
      </c>
      <c r="R94" s="45">
        <f t="shared" si="13"/>
        <v>0</v>
      </c>
      <c r="S94" s="45">
        <f t="shared" si="14"/>
        <v>0</v>
      </c>
      <c r="T94" s="45">
        <f t="shared" si="10"/>
        <v>0</v>
      </c>
      <c r="U94" s="45">
        <f t="shared" si="11"/>
        <v>0</v>
      </c>
      <c r="V94" s="45">
        <f t="shared" si="12"/>
        <v>0</v>
      </c>
      <c r="W94" s="33"/>
      <c r="X94" s="33"/>
      <c r="Y94" s="33"/>
      <c r="Z94" s="33"/>
    </row>
    <row r="95" ht="14.25" customHeight="1">
      <c r="A95" s="46">
        <v>3.0101921E7</v>
      </c>
      <c r="B95" s="46" t="s">
        <v>203</v>
      </c>
      <c r="C95" s="46"/>
      <c r="D95" s="35">
        <v>30.0</v>
      </c>
      <c r="E95" s="36"/>
      <c r="F95" s="37"/>
      <c r="G95" s="38">
        <f t="shared" si="1"/>
        <v>375</v>
      </c>
      <c r="H95" s="37"/>
      <c r="I95" s="39">
        <v>0.0</v>
      </c>
      <c r="J95" s="40">
        <f t="shared" si="3"/>
        <v>0</v>
      </c>
      <c r="K95" s="40">
        <f t="shared" si="4"/>
        <v>0</v>
      </c>
      <c r="L95" s="40">
        <f t="shared" si="5"/>
        <v>0</v>
      </c>
      <c r="M95" s="41">
        <f t="shared" si="6"/>
        <v>0</v>
      </c>
      <c r="N95" s="42" t="str">
        <f t="shared" si="7"/>
        <v>#DIV/0!</v>
      </c>
      <c r="O95" s="43"/>
      <c r="P95" s="44">
        <f t="shared" si="8"/>
        <v>0</v>
      </c>
      <c r="Q95" s="45">
        <f t="shared" si="9"/>
        <v>0</v>
      </c>
      <c r="R95" s="45">
        <f t="shared" si="13"/>
        <v>0</v>
      </c>
      <c r="S95" s="45">
        <f t="shared" si="14"/>
        <v>0</v>
      </c>
      <c r="T95" s="45">
        <f t="shared" si="10"/>
        <v>0</v>
      </c>
      <c r="U95" s="45">
        <f t="shared" si="11"/>
        <v>0</v>
      </c>
      <c r="V95" s="45">
        <f t="shared" si="12"/>
        <v>0</v>
      </c>
      <c r="W95" s="33"/>
      <c r="X95" s="33"/>
      <c r="Y95" s="33"/>
      <c r="Z95" s="33"/>
    </row>
    <row r="96" ht="14.25" customHeight="1">
      <c r="A96" s="46">
        <v>3.010145E7</v>
      </c>
      <c r="B96" s="46" t="s">
        <v>204</v>
      </c>
      <c r="C96" s="46"/>
      <c r="D96" s="35">
        <v>0.0</v>
      </c>
      <c r="E96" s="36"/>
      <c r="F96" s="37"/>
      <c r="G96" s="38">
        <f t="shared" si="1"/>
        <v>0</v>
      </c>
      <c r="H96" s="37"/>
      <c r="I96" s="39">
        <v>0.0</v>
      </c>
      <c r="J96" s="40">
        <f t="shared" si="3"/>
        <v>0</v>
      </c>
      <c r="K96" s="40">
        <f t="shared" si="4"/>
        <v>0</v>
      </c>
      <c r="L96" s="40">
        <f t="shared" si="5"/>
        <v>0</v>
      </c>
      <c r="M96" s="41">
        <f t="shared" si="6"/>
        <v>0</v>
      </c>
      <c r="N96" s="42" t="str">
        <f t="shared" si="7"/>
        <v>#DIV/0!</v>
      </c>
      <c r="O96" s="43"/>
      <c r="P96" s="44">
        <f t="shared" si="8"/>
        <v>0</v>
      </c>
      <c r="Q96" s="45">
        <f t="shared" si="9"/>
        <v>0</v>
      </c>
      <c r="R96" s="45">
        <f t="shared" si="13"/>
        <v>0</v>
      </c>
      <c r="S96" s="45">
        <f t="shared" si="14"/>
        <v>0</v>
      </c>
      <c r="T96" s="45">
        <f t="shared" si="10"/>
        <v>0</v>
      </c>
      <c r="U96" s="45">
        <f t="shared" si="11"/>
        <v>0</v>
      </c>
      <c r="V96" s="45">
        <f t="shared" si="12"/>
        <v>0</v>
      </c>
      <c r="W96" s="33"/>
      <c r="X96" s="33"/>
      <c r="Y96" s="33"/>
      <c r="Z96" s="33"/>
    </row>
    <row r="97" ht="14.25" customHeight="1">
      <c r="A97" s="46">
        <v>3.0101492E7</v>
      </c>
      <c r="B97" s="46" t="s">
        <v>205</v>
      </c>
      <c r="C97" s="46" t="s">
        <v>206</v>
      </c>
      <c r="D97" s="35">
        <v>30.0</v>
      </c>
      <c r="E97" s="36"/>
      <c r="F97" s="37"/>
      <c r="G97" s="38">
        <f t="shared" si="1"/>
        <v>375</v>
      </c>
      <c r="H97" s="37"/>
      <c r="I97" s="39">
        <v>0.0</v>
      </c>
      <c r="J97" s="40">
        <f t="shared" si="3"/>
        <v>0</v>
      </c>
      <c r="K97" s="40">
        <f t="shared" si="4"/>
        <v>0</v>
      </c>
      <c r="L97" s="40">
        <f t="shared" si="5"/>
        <v>0</v>
      </c>
      <c r="M97" s="41">
        <f t="shared" si="6"/>
        <v>0</v>
      </c>
      <c r="N97" s="42" t="str">
        <f t="shared" si="7"/>
        <v>#DIV/0!</v>
      </c>
      <c r="O97" s="43"/>
      <c r="P97" s="44">
        <f t="shared" si="8"/>
        <v>0</v>
      </c>
      <c r="Q97" s="45">
        <f t="shared" si="9"/>
        <v>0</v>
      </c>
      <c r="R97" s="45">
        <f t="shared" si="13"/>
        <v>0</v>
      </c>
      <c r="S97" s="45">
        <f t="shared" si="14"/>
        <v>0</v>
      </c>
      <c r="T97" s="45">
        <f t="shared" si="10"/>
        <v>0</v>
      </c>
      <c r="U97" s="45">
        <f t="shared" si="11"/>
        <v>0</v>
      </c>
      <c r="V97" s="45">
        <f t="shared" si="12"/>
        <v>0</v>
      </c>
      <c r="W97" s="33"/>
      <c r="X97" s="33"/>
      <c r="Y97" s="33"/>
      <c r="Z97" s="33"/>
    </row>
    <row r="98" ht="14.25" customHeight="1">
      <c r="A98" s="46"/>
      <c r="B98" s="46" t="s">
        <v>207</v>
      </c>
      <c r="C98" s="46"/>
      <c r="D98" s="35">
        <v>40.0</v>
      </c>
      <c r="E98" s="36"/>
      <c r="F98" s="37"/>
      <c r="G98" s="38">
        <f t="shared" si="1"/>
        <v>500</v>
      </c>
      <c r="H98" s="37"/>
      <c r="I98" s="39">
        <v>1500.0</v>
      </c>
      <c r="J98" s="40">
        <f t="shared" si="3"/>
        <v>75</v>
      </c>
      <c r="K98" s="40">
        <f t="shared" si="4"/>
        <v>247.5</v>
      </c>
      <c r="L98" s="40">
        <f t="shared" si="5"/>
        <v>0</v>
      </c>
      <c r="M98" s="41">
        <f t="shared" si="6"/>
        <v>1177.5</v>
      </c>
      <c r="N98" s="42">
        <f t="shared" si="7"/>
        <v>0.785</v>
      </c>
      <c r="O98" s="43"/>
      <c r="P98" s="44">
        <f t="shared" si="8"/>
        <v>0</v>
      </c>
      <c r="Q98" s="45">
        <f t="shared" si="9"/>
        <v>0</v>
      </c>
      <c r="R98" s="45">
        <f t="shared" si="13"/>
        <v>0</v>
      </c>
      <c r="S98" s="45">
        <f t="shared" si="14"/>
        <v>0</v>
      </c>
      <c r="T98" s="45">
        <f t="shared" si="10"/>
        <v>0</v>
      </c>
      <c r="U98" s="45">
        <f t="shared" si="11"/>
        <v>0</v>
      </c>
      <c r="V98" s="45">
        <f t="shared" si="12"/>
        <v>0</v>
      </c>
      <c r="W98" s="33"/>
      <c r="X98" s="33"/>
      <c r="Y98" s="33"/>
      <c r="Z98" s="33"/>
    </row>
    <row r="99" ht="14.25" customHeight="1">
      <c r="A99" s="46"/>
      <c r="B99" s="46" t="s">
        <v>208</v>
      </c>
      <c r="C99" s="46"/>
      <c r="D99" s="35">
        <v>60.0</v>
      </c>
      <c r="E99" s="36"/>
      <c r="F99" s="37"/>
      <c r="G99" s="38">
        <f t="shared" si="1"/>
        <v>750</v>
      </c>
      <c r="H99" s="37"/>
      <c r="I99" s="39">
        <v>1900.0</v>
      </c>
      <c r="J99" s="40">
        <f t="shared" si="3"/>
        <v>95</v>
      </c>
      <c r="K99" s="40">
        <f t="shared" si="4"/>
        <v>313.5</v>
      </c>
      <c r="L99" s="40">
        <f t="shared" si="5"/>
        <v>0</v>
      </c>
      <c r="M99" s="41">
        <f t="shared" si="6"/>
        <v>1491.5</v>
      </c>
      <c r="N99" s="42">
        <f t="shared" si="7"/>
        <v>0.785</v>
      </c>
      <c r="O99" s="43"/>
      <c r="P99" s="44">
        <f t="shared" si="8"/>
        <v>0</v>
      </c>
      <c r="Q99" s="45">
        <f t="shared" si="9"/>
        <v>0</v>
      </c>
      <c r="R99" s="45">
        <f t="shared" si="13"/>
        <v>0</v>
      </c>
      <c r="S99" s="45">
        <f t="shared" si="14"/>
        <v>0</v>
      </c>
      <c r="T99" s="45">
        <f t="shared" si="10"/>
        <v>0</v>
      </c>
      <c r="U99" s="45">
        <f t="shared" si="11"/>
        <v>0</v>
      </c>
      <c r="V99" s="45">
        <f t="shared" si="12"/>
        <v>0</v>
      </c>
      <c r="W99" s="33"/>
      <c r="X99" s="33"/>
      <c r="Y99" s="33"/>
      <c r="Z99" s="33"/>
    </row>
    <row r="100" ht="14.25" customHeight="1">
      <c r="A100" s="46"/>
      <c r="B100" s="46" t="s">
        <v>209</v>
      </c>
      <c r="C100" s="46"/>
      <c r="D100" s="35">
        <v>90.0</v>
      </c>
      <c r="E100" s="36"/>
      <c r="F100" s="37"/>
      <c r="G100" s="38">
        <f t="shared" si="1"/>
        <v>1125</v>
      </c>
      <c r="H100" s="37"/>
      <c r="I100" s="39">
        <v>2500.0</v>
      </c>
      <c r="J100" s="40">
        <f t="shared" si="3"/>
        <v>125</v>
      </c>
      <c r="K100" s="40">
        <f t="shared" si="4"/>
        <v>412.5</v>
      </c>
      <c r="L100" s="40">
        <f t="shared" si="5"/>
        <v>0</v>
      </c>
      <c r="M100" s="41">
        <f t="shared" si="6"/>
        <v>1962.5</v>
      </c>
      <c r="N100" s="42">
        <f t="shared" si="7"/>
        <v>0.785</v>
      </c>
      <c r="O100" s="43"/>
      <c r="P100" s="44">
        <f t="shared" si="8"/>
        <v>0</v>
      </c>
      <c r="Q100" s="45">
        <f t="shared" si="9"/>
        <v>0</v>
      </c>
      <c r="R100" s="45">
        <f t="shared" si="13"/>
        <v>0</v>
      </c>
      <c r="S100" s="45">
        <f t="shared" si="14"/>
        <v>0</v>
      </c>
      <c r="T100" s="45">
        <f t="shared" si="10"/>
        <v>0</v>
      </c>
      <c r="U100" s="45">
        <f t="shared" si="11"/>
        <v>0</v>
      </c>
      <c r="V100" s="45">
        <f t="shared" si="12"/>
        <v>0</v>
      </c>
      <c r="W100" s="33"/>
      <c r="X100" s="33"/>
      <c r="Y100" s="33"/>
      <c r="Z100" s="33"/>
    </row>
    <row r="101" ht="14.25" customHeight="1">
      <c r="A101" s="46"/>
      <c r="B101" s="46" t="s">
        <v>210</v>
      </c>
      <c r="C101" s="46"/>
      <c r="D101" s="35">
        <v>90.0</v>
      </c>
      <c r="E101" s="36"/>
      <c r="F101" s="37"/>
      <c r="G101" s="38">
        <f t="shared" si="1"/>
        <v>1125</v>
      </c>
      <c r="H101" s="37"/>
      <c r="I101" s="39">
        <v>3000.0</v>
      </c>
      <c r="J101" s="40">
        <f t="shared" si="3"/>
        <v>150</v>
      </c>
      <c r="K101" s="40">
        <f t="shared" si="4"/>
        <v>495</v>
      </c>
      <c r="L101" s="40">
        <f t="shared" si="5"/>
        <v>0</v>
      </c>
      <c r="M101" s="41">
        <f t="shared" si="6"/>
        <v>2355</v>
      </c>
      <c r="N101" s="42">
        <f t="shared" si="7"/>
        <v>0.785</v>
      </c>
      <c r="O101" s="43"/>
      <c r="P101" s="44">
        <f t="shared" si="8"/>
        <v>0</v>
      </c>
      <c r="Q101" s="45">
        <f t="shared" si="9"/>
        <v>0</v>
      </c>
      <c r="R101" s="45">
        <f t="shared" si="13"/>
        <v>0</v>
      </c>
      <c r="S101" s="45">
        <f t="shared" si="14"/>
        <v>0</v>
      </c>
      <c r="T101" s="45">
        <f t="shared" si="10"/>
        <v>0</v>
      </c>
      <c r="U101" s="45">
        <f t="shared" si="11"/>
        <v>0</v>
      </c>
      <c r="V101" s="45">
        <f t="shared" si="12"/>
        <v>0</v>
      </c>
      <c r="W101" s="33"/>
      <c r="X101" s="33"/>
      <c r="Y101" s="33"/>
      <c r="Z101" s="33"/>
    </row>
    <row r="102" ht="14.25" customHeight="1">
      <c r="A102" s="46"/>
      <c r="B102" s="46" t="s">
        <v>211</v>
      </c>
      <c r="C102" s="46"/>
      <c r="D102" s="35">
        <v>60.0</v>
      </c>
      <c r="E102" s="36"/>
      <c r="F102" s="37">
        <v>25.0</v>
      </c>
      <c r="G102" s="38">
        <f t="shared" si="1"/>
        <v>750</v>
      </c>
      <c r="H102" s="37"/>
      <c r="I102" s="39">
        <v>600.0</v>
      </c>
      <c r="J102" s="40">
        <f t="shared" si="3"/>
        <v>30</v>
      </c>
      <c r="K102" s="40">
        <f t="shared" si="4"/>
        <v>99</v>
      </c>
      <c r="L102" s="40">
        <f t="shared" si="5"/>
        <v>0</v>
      </c>
      <c r="M102" s="41">
        <f t="shared" si="6"/>
        <v>471</v>
      </c>
      <c r="N102" s="42">
        <f t="shared" si="7"/>
        <v>0.785</v>
      </c>
      <c r="O102" s="43"/>
      <c r="P102" s="44">
        <f t="shared" si="8"/>
        <v>0</v>
      </c>
      <c r="Q102" s="45">
        <f t="shared" si="9"/>
        <v>0</v>
      </c>
      <c r="R102" s="45">
        <f t="shared" si="13"/>
        <v>0</v>
      </c>
      <c r="S102" s="45">
        <f t="shared" si="14"/>
        <v>0</v>
      </c>
      <c r="T102" s="45">
        <f t="shared" si="10"/>
        <v>0</v>
      </c>
      <c r="U102" s="45">
        <f t="shared" si="11"/>
        <v>0</v>
      </c>
      <c r="V102" s="45">
        <f t="shared" si="12"/>
        <v>0</v>
      </c>
      <c r="W102" s="33"/>
      <c r="X102" s="33"/>
      <c r="Y102" s="33"/>
      <c r="Z102" s="33"/>
    </row>
    <row r="103" ht="14.25" customHeight="1">
      <c r="A103" s="46"/>
      <c r="B103" s="46" t="s">
        <v>212</v>
      </c>
      <c r="C103" s="46"/>
      <c r="D103" s="35">
        <v>60.0</v>
      </c>
      <c r="E103" s="36"/>
      <c r="F103" s="37">
        <v>75.0</v>
      </c>
      <c r="G103" s="38">
        <f t="shared" si="1"/>
        <v>750</v>
      </c>
      <c r="H103" s="37"/>
      <c r="I103" s="39">
        <v>1200.0</v>
      </c>
      <c r="J103" s="40">
        <f t="shared" si="3"/>
        <v>60</v>
      </c>
      <c r="K103" s="40">
        <f t="shared" si="4"/>
        <v>198</v>
      </c>
      <c r="L103" s="40">
        <f t="shared" si="5"/>
        <v>0</v>
      </c>
      <c r="M103" s="41">
        <f t="shared" si="6"/>
        <v>942</v>
      </c>
      <c r="N103" s="42">
        <f t="shared" si="7"/>
        <v>0.785</v>
      </c>
      <c r="O103" s="43"/>
      <c r="P103" s="44">
        <f t="shared" si="8"/>
        <v>0</v>
      </c>
      <c r="Q103" s="45">
        <f t="shared" si="9"/>
        <v>0</v>
      </c>
      <c r="R103" s="45">
        <f t="shared" si="13"/>
        <v>0</v>
      </c>
      <c r="S103" s="45">
        <f t="shared" si="14"/>
        <v>0</v>
      </c>
      <c r="T103" s="45">
        <f t="shared" si="10"/>
        <v>0</v>
      </c>
      <c r="U103" s="45">
        <f t="shared" si="11"/>
        <v>0</v>
      </c>
      <c r="V103" s="45">
        <f t="shared" si="12"/>
        <v>0</v>
      </c>
      <c r="W103" s="33"/>
      <c r="X103" s="33"/>
      <c r="Y103" s="33"/>
      <c r="Z103" s="33"/>
    </row>
    <row r="104" ht="14.25" customHeight="1">
      <c r="A104" s="46"/>
      <c r="B104" s="46" t="s">
        <v>213</v>
      </c>
      <c r="C104" s="46"/>
      <c r="D104" s="35">
        <v>60.0</v>
      </c>
      <c r="E104" s="36"/>
      <c r="F104" s="37">
        <v>50.0</v>
      </c>
      <c r="G104" s="38">
        <f t="shared" si="1"/>
        <v>750</v>
      </c>
      <c r="H104" s="37"/>
      <c r="I104" s="39">
        <v>500.0</v>
      </c>
      <c r="J104" s="40">
        <f t="shared" si="3"/>
        <v>25</v>
      </c>
      <c r="K104" s="40">
        <f t="shared" si="4"/>
        <v>82.5</v>
      </c>
      <c r="L104" s="40">
        <f t="shared" si="5"/>
        <v>0</v>
      </c>
      <c r="M104" s="41">
        <f t="shared" si="6"/>
        <v>392.5</v>
      </c>
      <c r="N104" s="42">
        <f t="shared" si="7"/>
        <v>0.785</v>
      </c>
      <c r="O104" s="43"/>
      <c r="P104" s="44">
        <f t="shared" si="8"/>
        <v>0</v>
      </c>
      <c r="Q104" s="45">
        <f t="shared" si="9"/>
        <v>0</v>
      </c>
      <c r="R104" s="45">
        <f t="shared" si="13"/>
        <v>0</v>
      </c>
      <c r="S104" s="45">
        <f t="shared" si="14"/>
        <v>0</v>
      </c>
      <c r="T104" s="45">
        <f t="shared" si="10"/>
        <v>0</v>
      </c>
      <c r="U104" s="45">
        <f t="shared" si="11"/>
        <v>0</v>
      </c>
      <c r="V104" s="45">
        <f t="shared" si="12"/>
        <v>0</v>
      </c>
      <c r="W104" s="33"/>
      <c r="X104" s="33"/>
      <c r="Y104" s="33"/>
      <c r="Z104" s="33"/>
    </row>
    <row r="105" ht="14.25" customHeight="1">
      <c r="A105" s="46"/>
      <c r="B105" s="46" t="s">
        <v>214</v>
      </c>
      <c r="C105" s="46"/>
      <c r="D105" s="35">
        <v>30.0</v>
      </c>
      <c r="E105" s="36"/>
      <c r="F105" s="37">
        <v>25.0</v>
      </c>
      <c r="G105" s="38">
        <f t="shared" si="1"/>
        <v>375</v>
      </c>
      <c r="H105" s="37"/>
      <c r="I105" s="39">
        <v>500.0</v>
      </c>
      <c r="J105" s="40">
        <f t="shared" si="3"/>
        <v>25</v>
      </c>
      <c r="K105" s="40">
        <f t="shared" si="4"/>
        <v>82.5</v>
      </c>
      <c r="L105" s="40">
        <f t="shared" si="5"/>
        <v>0</v>
      </c>
      <c r="M105" s="41">
        <f t="shared" si="6"/>
        <v>392.5</v>
      </c>
      <c r="N105" s="42">
        <f t="shared" si="7"/>
        <v>0.785</v>
      </c>
      <c r="O105" s="43"/>
      <c r="P105" s="44">
        <f t="shared" si="8"/>
        <v>0</v>
      </c>
      <c r="Q105" s="45">
        <f t="shared" si="9"/>
        <v>0</v>
      </c>
      <c r="R105" s="45">
        <f t="shared" si="13"/>
        <v>0</v>
      </c>
      <c r="S105" s="45">
        <f t="shared" si="14"/>
        <v>0</v>
      </c>
      <c r="T105" s="45">
        <f t="shared" si="10"/>
        <v>0</v>
      </c>
      <c r="U105" s="45">
        <f t="shared" si="11"/>
        <v>0</v>
      </c>
      <c r="V105" s="45">
        <f t="shared" si="12"/>
        <v>0</v>
      </c>
      <c r="W105" s="33"/>
      <c r="X105" s="33"/>
      <c r="Y105" s="33"/>
      <c r="Z105" s="33"/>
    </row>
    <row r="106" ht="14.25" customHeight="1">
      <c r="A106" s="46"/>
      <c r="B106" s="46" t="s">
        <v>215</v>
      </c>
      <c r="C106" s="46"/>
      <c r="D106" s="35">
        <v>30.0</v>
      </c>
      <c r="E106" s="36"/>
      <c r="F106" s="37"/>
      <c r="G106" s="38">
        <f t="shared" si="1"/>
        <v>375</v>
      </c>
      <c r="H106" s="37"/>
      <c r="I106" s="39">
        <v>0.0</v>
      </c>
      <c r="J106" s="40">
        <f t="shared" si="3"/>
        <v>0</v>
      </c>
      <c r="K106" s="40">
        <f t="shared" si="4"/>
        <v>0</v>
      </c>
      <c r="L106" s="40">
        <f t="shared" si="5"/>
        <v>0</v>
      </c>
      <c r="M106" s="41">
        <f t="shared" si="6"/>
        <v>0</v>
      </c>
      <c r="N106" s="42" t="str">
        <f t="shared" si="7"/>
        <v>#DIV/0!</v>
      </c>
      <c r="O106" s="43"/>
      <c r="P106" s="44">
        <f t="shared" si="8"/>
        <v>0</v>
      </c>
      <c r="Q106" s="45">
        <f t="shared" si="9"/>
        <v>0</v>
      </c>
      <c r="R106" s="45">
        <f t="shared" si="13"/>
        <v>0</v>
      </c>
      <c r="S106" s="45">
        <f t="shared" si="14"/>
        <v>0</v>
      </c>
      <c r="T106" s="45">
        <f t="shared" si="10"/>
        <v>0</v>
      </c>
      <c r="U106" s="45">
        <f t="shared" si="11"/>
        <v>0</v>
      </c>
      <c r="V106" s="45">
        <f t="shared" si="12"/>
        <v>0</v>
      </c>
      <c r="W106" s="33"/>
      <c r="X106" s="33"/>
      <c r="Y106" s="33"/>
      <c r="Z106" s="33"/>
    </row>
    <row r="107" ht="14.25" customHeight="1">
      <c r="A107" s="46"/>
      <c r="B107" s="46" t="s">
        <v>216</v>
      </c>
      <c r="C107" s="46"/>
      <c r="D107" s="35">
        <v>30.0</v>
      </c>
      <c r="E107" s="36"/>
      <c r="F107" s="37"/>
      <c r="G107" s="38">
        <f t="shared" si="1"/>
        <v>375</v>
      </c>
      <c r="H107" s="37"/>
      <c r="I107" s="39">
        <v>0.0</v>
      </c>
      <c r="J107" s="40">
        <f t="shared" si="3"/>
        <v>0</v>
      </c>
      <c r="K107" s="40">
        <f t="shared" si="4"/>
        <v>0</v>
      </c>
      <c r="L107" s="40">
        <f t="shared" si="5"/>
        <v>0</v>
      </c>
      <c r="M107" s="41">
        <f t="shared" si="6"/>
        <v>0</v>
      </c>
      <c r="N107" s="42" t="str">
        <f t="shared" si="7"/>
        <v>#DIV/0!</v>
      </c>
      <c r="O107" s="43"/>
      <c r="P107" s="44">
        <f t="shared" si="8"/>
        <v>0</v>
      </c>
      <c r="Q107" s="45">
        <f t="shared" si="9"/>
        <v>0</v>
      </c>
      <c r="R107" s="45">
        <f t="shared" si="13"/>
        <v>0</v>
      </c>
      <c r="S107" s="45">
        <f t="shared" si="14"/>
        <v>0</v>
      </c>
      <c r="T107" s="45">
        <f t="shared" si="10"/>
        <v>0</v>
      </c>
      <c r="U107" s="45">
        <f t="shared" si="11"/>
        <v>0</v>
      </c>
      <c r="V107" s="45">
        <f t="shared" si="12"/>
        <v>0</v>
      </c>
      <c r="W107" s="33"/>
      <c r="X107" s="33"/>
      <c r="Y107" s="33"/>
      <c r="Z107" s="33"/>
    </row>
    <row r="108" ht="14.25" customHeight="1">
      <c r="A108" s="46"/>
      <c r="B108" s="46" t="s">
        <v>217</v>
      </c>
      <c r="C108" s="46" t="s">
        <v>218</v>
      </c>
      <c r="D108" s="35">
        <v>30.0</v>
      </c>
      <c r="E108" s="36"/>
      <c r="F108" s="49">
        <v>362.0</v>
      </c>
      <c r="G108" s="38">
        <f t="shared" si="1"/>
        <v>375</v>
      </c>
      <c r="H108" s="37"/>
      <c r="I108" s="39">
        <v>3000.0</v>
      </c>
      <c r="J108" s="40">
        <f t="shared" si="3"/>
        <v>150</v>
      </c>
      <c r="K108" s="40">
        <f t="shared" si="4"/>
        <v>495</v>
      </c>
      <c r="L108" s="40">
        <f t="shared" si="5"/>
        <v>0</v>
      </c>
      <c r="M108" s="41">
        <f t="shared" si="6"/>
        <v>2355</v>
      </c>
      <c r="N108" s="42">
        <f t="shared" si="7"/>
        <v>0.785</v>
      </c>
      <c r="O108" s="43"/>
      <c r="P108" s="44">
        <f t="shared" si="8"/>
        <v>0</v>
      </c>
      <c r="Q108" s="45">
        <f t="shared" si="9"/>
        <v>0</v>
      </c>
      <c r="R108" s="45">
        <f t="shared" si="13"/>
        <v>0</v>
      </c>
      <c r="S108" s="45">
        <f t="shared" si="14"/>
        <v>0</v>
      </c>
      <c r="T108" s="45">
        <f t="shared" si="10"/>
        <v>0</v>
      </c>
      <c r="U108" s="45">
        <f t="shared" si="11"/>
        <v>0</v>
      </c>
      <c r="V108" s="45">
        <f t="shared" si="12"/>
        <v>0</v>
      </c>
      <c r="W108" s="33"/>
      <c r="X108" s="33"/>
      <c r="Y108" s="33"/>
      <c r="Z108" s="33"/>
    </row>
    <row r="109" ht="14.25" customHeight="1">
      <c r="A109" s="46"/>
      <c r="B109" s="46" t="s">
        <v>219</v>
      </c>
      <c r="C109" s="46" t="s">
        <v>218</v>
      </c>
      <c r="D109" s="35">
        <v>60.0</v>
      </c>
      <c r="E109" s="36">
        <v>6.0</v>
      </c>
      <c r="F109" s="49">
        <v>240.0</v>
      </c>
      <c r="G109" s="38">
        <f t="shared" si="1"/>
        <v>750</v>
      </c>
      <c r="H109" s="37"/>
      <c r="I109" s="39">
        <v>3300.0</v>
      </c>
      <c r="J109" s="40">
        <f t="shared" si="3"/>
        <v>165</v>
      </c>
      <c r="K109" s="40">
        <f t="shared" si="4"/>
        <v>544.5</v>
      </c>
      <c r="L109" s="40">
        <f t="shared" si="5"/>
        <v>0</v>
      </c>
      <c r="M109" s="41">
        <f t="shared" si="6"/>
        <v>2590.5</v>
      </c>
      <c r="N109" s="42">
        <f t="shared" si="7"/>
        <v>0.785</v>
      </c>
      <c r="O109" s="43"/>
      <c r="P109" s="44">
        <f t="shared" si="8"/>
        <v>0</v>
      </c>
      <c r="Q109" s="45">
        <f t="shared" si="9"/>
        <v>0</v>
      </c>
      <c r="R109" s="45">
        <f t="shared" si="13"/>
        <v>0</v>
      </c>
      <c r="S109" s="45">
        <f t="shared" si="14"/>
        <v>0</v>
      </c>
      <c r="T109" s="45">
        <f t="shared" si="10"/>
        <v>0</v>
      </c>
      <c r="U109" s="45">
        <f t="shared" si="11"/>
        <v>0</v>
      </c>
      <c r="V109" s="45">
        <f t="shared" si="12"/>
        <v>0</v>
      </c>
      <c r="W109" s="33"/>
      <c r="X109" s="33"/>
      <c r="Y109" s="33"/>
      <c r="Z109" s="33"/>
    </row>
    <row r="110" ht="14.25" customHeight="1">
      <c r="A110" s="46"/>
      <c r="B110" s="46" t="s">
        <v>220</v>
      </c>
      <c r="C110" s="46" t="s">
        <v>218</v>
      </c>
      <c r="D110" s="35">
        <v>60.0</v>
      </c>
      <c r="E110" s="36">
        <v>4.0</v>
      </c>
      <c r="F110" s="49">
        <v>1100.0</v>
      </c>
      <c r="G110" s="38">
        <f t="shared" si="1"/>
        <v>750</v>
      </c>
      <c r="H110" s="37"/>
      <c r="I110" s="39">
        <v>5223.0</v>
      </c>
      <c r="J110" s="40">
        <f t="shared" si="3"/>
        <v>261.15</v>
      </c>
      <c r="K110" s="40">
        <f t="shared" si="4"/>
        <v>861.795</v>
      </c>
      <c r="L110" s="40">
        <f t="shared" si="5"/>
        <v>0</v>
      </c>
      <c r="M110" s="41">
        <f t="shared" si="6"/>
        <v>4100.055</v>
      </c>
      <c r="N110" s="42">
        <f t="shared" si="7"/>
        <v>0.785</v>
      </c>
      <c r="O110" s="43"/>
      <c r="P110" s="44">
        <f t="shared" si="8"/>
        <v>0</v>
      </c>
      <c r="Q110" s="45">
        <f t="shared" si="9"/>
        <v>0</v>
      </c>
      <c r="R110" s="45">
        <f t="shared" si="13"/>
        <v>0</v>
      </c>
      <c r="S110" s="45">
        <f t="shared" si="14"/>
        <v>0</v>
      </c>
      <c r="T110" s="45">
        <f t="shared" si="10"/>
        <v>0</v>
      </c>
      <c r="U110" s="45">
        <f t="shared" si="11"/>
        <v>0</v>
      </c>
      <c r="V110" s="45">
        <f t="shared" si="12"/>
        <v>0</v>
      </c>
      <c r="W110" s="33"/>
      <c r="X110" s="33"/>
      <c r="Y110" s="33"/>
      <c r="Z110" s="33"/>
    </row>
    <row r="111" ht="14.25" customHeight="1">
      <c r="A111" s="46"/>
      <c r="B111" s="46" t="s">
        <v>221</v>
      </c>
      <c r="C111" s="46" t="s">
        <v>218</v>
      </c>
      <c r="D111" s="35">
        <v>120.0</v>
      </c>
      <c r="E111" s="36">
        <v>8.0</v>
      </c>
      <c r="F111" s="49">
        <v>2200.0</v>
      </c>
      <c r="G111" s="38">
        <f t="shared" si="1"/>
        <v>1500</v>
      </c>
      <c r="H111" s="37"/>
      <c r="I111" s="39">
        <v>10000.0</v>
      </c>
      <c r="J111" s="40">
        <f t="shared" si="3"/>
        <v>500</v>
      </c>
      <c r="K111" s="40">
        <f t="shared" si="4"/>
        <v>1650</v>
      </c>
      <c r="L111" s="40">
        <f t="shared" si="5"/>
        <v>0</v>
      </c>
      <c r="M111" s="41">
        <f t="shared" si="6"/>
        <v>7850</v>
      </c>
      <c r="N111" s="42">
        <f t="shared" si="7"/>
        <v>0.785</v>
      </c>
      <c r="O111" s="43"/>
      <c r="P111" s="44">
        <f t="shared" si="8"/>
        <v>0</v>
      </c>
      <c r="Q111" s="45">
        <f t="shared" si="9"/>
        <v>0</v>
      </c>
      <c r="R111" s="45">
        <f t="shared" si="13"/>
        <v>0</v>
      </c>
      <c r="S111" s="45">
        <f t="shared" si="14"/>
        <v>0</v>
      </c>
      <c r="T111" s="45">
        <f t="shared" si="10"/>
        <v>0</v>
      </c>
      <c r="U111" s="45">
        <f t="shared" si="11"/>
        <v>0</v>
      </c>
      <c r="V111" s="45">
        <f t="shared" si="12"/>
        <v>0</v>
      </c>
      <c r="W111" s="33"/>
      <c r="X111" s="33"/>
      <c r="Y111" s="33"/>
      <c r="Z111" s="33"/>
    </row>
    <row r="112" ht="14.25" customHeight="1">
      <c r="A112" s="46">
        <v>4.1301234E7</v>
      </c>
      <c r="B112" s="46" t="s">
        <v>222</v>
      </c>
      <c r="C112" s="46"/>
      <c r="D112" s="35">
        <v>30.0</v>
      </c>
      <c r="E112" s="36"/>
      <c r="F112" s="37"/>
      <c r="G112" s="38">
        <f t="shared" si="1"/>
        <v>375</v>
      </c>
      <c r="H112" s="37"/>
      <c r="I112" s="39">
        <v>0.0</v>
      </c>
      <c r="J112" s="40">
        <f t="shared" si="3"/>
        <v>0</v>
      </c>
      <c r="K112" s="40">
        <f t="shared" si="4"/>
        <v>0</v>
      </c>
      <c r="L112" s="40">
        <f t="shared" si="5"/>
        <v>0</v>
      </c>
      <c r="M112" s="41">
        <f t="shared" si="6"/>
        <v>0</v>
      </c>
      <c r="N112" s="42" t="str">
        <f t="shared" si="7"/>
        <v>#DIV/0!</v>
      </c>
      <c r="O112" s="43"/>
      <c r="P112" s="44">
        <f t="shared" si="8"/>
        <v>0</v>
      </c>
      <c r="Q112" s="45">
        <f t="shared" si="9"/>
        <v>0</v>
      </c>
      <c r="R112" s="45">
        <f t="shared" si="13"/>
        <v>0</v>
      </c>
      <c r="S112" s="45">
        <f t="shared" si="14"/>
        <v>0</v>
      </c>
      <c r="T112" s="45">
        <f t="shared" si="10"/>
        <v>0</v>
      </c>
      <c r="U112" s="45">
        <f t="shared" si="11"/>
        <v>0</v>
      </c>
      <c r="V112" s="45">
        <f t="shared" si="12"/>
        <v>0</v>
      </c>
      <c r="W112" s="33"/>
      <c r="X112" s="33"/>
      <c r="Y112" s="33"/>
      <c r="Z112" s="33"/>
    </row>
    <row r="113" ht="14.25" customHeight="1">
      <c r="A113" s="46">
        <v>3.0907071E7</v>
      </c>
      <c r="B113" s="46" t="s">
        <v>223</v>
      </c>
      <c r="C113" s="46"/>
      <c r="D113" s="35">
        <v>60.0</v>
      </c>
      <c r="E113" s="36"/>
      <c r="F113" s="37"/>
      <c r="G113" s="38">
        <f t="shared" si="1"/>
        <v>750</v>
      </c>
      <c r="H113" s="37"/>
      <c r="I113" s="39">
        <v>0.0</v>
      </c>
      <c r="J113" s="40">
        <f t="shared" si="3"/>
        <v>0</v>
      </c>
      <c r="K113" s="40">
        <f t="shared" si="4"/>
        <v>0</v>
      </c>
      <c r="L113" s="40">
        <f t="shared" si="5"/>
        <v>0</v>
      </c>
      <c r="M113" s="41">
        <f t="shared" si="6"/>
        <v>0</v>
      </c>
      <c r="N113" s="42" t="str">
        <f t="shared" si="7"/>
        <v>#DIV/0!</v>
      </c>
      <c r="O113" s="43"/>
      <c r="P113" s="44">
        <f t="shared" si="8"/>
        <v>0</v>
      </c>
      <c r="Q113" s="45">
        <f t="shared" si="9"/>
        <v>0</v>
      </c>
      <c r="R113" s="45">
        <f t="shared" si="13"/>
        <v>0</v>
      </c>
      <c r="S113" s="45">
        <f t="shared" si="14"/>
        <v>0</v>
      </c>
      <c r="T113" s="45">
        <f t="shared" si="10"/>
        <v>0</v>
      </c>
      <c r="U113" s="45">
        <f t="shared" si="11"/>
        <v>0</v>
      </c>
      <c r="V113" s="45">
        <f t="shared" si="12"/>
        <v>0</v>
      </c>
      <c r="W113" s="33"/>
      <c r="X113" s="33"/>
      <c r="Y113" s="33"/>
      <c r="Z113" s="33"/>
    </row>
    <row r="114" ht="14.25" customHeight="1">
      <c r="A114" s="46"/>
      <c r="B114" s="46" t="s">
        <v>224</v>
      </c>
      <c r="C114" s="46"/>
      <c r="D114" s="35">
        <v>40.0</v>
      </c>
      <c r="E114" s="36">
        <v>1.0</v>
      </c>
      <c r="F114" s="37">
        <v>1291.13</v>
      </c>
      <c r="G114" s="38">
        <f t="shared" si="1"/>
        <v>500</v>
      </c>
      <c r="H114" s="37"/>
      <c r="I114" s="39">
        <v>2800.0</v>
      </c>
      <c r="J114" s="40">
        <f t="shared" si="3"/>
        <v>140</v>
      </c>
      <c r="K114" s="40">
        <f t="shared" si="4"/>
        <v>462</v>
      </c>
      <c r="L114" s="40">
        <f t="shared" si="5"/>
        <v>0</v>
      </c>
      <c r="M114" s="41">
        <f t="shared" si="6"/>
        <v>2198</v>
      </c>
      <c r="N114" s="42">
        <f t="shared" si="7"/>
        <v>0.785</v>
      </c>
      <c r="O114" s="43"/>
      <c r="P114" s="44">
        <f t="shared" si="8"/>
        <v>0</v>
      </c>
      <c r="Q114" s="45">
        <f t="shared" si="9"/>
        <v>0</v>
      </c>
      <c r="R114" s="45">
        <f t="shared" si="13"/>
        <v>0</v>
      </c>
      <c r="S114" s="45">
        <f t="shared" si="14"/>
        <v>0</v>
      </c>
      <c r="T114" s="45">
        <f t="shared" si="10"/>
        <v>0</v>
      </c>
      <c r="U114" s="45">
        <f t="shared" si="11"/>
        <v>0</v>
      </c>
      <c r="V114" s="45">
        <f t="shared" si="12"/>
        <v>0</v>
      </c>
      <c r="W114" s="33"/>
      <c r="X114" s="33"/>
      <c r="Y114" s="33"/>
      <c r="Z114" s="33"/>
    </row>
    <row r="115" ht="14.25" customHeight="1">
      <c r="A115" s="46"/>
      <c r="B115" s="46" t="s">
        <v>225</v>
      </c>
      <c r="C115" s="46"/>
      <c r="D115" s="35">
        <v>40.0</v>
      </c>
      <c r="E115" s="36"/>
      <c r="F115" s="37"/>
      <c r="G115" s="38">
        <f t="shared" si="1"/>
        <v>500</v>
      </c>
      <c r="H115" s="37"/>
      <c r="I115" s="39">
        <v>1350.0</v>
      </c>
      <c r="J115" s="40">
        <f t="shared" si="3"/>
        <v>67.5</v>
      </c>
      <c r="K115" s="40">
        <f t="shared" si="4"/>
        <v>222.75</v>
      </c>
      <c r="L115" s="40">
        <f t="shared" si="5"/>
        <v>0</v>
      </c>
      <c r="M115" s="41">
        <f t="shared" si="6"/>
        <v>1059.75</v>
      </c>
      <c r="N115" s="42">
        <f t="shared" si="7"/>
        <v>0.785</v>
      </c>
      <c r="O115" s="43"/>
      <c r="P115" s="44">
        <f t="shared" si="8"/>
        <v>0</v>
      </c>
      <c r="Q115" s="45">
        <f t="shared" si="9"/>
        <v>0</v>
      </c>
      <c r="R115" s="45">
        <f t="shared" si="13"/>
        <v>0</v>
      </c>
      <c r="S115" s="45">
        <f t="shared" si="14"/>
        <v>0</v>
      </c>
      <c r="T115" s="45">
        <f t="shared" si="10"/>
        <v>0</v>
      </c>
      <c r="U115" s="45">
        <f t="shared" si="11"/>
        <v>0</v>
      </c>
      <c r="V115" s="45">
        <f t="shared" si="12"/>
        <v>0</v>
      </c>
      <c r="W115" s="33"/>
      <c r="X115" s="33"/>
      <c r="Y115" s="33"/>
      <c r="Z115" s="33"/>
    </row>
    <row r="116" ht="14.25" customHeight="1">
      <c r="A116" s="46">
        <v>3.010162E7</v>
      </c>
      <c r="B116" s="46" t="s">
        <v>226</v>
      </c>
      <c r="C116" s="46"/>
      <c r="D116" s="35">
        <v>30.0</v>
      </c>
      <c r="E116" s="36"/>
      <c r="F116" s="37"/>
      <c r="G116" s="38">
        <f t="shared" si="1"/>
        <v>375</v>
      </c>
      <c r="H116" s="37"/>
      <c r="I116" s="39">
        <v>850.0</v>
      </c>
      <c r="J116" s="40">
        <f t="shared" si="3"/>
        <v>42.5</v>
      </c>
      <c r="K116" s="40">
        <f t="shared" si="4"/>
        <v>140.25</v>
      </c>
      <c r="L116" s="40">
        <f t="shared" si="5"/>
        <v>0</v>
      </c>
      <c r="M116" s="41">
        <f t="shared" si="6"/>
        <v>667.25</v>
      </c>
      <c r="N116" s="42">
        <f t="shared" si="7"/>
        <v>0.785</v>
      </c>
      <c r="O116" s="43"/>
      <c r="P116" s="44">
        <f t="shared" si="8"/>
        <v>0</v>
      </c>
      <c r="Q116" s="45">
        <f t="shared" si="9"/>
        <v>0</v>
      </c>
      <c r="R116" s="45">
        <f t="shared" si="13"/>
        <v>0</v>
      </c>
      <c r="S116" s="45">
        <f t="shared" si="14"/>
        <v>0</v>
      </c>
      <c r="T116" s="45">
        <f t="shared" si="10"/>
        <v>0</v>
      </c>
      <c r="U116" s="45">
        <f t="shared" si="11"/>
        <v>0</v>
      </c>
      <c r="V116" s="45">
        <f t="shared" si="12"/>
        <v>0</v>
      </c>
      <c r="W116" s="33"/>
      <c r="X116" s="33"/>
      <c r="Y116" s="33"/>
      <c r="Z116" s="33"/>
    </row>
    <row r="117" ht="14.25" customHeight="1">
      <c r="A117" s="46">
        <v>3.0101646E7</v>
      </c>
      <c r="B117" s="46" t="s">
        <v>227</v>
      </c>
      <c r="C117" s="46"/>
      <c r="D117" s="35">
        <v>30.0</v>
      </c>
      <c r="E117" s="36"/>
      <c r="F117" s="37"/>
      <c r="G117" s="38">
        <f t="shared" si="1"/>
        <v>375</v>
      </c>
      <c r="H117" s="37"/>
      <c r="I117" s="39">
        <v>800.0</v>
      </c>
      <c r="J117" s="40">
        <f t="shared" si="3"/>
        <v>40</v>
      </c>
      <c r="K117" s="40">
        <f t="shared" si="4"/>
        <v>132</v>
      </c>
      <c r="L117" s="40">
        <f t="shared" si="5"/>
        <v>0</v>
      </c>
      <c r="M117" s="41">
        <f t="shared" si="6"/>
        <v>628</v>
      </c>
      <c r="N117" s="42">
        <f t="shared" si="7"/>
        <v>0.785</v>
      </c>
      <c r="O117" s="43"/>
      <c r="P117" s="44">
        <f t="shared" si="8"/>
        <v>0</v>
      </c>
      <c r="Q117" s="45">
        <f t="shared" si="9"/>
        <v>0</v>
      </c>
      <c r="R117" s="45">
        <f t="shared" si="13"/>
        <v>0</v>
      </c>
      <c r="S117" s="45">
        <f t="shared" si="14"/>
        <v>0</v>
      </c>
      <c r="T117" s="45">
        <f t="shared" si="10"/>
        <v>0</v>
      </c>
      <c r="U117" s="45">
        <f t="shared" si="11"/>
        <v>0</v>
      </c>
      <c r="V117" s="45">
        <f t="shared" si="12"/>
        <v>0</v>
      </c>
      <c r="W117" s="33"/>
      <c r="X117" s="33"/>
      <c r="Y117" s="33"/>
      <c r="Z117" s="33"/>
    </row>
    <row r="118" ht="14.25" customHeight="1">
      <c r="A118" s="46"/>
      <c r="B118" s="46" t="s">
        <v>228</v>
      </c>
      <c r="C118" s="46" t="s">
        <v>229</v>
      </c>
      <c r="D118" s="35">
        <v>60.0</v>
      </c>
      <c r="E118" s="36"/>
      <c r="F118" s="37"/>
      <c r="G118" s="38">
        <f t="shared" si="1"/>
        <v>750</v>
      </c>
      <c r="H118" s="37"/>
      <c r="I118" s="39">
        <v>1200.0</v>
      </c>
      <c r="J118" s="40">
        <f t="shared" si="3"/>
        <v>60</v>
      </c>
      <c r="K118" s="40">
        <f t="shared" si="4"/>
        <v>198</v>
      </c>
      <c r="L118" s="40">
        <f t="shared" si="5"/>
        <v>0</v>
      </c>
      <c r="M118" s="41">
        <f t="shared" si="6"/>
        <v>942</v>
      </c>
      <c r="N118" s="42">
        <f t="shared" si="7"/>
        <v>0.785</v>
      </c>
      <c r="O118" s="43"/>
      <c r="P118" s="44">
        <f t="shared" si="8"/>
        <v>0</v>
      </c>
      <c r="Q118" s="45">
        <f t="shared" si="9"/>
        <v>0</v>
      </c>
      <c r="R118" s="45">
        <f t="shared" si="13"/>
        <v>0</v>
      </c>
      <c r="S118" s="45">
        <f t="shared" si="14"/>
        <v>0</v>
      </c>
      <c r="T118" s="45">
        <f t="shared" si="10"/>
        <v>0</v>
      </c>
      <c r="U118" s="45">
        <f t="shared" si="11"/>
        <v>0</v>
      </c>
      <c r="V118" s="45">
        <f t="shared" si="12"/>
        <v>0</v>
      </c>
      <c r="W118" s="33"/>
      <c r="X118" s="33"/>
      <c r="Y118" s="33"/>
      <c r="Z118" s="33"/>
    </row>
    <row r="119" ht="14.25" customHeight="1">
      <c r="A119" s="46"/>
      <c r="B119" s="46" t="s">
        <v>230</v>
      </c>
      <c r="C119" s="46"/>
      <c r="D119" s="35">
        <v>30.0</v>
      </c>
      <c r="E119" s="36"/>
      <c r="F119" s="37"/>
      <c r="G119" s="38">
        <f t="shared" si="1"/>
        <v>375</v>
      </c>
      <c r="H119" s="37"/>
      <c r="I119" s="39">
        <v>900.0</v>
      </c>
      <c r="J119" s="40">
        <f t="shared" si="3"/>
        <v>45</v>
      </c>
      <c r="K119" s="40">
        <f t="shared" si="4"/>
        <v>148.5</v>
      </c>
      <c r="L119" s="40">
        <f t="shared" si="5"/>
        <v>0</v>
      </c>
      <c r="M119" s="41">
        <f t="shared" si="6"/>
        <v>706.5</v>
      </c>
      <c r="N119" s="42">
        <f t="shared" si="7"/>
        <v>0.785</v>
      </c>
      <c r="O119" s="43"/>
      <c r="P119" s="44">
        <f t="shared" si="8"/>
        <v>0</v>
      </c>
      <c r="Q119" s="45">
        <f t="shared" si="9"/>
        <v>0</v>
      </c>
      <c r="R119" s="45">
        <f t="shared" si="13"/>
        <v>0</v>
      </c>
      <c r="S119" s="45">
        <f t="shared" si="14"/>
        <v>0</v>
      </c>
      <c r="T119" s="45">
        <f t="shared" si="10"/>
        <v>0</v>
      </c>
      <c r="U119" s="45">
        <f t="shared" si="11"/>
        <v>0</v>
      </c>
      <c r="V119" s="45">
        <f t="shared" si="12"/>
        <v>0</v>
      </c>
      <c r="W119" s="33"/>
      <c r="X119" s="33"/>
      <c r="Y119" s="33"/>
      <c r="Z119" s="33"/>
    </row>
    <row r="120" ht="14.25" customHeight="1">
      <c r="A120" s="46"/>
      <c r="B120" s="46" t="s">
        <v>231</v>
      </c>
      <c r="C120" s="46"/>
      <c r="D120" s="35">
        <v>45.0</v>
      </c>
      <c r="E120" s="36"/>
      <c r="F120" s="37"/>
      <c r="G120" s="38">
        <f t="shared" si="1"/>
        <v>562.5</v>
      </c>
      <c r="H120" s="37"/>
      <c r="I120" s="39">
        <v>1300.0</v>
      </c>
      <c r="J120" s="40">
        <f t="shared" si="3"/>
        <v>65</v>
      </c>
      <c r="K120" s="40">
        <f t="shared" si="4"/>
        <v>214.5</v>
      </c>
      <c r="L120" s="40">
        <f t="shared" si="5"/>
        <v>0</v>
      </c>
      <c r="M120" s="41">
        <f t="shared" si="6"/>
        <v>1020.5</v>
      </c>
      <c r="N120" s="42">
        <f t="shared" si="7"/>
        <v>0.785</v>
      </c>
      <c r="O120" s="43"/>
      <c r="P120" s="44">
        <f t="shared" si="8"/>
        <v>0</v>
      </c>
      <c r="Q120" s="45">
        <f t="shared" si="9"/>
        <v>0</v>
      </c>
      <c r="R120" s="45">
        <f t="shared" si="13"/>
        <v>0</v>
      </c>
      <c r="S120" s="45">
        <f t="shared" si="14"/>
        <v>0</v>
      </c>
      <c r="T120" s="45">
        <f t="shared" si="10"/>
        <v>0</v>
      </c>
      <c r="U120" s="45">
        <f t="shared" si="11"/>
        <v>0</v>
      </c>
      <c r="V120" s="45">
        <f t="shared" si="12"/>
        <v>0</v>
      </c>
      <c r="W120" s="33"/>
      <c r="X120" s="33"/>
      <c r="Y120" s="33"/>
      <c r="Z120" s="33"/>
    </row>
    <row r="121" ht="14.25" customHeight="1">
      <c r="A121" s="34"/>
      <c r="B121" s="34" t="s">
        <v>232</v>
      </c>
      <c r="C121" s="34"/>
      <c r="D121" s="35">
        <v>30.0</v>
      </c>
      <c r="E121" s="36"/>
      <c r="F121" s="37"/>
      <c r="G121" s="38">
        <f t="shared" si="1"/>
        <v>375</v>
      </c>
      <c r="H121" s="37"/>
      <c r="I121" s="39">
        <v>1200.0</v>
      </c>
      <c r="J121" s="40">
        <f t="shared" si="3"/>
        <v>60</v>
      </c>
      <c r="K121" s="40">
        <f t="shared" si="4"/>
        <v>198</v>
      </c>
      <c r="L121" s="40">
        <f t="shared" si="5"/>
        <v>0</v>
      </c>
      <c r="M121" s="41">
        <f t="shared" si="6"/>
        <v>942</v>
      </c>
      <c r="N121" s="42">
        <f t="shared" si="7"/>
        <v>0.785</v>
      </c>
      <c r="O121" s="43"/>
      <c r="P121" s="44">
        <f t="shared" si="8"/>
        <v>0</v>
      </c>
      <c r="Q121" s="45">
        <f t="shared" si="9"/>
        <v>0</v>
      </c>
      <c r="R121" s="45">
        <f t="shared" si="13"/>
        <v>0</v>
      </c>
      <c r="S121" s="45">
        <f t="shared" si="14"/>
        <v>0</v>
      </c>
      <c r="T121" s="45">
        <f t="shared" si="10"/>
        <v>0</v>
      </c>
      <c r="U121" s="45">
        <f t="shared" si="11"/>
        <v>0</v>
      </c>
      <c r="V121" s="45">
        <f t="shared" si="12"/>
        <v>0</v>
      </c>
      <c r="W121" s="33"/>
      <c r="X121" s="33"/>
      <c r="Y121" s="33"/>
      <c r="Z121" s="33"/>
    </row>
    <row r="122" ht="14.25" customHeight="1">
      <c r="A122" s="46"/>
      <c r="B122" s="46" t="s">
        <v>233</v>
      </c>
      <c r="C122" s="46"/>
      <c r="D122" s="35">
        <v>30.0</v>
      </c>
      <c r="E122" s="36"/>
      <c r="F122" s="37"/>
      <c r="G122" s="38">
        <f t="shared" si="1"/>
        <v>375</v>
      </c>
      <c r="H122" s="37"/>
      <c r="I122" s="39">
        <v>1200.0</v>
      </c>
      <c r="J122" s="40">
        <f t="shared" si="3"/>
        <v>60</v>
      </c>
      <c r="K122" s="40">
        <f t="shared" si="4"/>
        <v>198</v>
      </c>
      <c r="L122" s="40">
        <f t="shared" si="5"/>
        <v>0</v>
      </c>
      <c r="M122" s="41">
        <f t="shared" si="6"/>
        <v>942</v>
      </c>
      <c r="N122" s="42">
        <f t="shared" si="7"/>
        <v>0.785</v>
      </c>
      <c r="O122" s="43"/>
      <c r="P122" s="44">
        <f t="shared" si="8"/>
        <v>0</v>
      </c>
      <c r="Q122" s="45">
        <f t="shared" si="9"/>
        <v>0</v>
      </c>
      <c r="R122" s="45">
        <f t="shared" si="13"/>
        <v>0</v>
      </c>
      <c r="S122" s="45">
        <f t="shared" si="14"/>
        <v>0</v>
      </c>
      <c r="T122" s="45">
        <f t="shared" si="10"/>
        <v>0</v>
      </c>
      <c r="U122" s="45">
        <f t="shared" si="11"/>
        <v>0</v>
      </c>
      <c r="V122" s="45">
        <f t="shared" si="12"/>
        <v>0</v>
      </c>
      <c r="W122" s="33"/>
      <c r="X122" s="33"/>
      <c r="Y122" s="33"/>
      <c r="Z122" s="33"/>
    </row>
    <row r="123" ht="14.25" customHeight="1">
      <c r="A123" s="46"/>
      <c r="B123" s="46" t="s">
        <v>234</v>
      </c>
      <c r="C123" s="46"/>
      <c r="D123" s="35">
        <v>0.0</v>
      </c>
      <c r="E123" s="36"/>
      <c r="F123" s="37"/>
      <c r="G123" s="38">
        <f t="shared" si="1"/>
        <v>0</v>
      </c>
      <c r="H123" s="37"/>
      <c r="I123" s="39">
        <v>0.0</v>
      </c>
      <c r="J123" s="40">
        <f t="shared" si="3"/>
        <v>0</v>
      </c>
      <c r="K123" s="40">
        <f t="shared" si="4"/>
        <v>0</v>
      </c>
      <c r="L123" s="40">
        <f t="shared" si="5"/>
        <v>0</v>
      </c>
      <c r="M123" s="41">
        <f t="shared" si="6"/>
        <v>0</v>
      </c>
      <c r="N123" s="42" t="str">
        <f t="shared" si="7"/>
        <v>#DIV/0!</v>
      </c>
      <c r="O123" s="43"/>
      <c r="P123" s="44">
        <f t="shared" si="8"/>
        <v>0</v>
      </c>
      <c r="Q123" s="45">
        <f t="shared" si="9"/>
        <v>0</v>
      </c>
      <c r="R123" s="45">
        <f t="shared" si="13"/>
        <v>0</v>
      </c>
      <c r="S123" s="45">
        <f t="shared" si="14"/>
        <v>0</v>
      </c>
      <c r="T123" s="45">
        <f t="shared" si="10"/>
        <v>0</v>
      </c>
      <c r="U123" s="45">
        <f t="shared" si="11"/>
        <v>0</v>
      </c>
      <c r="V123" s="45">
        <f t="shared" si="12"/>
        <v>0</v>
      </c>
      <c r="W123" s="33"/>
      <c r="X123" s="33"/>
      <c r="Y123" s="33"/>
      <c r="Z123" s="33"/>
    </row>
    <row r="124" ht="14.25" customHeight="1">
      <c r="A124" s="46"/>
      <c r="B124" s="46" t="s">
        <v>235</v>
      </c>
      <c r="C124" s="46"/>
      <c r="D124" s="35">
        <v>45.0</v>
      </c>
      <c r="E124" s="36"/>
      <c r="F124" s="37"/>
      <c r="G124" s="38">
        <f t="shared" si="1"/>
        <v>562.5</v>
      </c>
      <c r="H124" s="37"/>
      <c r="I124" s="39">
        <v>1600.0</v>
      </c>
      <c r="J124" s="40">
        <f t="shared" si="3"/>
        <v>80</v>
      </c>
      <c r="K124" s="40">
        <f t="shared" si="4"/>
        <v>264</v>
      </c>
      <c r="L124" s="40">
        <f t="shared" si="5"/>
        <v>0</v>
      </c>
      <c r="M124" s="41">
        <f t="shared" si="6"/>
        <v>1256</v>
      </c>
      <c r="N124" s="42">
        <f t="shared" si="7"/>
        <v>0.785</v>
      </c>
      <c r="O124" s="43"/>
      <c r="P124" s="44">
        <f t="shared" si="8"/>
        <v>0</v>
      </c>
      <c r="Q124" s="45">
        <f t="shared" si="9"/>
        <v>0</v>
      </c>
      <c r="R124" s="45">
        <f t="shared" si="13"/>
        <v>0</v>
      </c>
      <c r="S124" s="45">
        <f t="shared" si="14"/>
        <v>0</v>
      </c>
      <c r="T124" s="45">
        <f t="shared" si="10"/>
        <v>0</v>
      </c>
      <c r="U124" s="45">
        <f t="shared" si="11"/>
        <v>0</v>
      </c>
      <c r="V124" s="45">
        <f t="shared" si="12"/>
        <v>0</v>
      </c>
      <c r="W124" s="33"/>
      <c r="X124" s="33"/>
      <c r="Y124" s="33"/>
      <c r="Z124" s="33"/>
    </row>
    <row r="125" ht="14.25" customHeight="1">
      <c r="A125" s="46"/>
      <c r="B125" s="46" t="s">
        <v>236</v>
      </c>
      <c r="C125" s="46"/>
      <c r="D125" s="35">
        <v>60.0</v>
      </c>
      <c r="E125" s="36"/>
      <c r="F125" s="37"/>
      <c r="G125" s="38">
        <f t="shared" si="1"/>
        <v>750</v>
      </c>
      <c r="H125" s="37"/>
      <c r="I125" s="39">
        <v>1900.0</v>
      </c>
      <c r="J125" s="40">
        <f t="shared" si="3"/>
        <v>95</v>
      </c>
      <c r="K125" s="40">
        <f t="shared" si="4"/>
        <v>313.5</v>
      </c>
      <c r="L125" s="40">
        <f t="shared" si="5"/>
        <v>0</v>
      </c>
      <c r="M125" s="41">
        <f t="shared" si="6"/>
        <v>1491.5</v>
      </c>
      <c r="N125" s="42">
        <f t="shared" si="7"/>
        <v>0.785</v>
      </c>
      <c r="O125" s="43"/>
      <c r="P125" s="44">
        <f t="shared" si="8"/>
        <v>0</v>
      </c>
      <c r="Q125" s="45">
        <f t="shared" si="9"/>
        <v>0</v>
      </c>
      <c r="R125" s="45">
        <f t="shared" si="13"/>
        <v>0</v>
      </c>
      <c r="S125" s="45">
        <f t="shared" si="14"/>
        <v>0</v>
      </c>
      <c r="T125" s="45">
        <f t="shared" si="10"/>
        <v>0</v>
      </c>
      <c r="U125" s="45">
        <f t="shared" si="11"/>
        <v>0</v>
      </c>
      <c r="V125" s="45">
        <f t="shared" si="12"/>
        <v>0</v>
      </c>
      <c r="W125" s="33"/>
      <c r="X125" s="33"/>
      <c r="Y125" s="33"/>
      <c r="Z125" s="33"/>
    </row>
    <row r="126" ht="14.25" customHeight="1">
      <c r="A126" s="46"/>
      <c r="B126" s="46" t="s">
        <v>237</v>
      </c>
      <c r="C126" s="46"/>
      <c r="D126" s="35">
        <v>30.0</v>
      </c>
      <c r="E126" s="36"/>
      <c r="F126" s="37"/>
      <c r="G126" s="38">
        <f t="shared" si="1"/>
        <v>375</v>
      </c>
      <c r="H126" s="37"/>
      <c r="I126" s="39">
        <v>1984.0</v>
      </c>
      <c r="J126" s="40">
        <f t="shared" si="3"/>
        <v>99.2</v>
      </c>
      <c r="K126" s="40">
        <f t="shared" si="4"/>
        <v>327.36</v>
      </c>
      <c r="L126" s="40">
        <f t="shared" si="5"/>
        <v>0</v>
      </c>
      <c r="M126" s="41">
        <f t="shared" si="6"/>
        <v>1557.44</v>
      </c>
      <c r="N126" s="42">
        <f t="shared" si="7"/>
        <v>0.785</v>
      </c>
      <c r="O126" s="43"/>
      <c r="P126" s="44">
        <f t="shared" si="8"/>
        <v>0</v>
      </c>
      <c r="Q126" s="45">
        <f t="shared" si="9"/>
        <v>0</v>
      </c>
      <c r="R126" s="45">
        <f t="shared" si="13"/>
        <v>0</v>
      </c>
      <c r="S126" s="45">
        <f t="shared" si="14"/>
        <v>0</v>
      </c>
      <c r="T126" s="45">
        <f t="shared" si="10"/>
        <v>0</v>
      </c>
      <c r="U126" s="45">
        <f t="shared" si="11"/>
        <v>0</v>
      </c>
      <c r="V126" s="45">
        <f t="shared" si="12"/>
        <v>0</v>
      </c>
      <c r="W126" s="33"/>
      <c r="X126" s="33"/>
      <c r="Y126" s="33"/>
      <c r="Z126" s="33"/>
    </row>
    <row r="127" ht="14.25" customHeight="1">
      <c r="A127" s="46"/>
      <c r="B127" s="46" t="s">
        <v>238</v>
      </c>
      <c r="C127" s="46"/>
      <c r="D127" s="35">
        <v>30.0</v>
      </c>
      <c r="E127" s="36"/>
      <c r="F127" s="37"/>
      <c r="G127" s="38">
        <f t="shared" si="1"/>
        <v>375</v>
      </c>
      <c r="H127" s="37"/>
      <c r="I127" s="39">
        <v>1200.0</v>
      </c>
      <c r="J127" s="40">
        <f t="shared" si="3"/>
        <v>60</v>
      </c>
      <c r="K127" s="40">
        <f t="shared" si="4"/>
        <v>198</v>
      </c>
      <c r="L127" s="40">
        <f t="shared" si="5"/>
        <v>0</v>
      </c>
      <c r="M127" s="41">
        <f t="shared" si="6"/>
        <v>942</v>
      </c>
      <c r="N127" s="42">
        <f t="shared" si="7"/>
        <v>0.785</v>
      </c>
      <c r="O127" s="43"/>
      <c r="P127" s="44">
        <f t="shared" si="8"/>
        <v>0</v>
      </c>
      <c r="Q127" s="45">
        <f t="shared" si="9"/>
        <v>0</v>
      </c>
      <c r="R127" s="45">
        <f t="shared" si="13"/>
        <v>0</v>
      </c>
      <c r="S127" s="45">
        <f t="shared" si="14"/>
        <v>0</v>
      </c>
      <c r="T127" s="45">
        <f t="shared" si="10"/>
        <v>0</v>
      </c>
      <c r="U127" s="45">
        <f t="shared" si="11"/>
        <v>0</v>
      </c>
      <c r="V127" s="45">
        <f t="shared" si="12"/>
        <v>0</v>
      </c>
      <c r="W127" s="33"/>
      <c r="X127" s="33"/>
      <c r="Y127" s="33"/>
      <c r="Z127" s="33"/>
    </row>
    <row r="128" ht="14.25" customHeight="1">
      <c r="A128" s="46"/>
      <c r="B128" s="46" t="s">
        <v>239</v>
      </c>
      <c r="C128" s="46"/>
      <c r="D128" s="35">
        <v>30.0</v>
      </c>
      <c r="E128" s="36"/>
      <c r="F128" s="37"/>
      <c r="G128" s="38">
        <f t="shared" si="1"/>
        <v>375</v>
      </c>
      <c r="H128" s="37"/>
      <c r="I128" s="39">
        <v>3073.0</v>
      </c>
      <c r="J128" s="40">
        <f t="shared" si="3"/>
        <v>153.65</v>
      </c>
      <c r="K128" s="40">
        <f t="shared" si="4"/>
        <v>507.045</v>
      </c>
      <c r="L128" s="40">
        <f t="shared" si="5"/>
        <v>0</v>
      </c>
      <c r="M128" s="41">
        <f t="shared" si="6"/>
        <v>2412.305</v>
      </c>
      <c r="N128" s="42">
        <f t="shared" si="7"/>
        <v>0.785</v>
      </c>
      <c r="O128" s="43"/>
      <c r="P128" s="44">
        <f t="shared" si="8"/>
        <v>0</v>
      </c>
      <c r="Q128" s="45">
        <f t="shared" si="9"/>
        <v>0</v>
      </c>
      <c r="R128" s="45">
        <f t="shared" si="13"/>
        <v>0</v>
      </c>
      <c r="S128" s="45">
        <f t="shared" si="14"/>
        <v>0</v>
      </c>
      <c r="T128" s="45">
        <f t="shared" si="10"/>
        <v>0</v>
      </c>
      <c r="U128" s="45">
        <f t="shared" si="11"/>
        <v>0</v>
      </c>
      <c r="V128" s="45">
        <f t="shared" si="12"/>
        <v>0</v>
      </c>
      <c r="W128" s="33"/>
      <c r="X128" s="33"/>
      <c r="Y128" s="33"/>
      <c r="Z128" s="33"/>
    </row>
    <row r="129" ht="14.25" customHeight="1">
      <c r="A129" s="34"/>
      <c r="B129" s="34" t="s">
        <v>240</v>
      </c>
      <c r="C129" s="34"/>
      <c r="D129" s="35">
        <v>30.0</v>
      </c>
      <c r="E129" s="36"/>
      <c r="F129" s="37"/>
      <c r="G129" s="38">
        <f t="shared" si="1"/>
        <v>375</v>
      </c>
      <c r="H129" s="37"/>
      <c r="I129" s="39">
        <v>1445.0</v>
      </c>
      <c r="J129" s="40">
        <f t="shared" si="3"/>
        <v>72.25</v>
      </c>
      <c r="K129" s="40">
        <f t="shared" si="4"/>
        <v>238.425</v>
      </c>
      <c r="L129" s="40">
        <f t="shared" si="5"/>
        <v>0</v>
      </c>
      <c r="M129" s="41">
        <f t="shared" si="6"/>
        <v>1134.325</v>
      </c>
      <c r="N129" s="42">
        <f t="shared" si="7"/>
        <v>0.785</v>
      </c>
      <c r="O129" s="43"/>
      <c r="P129" s="44">
        <f t="shared" si="8"/>
        <v>0</v>
      </c>
      <c r="Q129" s="45">
        <f t="shared" si="9"/>
        <v>0</v>
      </c>
      <c r="R129" s="45">
        <f t="shared" si="13"/>
        <v>0</v>
      </c>
      <c r="S129" s="45">
        <f t="shared" si="14"/>
        <v>0</v>
      </c>
      <c r="T129" s="45">
        <f t="shared" si="10"/>
        <v>0</v>
      </c>
      <c r="U129" s="45">
        <f t="shared" si="11"/>
        <v>0</v>
      </c>
      <c r="V129" s="45">
        <f t="shared" si="12"/>
        <v>0</v>
      </c>
      <c r="W129" s="33"/>
      <c r="X129" s="33"/>
      <c r="Y129" s="33"/>
      <c r="Z129" s="33"/>
    </row>
    <row r="130" ht="14.25" customHeight="1">
      <c r="A130" s="46"/>
      <c r="B130" s="46" t="s">
        <v>228</v>
      </c>
      <c r="C130" s="46"/>
      <c r="D130" s="35">
        <v>30.0</v>
      </c>
      <c r="E130" s="36"/>
      <c r="F130" s="37"/>
      <c r="G130" s="38">
        <f t="shared" si="1"/>
        <v>375</v>
      </c>
      <c r="H130" s="37"/>
      <c r="I130" s="39">
        <v>500.0</v>
      </c>
      <c r="J130" s="40">
        <f t="shared" si="3"/>
        <v>25</v>
      </c>
      <c r="K130" s="40">
        <f t="shared" si="4"/>
        <v>82.5</v>
      </c>
      <c r="L130" s="40">
        <f t="shared" si="5"/>
        <v>0</v>
      </c>
      <c r="M130" s="41">
        <f t="shared" si="6"/>
        <v>392.5</v>
      </c>
      <c r="N130" s="42">
        <f t="shared" si="7"/>
        <v>0.785</v>
      </c>
      <c r="O130" s="43"/>
      <c r="P130" s="44">
        <f t="shared" si="8"/>
        <v>0</v>
      </c>
      <c r="Q130" s="45">
        <f t="shared" si="9"/>
        <v>0</v>
      </c>
      <c r="R130" s="45">
        <f t="shared" si="13"/>
        <v>0</v>
      </c>
      <c r="S130" s="45">
        <f t="shared" si="14"/>
        <v>0</v>
      </c>
      <c r="T130" s="45">
        <f t="shared" si="10"/>
        <v>0</v>
      </c>
      <c r="U130" s="45">
        <f t="shared" si="11"/>
        <v>0</v>
      </c>
      <c r="V130" s="45">
        <f t="shared" si="12"/>
        <v>0</v>
      </c>
      <c r="W130" s="33"/>
      <c r="X130" s="33"/>
      <c r="Y130" s="33"/>
      <c r="Z130" s="33"/>
    </row>
    <row r="131" ht="14.25" customHeight="1">
      <c r="A131" s="34"/>
      <c r="B131" s="34" t="s">
        <v>241</v>
      </c>
      <c r="C131" s="34"/>
      <c r="D131" s="35">
        <v>20.0</v>
      </c>
      <c r="E131" s="36"/>
      <c r="F131" s="37"/>
      <c r="G131" s="38">
        <f t="shared" si="1"/>
        <v>250</v>
      </c>
      <c r="H131" s="37"/>
      <c r="I131" s="39">
        <v>600.0</v>
      </c>
      <c r="J131" s="40">
        <f t="shared" si="3"/>
        <v>30</v>
      </c>
      <c r="K131" s="40">
        <f t="shared" si="4"/>
        <v>99</v>
      </c>
      <c r="L131" s="40">
        <f t="shared" si="5"/>
        <v>0</v>
      </c>
      <c r="M131" s="41">
        <f t="shared" si="6"/>
        <v>471</v>
      </c>
      <c r="N131" s="42">
        <f t="shared" si="7"/>
        <v>0.785</v>
      </c>
      <c r="O131" s="43"/>
      <c r="P131" s="44">
        <f t="shared" si="8"/>
        <v>0</v>
      </c>
      <c r="Q131" s="45">
        <f t="shared" si="9"/>
        <v>0</v>
      </c>
      <c r="R131" s="45">
        <f t="shared" si="13"/>
        <v>0</v>
      </c>
      <c r="S131" s="45">
        <f t="shared" si="14"/>
        <v>0</v>
      </c>
      <c r="T131" s="45">
        <f t="shared" si="10"/>
        <v>0</v>
      </c>
      <c r="U131" s="45">
        <f t="shared" si="11"/>
        <v>0</v>
      </c>
      <c r="V131" s="45">
        <f t="shared" si="12"/>
        <v>0</v>
      </c>
      <c r="W131" s="33"/>
      <c r="X131" s="33"/>
      <c r="Y131" s="33"/>
      <c r="Z131" s="33"/>
    </row>
    <row r="132" ht="14.25" customHeight="1">
      <c r="A132" s="46"/>
      <c r="B132" s="50" t="s">
        <v>242</v>
      </c>
      <c r="C132" s="46"/>
      <c r="D132" s="35">
        <v>30.0</v>
      </c>
      <c r="E132" s="36"/>
      <c r="F132" s="37"/>
      <c r="G132" s="38">
        <f t="shared" si="1"/>
        <v>375</v>
      </c>
      <c r="H132" s="37"/>
      <c r="I132" s="39">
        <v>700.0</v>
      </c>
      <c r="J132" s="40">
        <f t="shared" si="3"/>
        <v>35</v>
      </c>
      <c r="K132" s="40">
        <f t="shared" si="4"/>
        <v>115.5</v>
      </c>
      <c r="L132" s="40">
        <f t="shared" si="5"/>
        <v>0</v>
      </c>
      <c r="M132" s="41">
        <f t="shared" si="6"/>
        <v>549.5</v>
      </c>
      <c r="N132" s="42">
        <f t="shared" si="7"/>
        <v>0.785</v>
      </c>
      <c r="O132" s="43"/>
      <c r="P132" s="44">
        <f t="shared" si="8"/>
        <v>0</v>
      </c>
      <c r="Q132" s="45">
        <f t="shared" si="9"/>
        <v>0</v>
      </c>
      <c r="R132" s="45">
        <f t="shared" si="13"/>
        <v>0</v>
      </c>
      <c r="S132" s="45">
        <f t="shared" si="14"/>
        <v>0</v>
      </c>
      <c r="T132" s="45">
        <f t="shared" si="10"/>
        <v>0</v>
      </c>
      <c r="U132" s="45">
        <f t="shared" si="11"/>
        <v>0</v>
      </c>
      <c r="V132" s="45">
        <f t="shared" si="12"/>
        <v>0</v>
      </c>
      <c r="W132" s="33"/>
      <c r="X132" s="33"/>
      <c r="Y132" s="33"/>
      <c r="Z132" s="33"/>
    </row>
    <row r="133" ht="14.25" customHeight="1">
      <c r="A133" s="34"/>
      <c r="B133" s="51" t="s">
        <v>243</v>
      </c>
      <c r="C133" s="34"/>
      <c r="D133" s="35">
        <v>30.0</v>
      </c>
      <c r="E133" s="36"/>
      <c r="F133" s="37"/>
      <c r="G133" s="38">
        <f t="shared" si="1"/>
        <v>375</v>
      </c>
      <c r="H133" s="37"/>
      <c r="I133" s="39">
        <v>1800.0</v>
      </c>
      <c r="J133" s="40">
        <f t="shared" si="3"/>
        <v>90</v>
      </c>
      <c r="K133" s="40">
        <f t="shared" si="4"/>
        <v>297</v>
      </c>
      <c r="L133" s="40">
        <f t="shared" si="5"/>
        <v>0</v>
      </c>
      <c r="M133" s="41">
        <f t="shared" si="6"/>
        <v>1413</v>
      </c>
      <c r="N133" s="42">
        <f t="shared" si="7"/>
        <v>0.785</v>
      </c>
      <c r="O133" s="43"/>
      <c r="P133" s="44">
        <f t="shared" si="8"/>
        <v>0</v>
      </c>
      <c r="Q133" s="45">
        <f t="shared" si="9"/>
        <v>0</v>
      </c>
      <c r="R133" s="45">
        <f t="shared" si="13"/>
        <v>0</v>
      </c>
      <c r="S133" s="45">
        <f t="shared" si="14"/>
        <v>0</v>
      </c>
      <c r="T133" s="45">
        <f t="shared" si="10"/>
        <v>0</v>
      </c>
      <c r="U133" s="45">
        <f t="shared" si="11"/>
        <v>0</v>
      </c>
      <c r="V133" s="45">
        <f t="shared" si="12"/>
        <v>0</v>
      </c>
      <c r="W133" s="33"/>
      <c r="X133" s="33"/>
      <c r="Y133" s="33"/>
      <c r="Z133" s="33"/>
    </row>
    <row r="134" ht="14.25" customHeight="1">
      <c r="A134" s="46"/>
      <c r="B134" s="50" t="s">
        <v>244</v>
      </c>
      <c r="C134" s="46"/>
      <c r="D134" s="35">
        <v>30.0</v>
      </c>
      <c r="E134" s="36"/>
      <c r="F134" s="37"/>
      <c r="G134" s="38">
        <f t="shared" si="1"/>
        <v>375</v>
      </c>
      <c r="H134" s="37"/>
      <c r="I134" s="39">
        <v>700.0</v>
      </c>
      <c r="J134" s="40">
        <f t="shared" si="3"/>
        <v>35</v>
      </c>
      <c r="K134" s="40">
        <f t="shared" si="4"/>
        <v>115.5</v>
      </c>
      <c r="L134" s="40">
        <f t="shared" si="5"/>
        <v>0</v>
      </c>
      <c r="M134" s="41">
        <f t="shared" si="6"/>
        <v>549.5</v>
      </c>
      <c r="N134" s="42">
        <f t="shared" si="7"/>
        <v>0.785</v>
      </c>
      <c r="O134" s="43"/>
      <c r="P134" s="44">
        <f t="shared" si="8"/>
        <v>0</v>
      </c>
      <c r="Q134" s="45">
        <f t="shared" si="9"/>
        <v>0</v>
      </c>
      <c r="R134" s="45">
        <f t="shared" si="13"/>
        <v>0</v>
      </c>
      <c r="S134" s="45">
        <f t="shared" si="14"/>
        <v>0</v>
      </c>
      <c r="T134" s="45">
        <f t="shared" si="10"/>
        <v>0</v>
      </c>
      <c r="U134" s="45">
        <f t="shared" si="11"/>
        <v>0</v>
      </c>
      <c r="V134" s="45">
        <f t="shared" si="12"/>
        <v>0</v>
      </c>
      <c r="W134" s="33"/>
      <c r="X134" s="33"/>
      <c r="Y134" s="33"/>
      <c r="Z134" s="33"/>
    </row>
    <row r="135" ht="14.25" customHeight="1">
      <c r="A135" s="46"/>
      <c r="B135" s="50" t="s">
        <v>245</v>
      </c>
      <c r="C135" s="46"/>
      <c r="D135" s="35">
        <v>30.0</v>
      </c>
      <c r="E135" s="36"/>
      <c r="F135" s="37"/>
      <c r="G135" s="38">
        <f t="shared" si="1"/>
        <v>375</v>
      </c>
      <c r="H135" s="37"/>
      <c r="I135" s="39">
        <v>800.0</v>
      </c>
      <c r="J135" s="40">
        <f t="shared" si="3"/>
        <v>40</v>
      </c>
      <c r="K135" s="40">
        <f t="shared" si="4"/>
        <v>132</v>
      </c>
      <c r="L135" s="40">
        <f t="shared" si="5"/>
        <v>0</v>
      </c>
      <c r="M135" s="41">
        <f t="shared" si="6"/>
        <v>628</v>
      </c>
      <c r="N135" s="42">
        <f t="shared" si="7"/>
        <v>0.785</v>
      </c>
      <c r="O135" s="43"/>
      <c r="P135" s="44">
        <f t="shared" si="8"/>
        <v>0</v>
      </c>
      <c r="Q135" s="45">
        <f t="shared" si="9"/>
        <v>0</v>
      </c>
      <c r="R135" s="45">
        <f t="shared" si="13"/>
        <v>0</v>
      </c>
      <c r="S135" s="45">
        <f t="shared" si="14"/>
        <v>0</v>
      </c>
      <c r="T135" s="45">
        <f t="shared" si="10"/>
        <v>0</v>
      </c>
      <c r="U135" s="45">
        <f t="shared" si="11"/>
        <v>0</v>
      </c>
      <c r="V135" s="45">
        <f t="shared" si="12"/>
        <v>0</v>
      </c>
      <c r="W135" s="33"/>
      <c r="X135" s="33"/>
      <c r="Y135" s="33"/>
      <c r="Z135" s="33"/>
    </row>
    <row r="136" ht="14.25" customHeight="1">
      <c r="A136" s="34"/>
      <c r="B136" s="51" t="s">
        <v>246</v>
      </c>
      <c r="C136" s="34"/>
      <c r="D136" s="35">
        <v>30.0</v>
      </c>
      <c r="E136" s="36"/>
      <c r="F136" s="37"/>
      <c r="G136" s="38">
        <f t="shared" si="1"/>
        <v>375</v>
      </c>
      <c r="H136" s="37"/>
      <c r="I136" s="39">
        <v>900.0</v>
      </c>
      <c r="J136" s="40">
        <f t="shared" si="3"/>
        <v>45</v>
      </c>
      <c r="K136" s="40">
        <f t="shared" si="4"/>
        <v>148.5</v>
      </c>
      <c r="L136" s="40">
        <f t="shared" si="5"/>
        <v>0</v>
      </c>
      <c r="M136" s="41">
        <f t="shared" si="6"/>
        <v>706.5</v>
      </c>
      <c r="N136" s="42">
        <f t="shared" si="7"/>
        <v>0.785</v>
      </c>
      <c r="O136" s="43"/>
      <c r="P136" s="44">
        <f t="shared" si="8"/>
        <v>0</v>
      </c>
      <c r="Q136" s="45">
        <f t="shared" si="9"/>
        <v>0</v>
      </c>
      <c r="R136" s="45">
        <f t="shared" si="13"/>
        <v>0</v>
      </c>
      <c r="S136" s="45">
        <f t="shared" si="14"/>
        <v>0</v>
      </c>
      <c r="T136" s="45">
        <f t="shared" si="10"/>
        <v>0</v>
      </c>
      <c r="U136" s="45">
        <f t="shared" si="11"/>
        <v>0</v>
      </c>
      <c r="V136" s="45">
        <f t="shared" si="12"/>
        <v>0</v>
      </c>
      <c r="W136" s="33"/>
      <c r="X136" s="33"/>
      <c r="Y136" s="33"/>
      <c r="Z136" s="33"/>
    </row>
    <row r="137" ht="14.25" customHeight="1">
      <c r="A137" s="46"/>
      <c r="B137" s="50" t="s">
        <v>247</v>
      </c>
      <c r="C137" s="46"/>
      <c r="D137" s="35">
        <v>30.0</v>
      </c>
      <c r="E137" s="36"/>
      <c r="F137" s="37"/>
      <c r="G137" s="38">
        <f t="shared" si="1"/>
        <v>375</v>
      </c>
      <c r="H137" s="37"/>
      <c r="I137" s="39">
        <v>1000.0</v>
      </c>
      <c r="J137" s="40">
        <f t="shared" si="3"/>
        <v>50</v>
      </c>
      <c r="K137" s="40">
        <f t="shared" si="4"/>
        <v>165</v>
      </c>
      <c r="L137" s="40">
        <f t="shared" si="5"/>
        <v>0</v>
      </c>
      <c r="M137" s="41">
        <f t="shared" si="6"/>
        <v>785</v>
      </c>
      <c r="N137" s="42">
        <f t="shared" si="7"/>
        <v>0.785</v>
      </c>
      <c r="O137" s="43"/>
      <c r="P137" s="44">
        <f t="shared" si="8"/>
        <v>0</v>
      </c>
      <c r="Q137" s="45">
        <f t="shared" si="9"/>
        <v>0</v>
      </c>
      <c r="R137" s="45">
        <f t="shared" si="13"/>
        <v>0</v>
      </c>
      <c r="S137" s="45">
        <f t="shared" si="14"/>
        <v>0</v>
      </c>
      <c r="T137" s="45">
        <f t="shared" si="10"/>
        <v>0</v>
      </c>
      <c r="U137" s="45">
        <f t="shared" si="11"/>
        <v>0</v>
      </c>
      <c r="V137" s="45">
        <f t="shared" si="12"/>
        <v>0</v>
      </c>
      <c r="W137" s="33"/>
      <c r="X137" s="33"/>
      <c r="Y137" s="33"/>
      <c r="Z137" s="33"/>
    </row>
    <row r="138" ht="14.25" customHeight="1">
      <c r="A138" s="46"/>
      <c r="B138" s="46" t="s">
        <v>248</v>
      </c>
      <c r="C138" s="46"/>
      <c r="D138" s="35">
        <v>60.0</v>
      </c>
      <c r="E138" s="36"/>
      <c r="F138" s="37"/>
      <c r="G138" s="38">
        <f t="shared" si="1"/>
        <v>750</v>
      </c>
      <c r="H138" s="37"/>
      <c r="I138" s="39">
        <v>16.67</v>
      </c>
      <c r="J138" s="40">
        <f t="shared" si="3"/>
        <v>0.8335</v>
      </c>
      <c r="K138" s="40">
        <f t="shared" si="4"/>
        <v>2.75055</v>
      </c>
      <c r="L138" s="40">
        <f t="shared" si="5"/>
        <v>0</v>
      </c>
      <c r="M138" s="41">
        <f t="shared" si="6"/>
        <v>13.08595</v>
      </c>
      <c r="N138" s="42">
        <f t="shared" si="7"/>
        <v>0.785</v>
      </c>
      <c r="O138" s="43"/>
      <c r="P138" s="44">
        <f t="shared" si="8"/>
        <v>0</v>
      </c>
      <c r="Q138" s="45">
        <f t="shared" si="9"/>
        <v>0</v>
      </c>
      <c r="R138" s="45">
        <f t="shared" si="13"/>
        <v>0</v>
      </c>
      <c r="S138" s="45">
        <f t="shared" si="14"/>
        <v>0</v>
      </c>
      <c r="T138" s="45">
        <f t="shared" si="10"/>
        <v>0</v>
      </c>
      <c r="U138" s="45">
        <f t="shared" si="11"/>
        <v>0</v>
      </c>
      <c r="V138" s="45">
        <f t="shared" si="12"/>
        <v>0</v>
      </c>
      <c r="W138" s="33"/>
      <c r="X138" s="33"/>
      <c r="Y138" s="33"/>
      <c r="Z138" s="33"/>
    </row>
    <row r="139" ht="14.25" customHeight="1">
      <c r="A139" s="46"/>
      <c r="B139" s="46" t="s">
        <v>249</v>
      </c>
      <c r="C139" s="46"/>
      <c r="D139" s="35">
        <v>0.0</v>
      </c>
      <c r="E139" s="36"/>
      <c r="F139" s="37"/>
      <c r="G139" s="38">
        <f t="shared" si="1"/>
        <v>0</v>
      </c>
      <c r="H139" s="37"/>
      <c r="I139" s="39">
        <v>2500.0</v>
      </c>
      <c r="J139" s="40">
        <f t="shared" si="3"/>
        <v>125</v>
      </c>
      <c r="K139" s="40">
        <f t="shared" si="4"/>
        <v>412.5</v>
      </c>
      <c r="L139" s="40">
        <f t="shared" si="5"/>
        <v>0</v>
      </c>
      <c r="M139" s="41">
        <f t="shared" si="6"/>
        <v>1962.5</v>
      </c>
      <c r="N139" s="42">
        <f t="shared" si="7"/>
        <v>0.785</v>
      </c>
      <c r="O139" s="43"/>
      <c r="P139" s="44">
        <f t="shared" si="8"/>
        <v>0</v>
      </c>
      <c r="Q139" s="45">
        <f t="shared" si="9"/>
        <v>0</v>
      </c>
      <c r="R139" s="45">
        <f t="shared" si="13"/>
        <v>0</v>
      </c>
      <c r="S139" s="45">
        <f t="shared" si="14"/>
        <v>0</v>
      </c>
      <c r="T139" s="45">
        <f t="shared" si="10"/>
        <v>0</v>
      </c>
      <c r="U139" s="45">
        <f t="shared" si="11"/>
        <v>0</v>
      </c>
      <c r="V139" s="45">
        <f t="shared" si="12"/>
        <v>0</v>
      </c>
      <c r="W139" s="33"/>
      <c r="X139" s="33"/>
      <c r="Y139" s="33"/>
      <c r="Z139" s="33"/>
    </row>
    <row r="140" ht="14.25" customHeight="1">
      <c r="A140" s="46"/>
      <c r="B140" s="46" t="s">
        <v>250</v>
      </c>
      <c r="C140" s="46"/>
      <c r="D140" s="35">
        <v>30.0</v>
      </c>
      <c r="E140" s="36"/>
      <c r="F140" s="37"/>
      <c r="G140" s="38">
        <f t="shared" si="1"/>
        <v>375</v>
      </c>
      <c r="H140" s="37"/>
      <c r="I140" s="39">
        <v>1500.0</v>
      </c>
      <c r="J140" s="40">
        <f t="shared" si="3"/>
        <v>75</v>
      </c>
      <c r="K140" s="40">
        <f t="shared" si="4"/>
        <v>247.5</v>
      </c>
      <c r="L140" s="40">
        <f t="shared" si="5"/>
        <v>0</v>
      </c>
      <c r="M140" s="41">
        <f t="shared" si="6"/>
        <v>1177.5</v>
      </c>
      <c r="N140" s="42">
        <f t="shared" si="7"/>
        <v>0.785</v>
      </c>
      <c r="O140" s="43"/>
      <c r="P140" s="44">
        <f t="shared" si="8"/>
        <v>0</v>
      </c>
      <c r="Q140" s="45">
        <f t="shared" si="9"/>
        <v>0</v>
      </c>
      <c r="R140" s="45">
        <f t="shared" si="13"/>
        <v>0</v>
      </c>
      <c r="S140" s="45">
        <f t="shared" si="14"/>
        <v>0</v>
      </c>
      <c r="T140" s="45">
        <f t="shared" si="10"/>
        <v>0</v>
      </c>
      <c r="U140" s="45">
        <f t="shared" si="11"/>
        <v>0</v>
      </c>
      <c r="V140" s="45">
        <f t="shared" si="12"/>
        <v>0</v>
      </c>
      <c r="W140" s="33"/>
      <c r="X140" s="33"/>
      <c r="Y140" s="33"/>
      <c r="Z140" s="33"/>
    </row>
    <row r="141" ht="14.25" customHeight="1">
      <c r="A141" s="34"/>
      <c r="B141" s="34" t="s">
        <v>251</v>
      </c>
      <c r="C141" s="34"/>
      <c r="D141" s="35">
        <v>60.0</v>
      </c>
      <c r="E141" s="36"/>
      <c r="F141" s="37"/>
      <c r="G141" s="38">
        <f t="shared" si="1"/>
        <v>750</v>
      </c>
      <c r="H141" s="37"/>
      <c r="I141" s="39">
        <v>2000.0</v>
      </c>
      <c r="J141" s="40">
        <f t="shared" si="3"/>
        <v>100</v>
      </c>
      <c r="K141" s="40">
        <f t="shared" si="4"/>
        <v>330</v>
      </c>
      <c r="L141" s="40">
        <f t="shared" si="5"/>
        <v>0</v>
      </c>
      <c r="M141" s="41">
        <f t="shared" si="6"/>
        <v>1570</v>
      </c>
      <c r="N141" s="42">
        <f t="shared" si="7"/>
        <v>0.785</v>
      </c>
      <c r="O141" s="43"/>
      <c r="P141" s="44">
        <f t="shared" si="8"/>
        <v>0</v>
      </c>
      <c r="Q141" s="45">
        <f t="shared" si="9"/>
        <v>0</v>
      </c>
      <c r="R141" s="45">
        <f t="shared" si="13"/>
        <v>0</v>
      </c>
      <c r="S141" s="45">
        <f t="shared" si="14"/>
        <v>0</v>
      </c>
      <c r="T141" s="45">
        <f t="shared" si="10"/>
        <v>0</v>
      </c>
      <c r="U141" s="45">
        <f t="shared" si="11"/>
        <v>0</v>
      </c>
      <c r="V141" s="45">
        <f t="shared" si="12"/>
        <v>0</v>
      </c>
      <c r="W141" s="33"/>
      <c r="X141" s="33"/>
      <c r="Y141" s="33"/>
      <c r="Z141" s="33"/>
    </row>
    <row r="142" ht="14.25" customHeight="1">
      <c r="A142" s="46"/>
      <c r="B142" s="46" t="s">
        <v>252</v>
      </c>
      <c r="C142" s="46"/>
      <c r="D142" s="35">
        <v>40.0</v>
      </c>
      <c r="E142" s="36"/>
      <c r="F142" s="37"/>
      <c r="G142" s="38">
        <f t="shared" si="1"/>
        <v>500</v>
      </c>
      <c r="H142" s="37"/>
      <c r="I142" s="39">
        <v>3500.0</v>
      </c>
      <c r="J142" s="40">
        <f t="shared" si="3"/>
        <v>175</v>
      </c>
      <c r="K142" s="40">
        <f t="shared" si="4"/>
        <v>577.5</v>
      </c>
      <c r="L142" s="40">
        <f t="shared" si="5"/>
        <v>0</v>
      </c>
      <c r="M142" s="41">
        <f t="shared" si="6"/>
        <v>2747.5</v>
      </c>
      <c r="N142" s="42">
        <f t="shared" si="7"/>
        <v>0.785</v>
      </c>
      <c r="O142" s="43"/>
      <c r="P142" s="44">
        <f t="shared" si="8"/>
        <v>0</v>
      </c>
      <c r="Q142" s="45">
        <f t="shared" si="9"/>
        <v>0</v>
      </c>
      <c r="R142" s="45">
        <f t="shared" si="13"/>
        <v>0</v>
      </c>
      <c r="S142" s="45">
        <f t="shared" si="14"/>
        <v>0</v>
      </c>
      <c r="T142" s="45">
        <f t="shared" si="10"/>
        <v>0</v>
      </c>
      <c r="U142" s="45">
        <f t="shared" si="11"/>
        <v>0</v>
      </c>
      <c r="V142" s="45">
        <f t="shared" si="12"/>
        <v>0</v>
      </c>
      <c r="W142" s="33"/>
      <c r="X142" s="33"/>
      <c r="Y142" s="33"/>
      <c r="Z142" s="33"/>
    </row>
    <row r="143" ht="14.25" customHeight="1">
      <c r="A143" s="46"/>
      <c r="B143" s="46" t="s">
        <v>253</v>
      </c>
      <c r="C143" s="46"/>
      <c r="D143" s="35">
        <v>60.0</v>
      </c>
      <c r="E143" s="36"/>
      <c r="F143" s="37"/>
      <c r="G143" s="38">
        <f t="shared" si="1"/>
        <v>750</v>
      </c>
      <c r="H143" s="37"/>
      <c r="I143" s="39">
        <v>3778.0</v>
      </c>
      <c r="J143" s="40">
        <f t="shared" si="3"/>
        <v>188.9</v>
      </c>
      <c r="K143" s="40">
        <f t="shared" si="4"/>
        <v>623.37</v>
      </c>
      <c r="L143" s="40">
        <f t="shared" si="5"/>
        <v>0</v>
      </c>
      <c r="M143" s="41">
        <f t="shared" si="6"/>
        <v>2965.73</v>
      </c>
      <c r="N143" s="42">
        <f t="shared" si="7"/>
        <v>0.785</v>
      </c>
      <c r="O143" s="43"/>
      <c r="P143" s="44">
        <f t="shared" si="8"/>
        <v>0</v>
      </c>
      <c r="Q143" s="45">
        <f t="shared" si="9"/>
        <v>0</v>
      </c>
      <c r="R143" s="45">
        <f t="shared" si="13"/>
        <v>0</v>
      </c>
      <c r="S143" s="45">
        <f t="shared" si="14"/>
        <v>0</v>
      </c>
      <c r="T143" s="45">
        <f t="shared" si="10"/>
        <v>0</v>
      </c>
      <c r="U143" s="45">
        <f t="shared" si="11"/>
        <v>0</v>
      </c>
      <c r="V143" s="45">
        <f t="shared" si="12"/>
        <v>0</v>
      </c>
      <c r="W143" s="33"/>
      <c r="X143" s="33"/>
      <c r="Y143" s="33"/>
      <c r="Z143" s="33"/>
    </row>
    <row r="144" ht="14.25" customHeight="1">
      <c r="A144" s="46"/>
      <c r="B144" s="46" t="s">
        <v>254</v>
      </c>
      <c r="C144" s="46"/>
      <c r="D144" s="35">
        <v>40.0</v>
      </c>
      <c r="E144" s="36"/>
      <c r="F144" s="37"/>
      <c r="G144" s="38">
        <f t="shared" si="1"/>
        <v>500</v>
      </c>
      <c r="H144" s="37"/>
      <c r="I144" s="39">
        <v>3000.0</v>
      </c>
      <c r="J144" s="40">
        <f t="shared" si="3"/>
        <v>150</v>
      </c>
      <c r="K144" s="40">
        <f t="shared" si="4"/>
        <v>495</v>
      </c>
      <c r="L144" s="40">
        <f t="shared" si="5"/>
        <v>0</v>
      </c>
      <c r="M144" s="41">
        <f t="shared" si="6"/>
        <v>2355</v>
      </c>
      <c r="N144" s="42">
        <f t="shared" si="7"/>
        <v>0.785</v>
      </c>
      <c r="O144" s="43"/>
      <c r="P144" s="44">
        <f t="shared" si="8"/>
        <v>0</v>
      </c>
      <c r="Q144" s="45">
        <f t="shared" si="9"/>
        <v>0</v>
      </c>
      <c r="R144" s="45">
        <f t="shared" si="13"/>
        <v>0</v>
      </c>
      <c r="S144" s="45">
        <f t="shared" si="14"/>
        <v>0</v>
      </c>
      <c r="T144" s="45">
        <f t="shared" si="10"/>
        <v>0</v>
      </c>
      <c r="U144" s="45">
        <f t="shared" si="11"/>
        <v>0</v>
      </c>
      <c r="V144" s="45">
        <f t="shared" si="12"/>
        <v>0</v>
      </c>
      <c r="W144" s="33"/>
      <c r="X144" s="33"/>
      <c r="Y144" s="33"/>
      <c r="Z144" s="33"/>
    </row>
    <row r="145" ht="14.25" customHeight="1">
      <c r="A145" s="46"/>
      <c r="B145" s="46" t="s">
        <v>255</v>
      </c>
      <c r="C145" s="46"/>
      <c r="D145" s="35">
        <v>40.0</v>
      </c>
      <c r="E145" s="36"/>
      <c r="F145" s="37"/>
      <c r="G145" s="38">
        <f t="shared" si="1"/>
        <v>500</v>
      </c>
      <c r="H145" s="37"/>
      <c r="I145" s="39">
        <v>2000.0</v>
      </c>
      <c r="J145" s="40">
        <f t="shared" si="3"/>
        <v>100</v>
      </c>
      <c r="K145" s="40">
        <f t="shared" si="4"/>
        <v>330</v>
      </c>
      <c r="L145" s="40">
        <f t="shared" si="5"/>
        <v>0</v>
      </c>
      <c r="M145" s="41">
        <f t="shared" si="6"/>
        <v>1570</v>
      </c>
      <c r="N145" s="42">
        <f t="shared" si="7"/>
        <v>0.785</v>
      </c>
      <c r="O145" s="43"/>
      <c r="P145" s="44">
        <f t="shared" si="8"/>
        <v>0</v>
      </c>
      <c r="Q145" s="45">
        <f t="shared" si="9"/>
        <v>0</v>
      </c>
      <c r="R145" s="45">
        <f t="shared" si="13"/>
        <v>0</v>
      </c>
      <c r="S145" s="45">
        <f t="shared" si="14"/>
        <v>0</v>
      </c>
      <c r="T145" s="45">
        <f t="shared" si="10"/>
        <v>0</v>
      </c>
      <c r="U145" s="45">
        <f t="shared" si="11"/>
        <v>0</v>
      </c>
      <c r="V145" s="45">
        <f t="shared" si="12"/>
        <v>0</v>
      </c>
      <c r="W145" s="33"/>
      <c r="X145" s="33"/>
      <c r="Y145" s="33"/>
      <c r="Z145" s="33"/>
    </row>
    <row r="146" ht="14.25" customHeight="1">
      <c r="A146" s="46"/>
      <c r="B146" s="46" t="s">
        <v>256</v>
      </c>
      <c r="C146" s="46"/>
      <c r="D146" s="35">
        <v>60.0</v>
      </c>
      <c r="E146" s="36"/>
      <c r="F146" s="37"/>
      <c r="G146" s="38">
        <f t="shared" si="1"/>
        <v>750</v>
      </c>
      <c r="H146" s="37"/>
      <c r="I146" s="39">
        <v>5000.0</v>
      </c>
      <c r="J146" s="40">
        <f t="shared" si="3"/>
        <v>250</v>
      </c>
      <c r="K146" s="40">
        <f t="shared" si="4"/>
        <v>825</v>
      </c>
      <c r="L146" s="40">
        <f t="shared" si="5"/>
        <v>0</v>
      </c>
      <c r="M146" s="41">
        <f t="shared" si="6"/>
        <v>3925</v>
      </c>
      <c r="N146" s="42">
        <f t="shared" si="7"/>
        <v>0.785</v>
      </c>
      <c r="O146" s="43"/>
      <c r="P146" s="44">
        <f t="shared" si="8"/>
        <v>0</v>
      </c>
      <c r="Q146" s="45">
        <f t="shared" si="9"/>
        <v>0</v>
      </c>
      <c r="R146" s="45">
        <f t="shared" si="13"/>
        <v>0</v>
      </c>
      <c r="S146" s="45">
        <f t="shared" si="14"/>
        <v>0</v>
      </c>
      <c r="T146" s="45">
        <f t="shared" si="10"/>
        <v>0</v>
      </c>
      <c r="U146" s="45">
        <f t="shared" si="11"/>
        <v>0</v>
      </c>
      <c r="V146" s="45">
        <f t="shared" si="12"/>
        <v>0</v>
      </c>
      <c r="W146" s="33"/>
      <c r="X146" s="33"/>
      <c r="Y146" s="33"/>
      <c r="Z146" s="33"/>
    </row>
    <row r="147" ht="14.25" customHeight="1">
      <c r="A147" s="46"/>
      <c r="B147" s="46" t="s">
        <v>257</v>
      </c>
      <c r="C147" s="46"/>
      <c r="D147" s="35">
        <v>75.0</v>
      </c>
      <c r="E147" s="36"/>
      <c r="F147" s="37"/>
      <c r="G147" s="38">
        <f t="shared" si="1"/>
        <v>937.5</v>
      </c>
      <c r="H147" s="37"/>
      <c r="I147" s="39">
        <v>6000.0</v>
      </c>
      <c r="J147" s="40">
        <f t="shared" si="3"/>
        <v>300</v>
      </c>
      <c r="K147" s="40">
        <f t="shared" si="4"/>
        <v>990</v>
      </c>
      <c r="L147" s="40">
        <f t="shared" si="5"/>
        <v>0</v>
      </c>
      <c r="M147" s="41">
        <f t="shared" si="6"/>
        <v>4710</v>
      </c>
      <c r="N147" s="42">
        <f t="shared" si="7"/>
        <v>0.785</v>
      </c>
      <c r="O147" s="43"/>
      <c r="P147" s="44">
        <f t="shared" si="8"/>
        <v>0</v>
      </c>
      <c r="Q147" s="45">
        <f t="shared" si="9"/>
        <v>0</v>
      </c>
      <c r="R147" s="45">
        <f t="shared" si="13"/>
        <v>0</v>
      </c>
      <c r="S147" s="45">
        <f t="shared" si="14"/>
        <v>0</v>
      </c>
      <c r="T147" s="45">
        <f t="shared" si="10"/>
        <v>0</v>
      </c>
      <c r="U147" s="45">
        <f t="shared" si="11"/>
        <v>0</v>
      </c>
      <c r="V147" s="45">
        <f t="shared" si="12"/>
        <v>0</v>
      </c>
      <c r="W147" s="33"/>
      <c r="X147" s="33"/>
      <c r="Y147" s="33"/>
      <c r="Z147" s="33"/>
    </row>
    <row r="148" ht="14.25" customHeight="1">
      <c r="A148" s="46"/>
      <c r="B148" s="46" t="s">
        <v>258</v>
      </c>
      <c r="C148" s="46"/>
      <c r="D148" s="35">
        <v>75.0</v>
      </c>
      <c r="E148" s="36"/>
      <c r="F148" s="37"/>
      <c r="G148" s="38">
        <f t="shared" si="1"/>
        <v>937.5</v>
      </c>
      <c r="H148" s="37"/>
      <c r="I148" s="39">
        <v>5667.0</v>
      </c>
      <c r="J148" s="40">
        <f t="shared" si="3"/>
        <v>283.35</v>
      </c>
      <c r="K148" s="40">
        <f t="shared" si="4"/>
        <v>935.055</v>
      </c>
      <c r="L148" s="40">
        <f t="shared" si="5"/>
        <v>0</v>
      </c>
      <c r="M148" s="41">
        <f t="shared" si="6"/>
        <v>4448.595</v>
      </c>
      <c r="N148" s="42">
        <f t="shared" si="7"/>
        <v>0.785</v>
      </c>
      <c r="O148" s="43"/>
      <c r="P148" s="44">
        <f t="shared" si="8"/>
        <v>0</v>
      </c>
      <c r="Q148" s="45">
        <f t="shared" si="9"/>
        <v>0</v>
      </c>
      <c r="R148" s="45">
        <f t="shared" si="13"/>
        <v>0</v>
      </c>
      <c r="S148" s="45">
        <f t="shared" si="14"/>
        <v>0</v>
      </c>
      <c r="T148" s="45">
        <f t="shared" si="10"/>
        <v>0</v>
      </c>
      <c r="U148" s="45">
        <f t="shared" si="11"/>
        <v>0</v>
      </c>
      <c r="V148" s="45">
        <f t="shared" si="12"/>
        <v>0</v>
      </c>
      <c r="W148" s="33"/>
      <c r="X148" s="33"/>
      <c r="Y148" s="33"/>
      <c r="Z148" s="33"/>
    </row>
    <row r="149" ht="14.25" customHeight="1">
      <c r="A149" s="46"/>
      <c r="B149" s="46" t="s">
        <v>259</v>
      </c>
      <c r="C149" s="46"/>
      <c r="D149" s="35">
        <v>40.0</v>
      </c>
      <c r="E149" s="36"/>
      <c r="F149" s="37"/>
      <c r="G149" s="38">
        <f t="shared" si="1"/>
        <v>500</v>
      </c>
      <c r="H149" s="37"/>
      <c r="I149" s="39">
        <v>0.0</v>
      </c>
      <c r="J149" s="40">
        <f t="shared" si="3"/>
        <v>0</v>
      </c>
      <c r="K149" s="40">
        <f t="shared" si="4"/>
        <v>0</v>
      </c>
      <c r="L149" s="40">
        <f t="shared" si="5"/>
        <v>0</v>
      </c>
      <c r="M149" s="41">
        <f t="shared" si="6"/>
        <v>0</v>
      </c>
      <c r="N149" s="42" t="str">
        <f t="shared" si="7"/>
        <v>#DIV/0!</v>
      </c>
      <c r="O149" s="43"/>
      <c r="P149" s="44">
        <f t="shared" si="8"/>
        <v>0</v>
      </c>
      <c r="Q149" s="45">
        <f t="shared" si="9"/>
        <v>0</v>
      </c>
      <c r="R149" s="45">
        <f t="shared" si="13"/>
        <v>0</v>
      </c>
      <c r="S149" s="45">
        <f t="shared" si="14"/>
        <v>0</v>
      </c>
      <c r="T149" s="45">
        <f t="shared" si="10"/>
        <v>0</v>
      </c>
      <c r="U149" s="45">
        <f t="shared" si="11"/>
        <v>0</v>
      </c>
      <c r="V149" s="45">
        <f t="shared" si="12"/>
        <v>0</v>
      </c>
      <c r="W149" s="33"/>
      <c r="X149" s="33"/>
      <c r="Y149" s="33"/>
      <c r="Z149" s="33"/>
    </row>
    <row r="150" ht="14.25" customHeight="1">
      <c r="A150" s="34"/>
      <c r="B150" s="34" t="s">
        <v>260</v>
      </c>
      <c r="C150" s="34"/>
      <c r="D150" s="35">
        <v>60.0</v>
      </c>
      <c r="E150" s="36"/>
      <c r="F150" s="37"/>
      <c r="G150" s="38">
        <f t="shared" si="1"/>
        <v>750</v>
      </c>
      <c r="H150" s="37"/>
      <c r="I150" s="39">
        <v>2556.0</v>
      </c>
      <c r="J150" s="40">
        <f t="shared" si="3"/>
        <v>127.8</v>
      </c>
      <c r="K150" s="40">
        <f t="shared" si="4"/>
        <v>421.74</v>
      </c>
      <c r="L150" s="40">
        <f t="shared" si="5"/>
        <v>0</v>
      </c>
      <c r="M150" s="41">
        <f t="shared" si="6"/>
        <v>2006.46</v>
      </c>
      <c r="N150" s="42">
        <f t="shared" si="7"/>
        <v>0.785</v>
      </c>
      <c r="O150" s="43"/>
      <c r="P150" s="44">
        <f t="shared" si="8"/>
        <v>0</v>
      </c>
      <c r="Q150" s="45">
        <f t="shared" si="9"/>
        <v>0</v>
      </c>
      <c r="R150" s="45">
        <f t="shared" si="13"/>
        <v>0</v>
      </c>
      <c r="S150" s="45">
        <f t="shared" si="14"/>
        <v>0</v>
      </c>
      <c r="T150" s="45">
        <f t="shared" si="10"/>
        <v>0</v>
      </c>
      <c r="U150" s="45">
        <f t="shared" si="11"/>
        <v>0</v>
      </c>
      <c r="V150" s="45">
        <f t="shared" si="12"/>
        <v>0</v>
      </c>
      <c r="W150" s="33"/>
      <c r="X150" s="33"/>
      <c r="Y150" s="33"/>
      <c r="Z150" s="33"/>
    </row>
    <row r="151" ht="14.25" customHeight="1">
      <c r="A151" s="34"/>
      <c r="B151" s="34" t="s">
        <v>261</v>
      </c>
      <c r="C151" s="34"/>
      <c r="D151" s="35">
        <v>40.0</v>
      </c>
      <c r="E151" s="36"/>
      <c r="F151" s="37"/>
      <c r="G151" s="38">
        <f t="shared" si="1"/>
        <v>500</v>
      </c>
      <c r="H151" s="37"/>
      <c r="I151" s="39">
        <v>3500.0</v>
      </c>
      <c r="J151" s="40">
        <f t="shared" si="3"/>
        <v>175</v>
      </c>
      <c r="K151" s="40">
        <f t="shared" si="4"/>
        <v>577.5</v>
      </c>
      <c r="L151" s="40">
        <f t="shared" si="5"/>
        <v>0</v>
      </c>
      <c r="M151" s="41">
        <f t="shared" si="6"/>
        <v>2747.5</v>
      </c>
      <c r="N151" s="42">
        <f t="shared" si="7"/>
        <v>0.785</v>
      </c>
      <c r="O151" s="43"/>
      <c r="P151" s="44">
        <f t="shared" si="8"/>
        <v>0</v>
      </c>
      <c r="Q151" s="45">
        <f t="shared" si="9"/>
        <v>0</v>
      </c>
      <c r="R151" s="45">
        <f t="shared" si="13"/>
        <v>0</v>
      </c>
      <c r="S151" s="45">
        <f t="shared" si="14"/>
        <v>0</v>
      </c>
      <c r="T151" s="45">
        <f t="shared" si="10"/>
        <v>0</v>
      </c>
      <c r="U151" s="45">
        <f t="shared" si="11"/>
        <v>0</v>
      </c>
      <c r="V151" s="45">
        <f t="shared" si="12"/>
        <v>0</v>
      </c>
      <c r="W151" s="33"/>
      <c r="X151" s="33"/>
      <c r="Y151" s="33"/>
      <c r="Z151" s="33"/>
    </row>
    <row r="152" ht="14.25" customHeight="1">
      <c r="A152" s="46"/>
      <c r="B152" s="46" t="s">
        <v>262</v>
      </c>
      <c r="C152" s="46"/>
      <c r="D152" s="35">
        <v>30.0</v>
      </c>
      <c r="E152" s="36"/>
      <c r="F152" s="37"/>
      <c r="G152" s="38">
        <f t="shared" si="1"/>
        <v>375</v>
      </c>
      <c r="H152" s="37"/>
      <c r="I152" s="39">
        <v>1500.0</v>
      </c>
      <c r="J152" s="40">
        <f t="shared" si="3"/>
        <v>75</v>
      </c>
      <c r="K152" s="40">
        <f t="shared" si="4"/>
        <v>247.5</v>
      </c>
      <c r="L152" s="40">
        <f t="shared" si="5"/>
        <v>0</v>
      </c>
      <c r="M152" s="41">
        <f t="shared" si="6"/>
        <v>1177.5</v>
      </c>
      <c r="N152" s="42">
        <f t="shared" si="7"/>
        <v>0.785</v>
      </c>
      <c r="O152" s="43"/>
      <c r="P152" s="44">
        <f t="shared" si="8"/>
        <v>0</v>
      </c>
      <c r="Q152" s="45">
        <f t="shared" si="9"/>
        <v>0</v>
      </c>
      <c r="R152" s="45">
        <f t="shared" si="13"/>
        <v>0</v>
      </c>
      <c r="S152" s="45">
        <f t="shared" si="14"/>
        <v>0</v>
      </c>
      <c r="T152" s="45">
        <f t="shared" si="10"/>
        <v>0</v>
      </c>
      <c r="U152" s="45">
        <f t="shared" si="11"/>
        <v>0</v>
      </c>
      <c r="V152" s="45">
        <f t="shared" si="12"/>
        <v>0</v>
      </c>
      <c r="W152" s="33"/>
      <c r="X152" s="33"/>
      <c r="Y152" s="33"/>
      <c r="Z152" s="33"/>
    </row>
    <row r="153" ht="14.25" customHeight="1">
      <c r="A153" s="46"/>
      <c r="B153" s="46" t="s">
        <v>263</v>
      </c>
      <c r="C153" s="46"/>
      <c r="D153" s="35">
        <v>60.0</v>
      </c>
      <c r="E153" s="36"/>
      <c r="F153" s="37"/>
      <c r="G153" s="38">
        <f t="shared" si="1"/>
        <v>750</v>
      </c>
      <c r="H153" s="37"/>
      <c r="I153" s="39">
        <v>3100.0</v>
      </c>
      <c r="J153" s="40">
        <f t="shared" si="3"/>
        <v>155</v>
      </c>
      <c r="K153" s="40">
        <f t="shared" si="4"/>
        <v>511.5</v>
      </c>
      <c r="L153" s="40">
        <f t="shared" si="5"/>
        <v>0</v>
      </c>
      <c r="M153" s="41">
        <f t="shared" si="6"/>
        <v>2433.5</v>
      </c>
      <c r="N153" s="42">
        <f t="shared" si="7"/>
        <v>0.785</v>
      </c>
      <c r="O153" s="43"/>
      <c r="P153" s="44">
        <f t="shared" si="8"/>
        <v>0</v>
      </c>
      <c r="Q153" s="45">
        <f t="shared" si="9"/>
        <v>0</v>
      </c>
      <c r="R153" s="45">
        <f t="shared" si="13"/>
        <v>0</v>
      </c>
      <c r="S153" s="45">
        <f t="shared" si="14"/>
        <v>0</v>
      </c>
      <c r="T153" s="45">
        <f t="shared" si="10"/>
        <v>0</v>
      </c>
      <c r="U153" s="45">
        <f t="shared" si="11"/>
        <v>0</v>
      </c>
      <c r="V153" s="45">
        <f t="shared" si="12"/>
        <v>0</v>
      </c>
      <c r="W153" s="33"/>
      <c r="X153" s="33"/>
      <c r="Y153" s="33"/>
      <c r="Z153" s="33"/>
    </row>
    <row r="154" ht="14.25" customHeight="1">
      <c r="A154" s="46"/>
      <c r="B154" s="46" t="s">
        <v>264</v>
      </c>
      <c r="C154" s="46"/>
      <c r="D154" s="35">
        <v>30.0</v>
      </c>
      <c r="E154" s="36"/>
      <c r="F154" s="37"/>
      <c r="G154" s="38">
        <f t="shared" si="1"/>
        <v>375</v>
      </c>
      <c r="H154" s="37"/>
      <c r="I154" s="39">
        <v>2000.0</v>
      </c>
      <c r="J154" s="40">
        <f t="shared" si="3"/>
        <v>100</v>
      </c>
      <c r="K154" s="40">
        <f t="shared" si="4"/>
        <v>330</v>
      </c>
      <c r="L154" s="40">
        <f t="shared" si="5"/>
        <v>0</v>
      </c>
      <c r="M154" s="41">
        <f t="shared" si="6"/>
        <v>1570</v>
      </c>
      <c r="N154" s="42">
        <f t="shared" si="7"/>
        <v>0.785</v>
      </c>
      <c r="O154" s="43"/>
      <c r="P154" s="44">
        <f t="shared" si="8"/>
        <v>0</v>
      </c>
      <c r="Q154" s="45">
        <f t="shared" si="9"/>
        <v>0</v>
      </c>
      <c r="R154" s="45">
        <f t="shared" si="13"/>
        <v>0</v>
      </c>
      <c r="S154" s="45">
        <f t="shared" si="14"/>
        <v>0</v>
      </c>
      <c r="T154" s="45">
        <f t="shared" si="10"/>
        <v>0</v>
      </c>
      <c r="U154" s="45">
        <f t="shared" si="11"/>
        <v>0</v>
      </c>
      <c r="V154" s="45">
        <f t="shared" si="12"/>
        <v>0</v>
      </c>
      <c r="W154" s="33"/>
      <c r="X154" s="33"/>
      <c r="Y154" s="33"/>
      <c r="Z154" s="33"/>
    </row>
    <row r="155" ht="14.25" customHeight="1">
      <c r="A155" s="34"/>
      <c r="B155" s="34" t="s">
        <v>265</v>
      </c>
      <c r="C155" s="34"/>
      <c r="D155" s="35">
        <v>75.0</v>
      </c>
      <c r="E155" s="36"/>
      <c r="F155" s="37"/>
      <c r="G155" s="38">
        <f t="shared" si="1"/>
        <v>937.5</v>
      </c>
      <c r="H155" s="37"/>
      <c r="I155" s="39">
        <v>3578.0</v>
      </c>
      <c r="J155" s="40">
        <f t="shared" si="3"/>
        <v>178.9</v>
      </c>
      <c r="K155" s="40">
        <f t="shared" si="4"/>
        <v>590.37</v>
      </c>
      <c r="L155" s="40">
        <f t="shared" si="5"/>
        <v>0</v>
      </c>
      <c r="M155" s="41">
        <f t="shared" si="6"/>
        <v>2808.73</v>
      </c>
      <c r="N155" s="42">
        <f t="shared" si="7"/>
        <v>0.785</v>
      </c>
      <c r="O155" s="43"/>
      <c r="P155" s="44">
        <f t="shared" si="8"/>
        <v>0</v>
      </c>
      <c r="Q155" s="45">
        <f t="shared" si="9"/>
        <v>0</v>
      </c>
      <c r="R155" s="45">
        <f t="shared" si="13"/>
        <v>0</v>
      </c>
      <c r="S155" s="45">
        <f t="shared" si="14"/>
        <v>0</v>
      </c>
      <c r="T155" s="45">
        <f t="shared" si="10"/>
        <v>0</v>
      </c>
      <c r="U155" s="45">
        <f t="shared" si="11"/>
        <v>0</v>
      </c>
      <c r="V155" s="45">
        <f t="shared" si="12"/>
        <v>0</v>
      </c>
      <c r="W155" s="33"/>
      <c r="X155" s="33"/>
      <c r="Y155" s="33"/>
      <c r="Z155" s="33"/>
    </row>
    <row r="156" ht="14.25" customHeight="1">
      <c r="A156" s="46"/>
      <c r="B156" s="46" t="s">
        <v>266</v>
      </c>
      <c r="C156" s="46"/>
      <c r="D156" s="35">
        <v>40.0</v>
      </c>
      <c r="E156" s="36"/>
      <c r="F156" s="37"/>
      <c r="G156" s="38">
        <f t="shared" si="1"/>
        <v>500</v>
      </c>
      <c r="H156" s="37"/>
      <c r="I156" s="39">
        <v>4500.0</v>
      </c>
      <c r="J156" s="40">
        <f t="shared" si="3"/>
        <v>225</v>
      </c>
      <c r="K156" s="40">
        <f t="shared" si="4"/>
        <v>742.5</v>
      </c>
      <c r="L156" s="40">
        <f t="shared" si="5"/>
        <v>0</v>
      </c>
      <c r="M156" s="41">
        <f t="shared" si="6"/>
        <v>3532.5</v>
      </c>
      <c r="N156" s="42">
        <f t="shared" si="7"/>
        <v>0.785</v>
      </c>
      <c r="O156" s="43"/>
      <c r="P156" s="44">
        <f t="shared" si="8"/>
        <v>0</v>
      </c>
      <c r="Q156" s="45">
        <f t="shared" si="9"/>
        <v>0</v>
      </c>
      <c r="R156" s="45">
        <f t="shared" si="13"/>
        <v>0</v>
      </c>
      <c r="S156" s="45">
        <f t="shared" si="14"/>
        <v>0</v>
      </c>
      <c r="T156" s="45">
        <f t="shared" si="10"/>
        <v>0</v>
      </c>
      <c r="U156" s="45">
        <f t="shared" si="11"/>
        <v>0</v>
      </c>
      <c r="V156" s="45">
        <f t="shared" si="12"/>
        <v>0</v>
      </c>
      <c r="W156" s="33"/>
      <c r="X156" s="33"/>
      <c r="Y156" s="33"/>
      <c r="Z156" s="33"/>
    </row>
    <row r="157" ht="14.25" customHeight="1">
      <c r="A157" s="46"/>
      <c r="B157" s="46" t="s">
        <v>267</v>
      </c>
      <c r="C157" s="46"/>
      <c r="D157" s="35">
        <v>75.0</v>
      </c>
      <c r="E157" s="36"/>
      <c r="F157" s="37"/>
      <c r="G157" s="38">
        <f t="shared" si="1"/>
        <v>937.5</v>
      </c>
      <c r="H157" s="37"/>
      <c r="I157" s="39">
        <v>495.0</v>
      </c>
      <c r="J157" s="40">
        <f t="shared" si="3"/>
        <v>24.75</v>
      </c>
      <c r="K157" s="40">
        <f t="shared" si="4"/>
        <v>81.675</v>
      </c>
      <c r="L157" s="40">
        <f t="shared" si="5"/>
        <v>0</v>
      </c>
      <c r="M157" s="41">
        <f t="shared" si="6"/>
        <v>388.575</v>
      </c>
      <c r="N157" s="42">
        <f t="shared" si="7"/>
        <v>0.785</v>
      </c>
      <c r="O157" s="43"/>
      <c r="P157" s="44">
        <f t="shared" si="8"/>
        <v>0</v>
      </c>
      <c r="Q157" s="45">
        <f t="shared" si="9"/>
        <v>0</v>
      </c>
      <c r="R157" s="45">
        <f t="shared" si="13"/>
        <v>0</v>
      </c>
      <c r="S157" s="45">
        <f t="shared" si="14"/>
        <v>0</v>
      </c>
      <c r="T157" s="45">
        <f t="shared" si="10"/>
        <v>0</v>
      </c>
      <c r="U157" s="45">
        <f t="shared" si="11"/>
        <v>0</v>
      </c>
      <c r="V157" s="45">
        <f t="shared" si="12"/>
        <v>0</v>
      </c>
      <c r="W157" s="33"/>
      <c r="X157" s="33"/>
      <c r="Y157" s="33"/>
      <c r="Z157" s="33"/>
    </row>
    <row r="158" ht="14.25" customHeight="1">
      <c r="A158" s="46"/>
      <c r="B158" s="46" t="s">
        <v>268</v>
      </c>
      <c r="C158" s="46"/>
      <c r="D158" s="35">
        <v>75.0</v>
      </c>
      <c r="E158" s="36"/>
      <c r="F158" s="37"/>
      <c r="G158" s="38">
        <f t="shared" si="1"/>
        <v>937.5</v>
      </c>
      <c r="H158" s="37"/>
      <c r="I158" s="39">
        <v>323.0</v>
      </c>
      <c r="J158" s="40">
        <f t="shared" si="3"/>
        <v>16.15</v>
      </c>
      <c r="K158" s="40">
        <f t="shared" si="4"/>
        <v>53.295</v>
      </c>
      <c r="L158" s="40">
        <f t="shared" si="5"/>
        <v>0</v>
      </c>
      <c r="M158" s="41">
        <f t="shared" si="6"/>
        <v>253.555</v>
      </c>
      <c r="N158" s="42">
        <f t="shared" si="7"/>
        <v>0.785</v>
      </c>
      <c r="O158" s="43"/>
      <c r="P158" s="44">
        <f t="shared" si="8"/>
        <v>0</v>
      </c>
      <c r="Q158" s="45">
        <f t="shared" si="9"/>
        <v>0</v>
      </c>
      <c r="R158" s="45">
        <f t="shared" si="13"/>
        <v>0</v>
      </c>
      <c r="S158" s="45">
        <f t="shared" si="14"/>
        <v>0</v>
      </c>
      <c r="T158" s="45">
        <f t="shared" si="10"/>
        <v>0</v>
      </c>
      <c r="U158" s="45">
        <f t="shared" si="11"/>
        <v>0</v>
      </c>
      <c r="V158" s="45">
        <f t="shared" si="12"/>
        <v>0</v>
      </c>
      <c r="W158" s="33"/>
      <c r="X158" s="33"/>
      <c r="Y158" s="33"/>
      <c r="Z158" s="33"/>
    </row>
    <row r="159" ht="14.25" customHeight="1">
      <c r="A159" s="46"/>
      <c r="B159" s="46" t="s">
        <v>269</v>
      </c>
      <c r="C159" s="46"/>
      <c r="D159" s="35">
        <v>60.0</v>
      </c>
      <c r="E159" s="36"/>
      <c r="F159" s="37"/>
      <c r="G159" s="38">
        <f t="shared" si="1"/>
        <v>750</v>
      </c>
      <c r="H159" s="37"/>
      <c r="I159" s="39">
        <v>1200.0</v>
      </c>
      <c r="J159" s="40">
        <f t="shared" si="3"/>
        <v>60</v>
      </c>
      <c r="K159" s="40">
        <f t="shared" si="4"/>
        <v>198</v>
      </c>
      <c r="L159" s="40">
        <f t="shared" si="5"/>
        <v>0</v>
      </c>
      <c r="M159" s="41">
        <f t="shared" si="6"/>
        <v>942</v>
      </c>
      <c r="N159" s="42">
        <f t="shared" si="7"/>
        <v>0.785</v>
      </c>
      <c r="O159" s="43"/>
      <c r="P159" s="44">
        <f t="shared" si="8"/>
        <v>0</v>
      </c>
      <c r="Q159" s="45">
        <f t="shared" si="9"/>
        <v>0</v>
      </c>
      <c r="R159" s="45">
        <f t="shared" si="13"/>
        <v>0</v>
      </c>
      <c r="S159" s="45">
        <f t="shared" si="14"/>
        <v>0</v>
      </c>
      <c r="T159" s="45">
        <f t="shared" si="10"/>
        <v>0</v>
      </c>
      <c r="U159" s="45">
        <f t="shared" si="11"/>
        <v>0</v>
      </c>
      <c r="V159" s="45">
        <f t="shared" si="12"/>
        <v>0</v>
      </c>
      <c r="W159" s="33"/>
      <c r="X159" s="33"/>
      <c r="Y159" s="33"/>
      <c r="Z159" s="33"/>
    </row>
    <row r="160" ht="14.25" customHeight="1">
      <c r="A160" s="46"/>
      <c r="B160" s="46" t="s">
        <v>270</v>
      </c>
      <c r="C160" s="46"/>
      <c r="D160" s="35">
        <v>60.0</v>
      </c>
      <c r="E160" s="36"/>
      <c r="F160" s="37"/>
      <c r="G160" s="38">
        <f t="shared" si="1"/>
        <v>750</v>
      </c>
      <c r="H160" s="37"/>
      <c r="I160" s="39">
        <v>3073.0</v>
      </c>
      <c r="J160" s="40">
        <f t="shared" si="3"/>
        <v>153.65</v>
      </c>
      <c r="K160" s="40">
        <f t="shared" si="4"/>
        <v>507.045</v>
      </c>
      <c r="L160" s="40">
        <f t="shared" si="5"/>
        <v>0</v>
      </c>
      <c r="M160" s="41">
        <f t="shared" si="6"/>
        <v>2412.305</v>
      </c>
      <c r="N160" s="42">
        <f t="shared" si="7"/>
        <v>0.785</v>
      </c>
      <c r="O160" s="43"/>
      <c r="P160" s="44">
        <f t="shared" si="8"/>
        <v>0</v>
      </c>
      <c r="Q160" s="45">
        <f t="shared" si="9"/>
        <v>0</v>
      </c>
      <c r="R160" s="45">
        <f t="shared" si="13"/>
        <v>0</v>
      </c>
      <c r="S160" s="45">
        <f t="shared" si="14"/>
        <v>0</v>
      </c>
      <c r="T160" s="45">
        <f t="shared" si="10"/>
        <v>0</v>
      </c>
      <c r="U160" s="45">
        <f t="shared" si="11"/>
        <v>0</v>
      </c>
      <c r="V160" s="45">
        <f t="shared" si="12"/>
        <v>0</v>
      </c>
      <c r="W160" s="33"/>
      <c r="X160" s="33"/>
      <c r="Y160" s="33"/>
      <c r="Z160" s="33"/>
    </row>
    <row r="161" ht="14.25" customHeight="1">
      <c r="A161" s="34"/>
      <c r="B161" s="34" t="s">
        <v>271</v>
      </c>
      <c r="C161" s="34"/>
      <c r="D161" s="35">
        <v>60.0</v>
      </c>
      <c r="E161" s="36"/>
      <c r="F161" s="37"/>
      <c r="G161" s="38">
        <f t="shared" si="1"/>
        <v>750</v>
      </c>
      <c r="H161" s="37"/>
      <c r="I161" s="39">
        <v>1200.0</v>
      </c>
      <c r="J161" s="40">
        <f t="shared" si="3"/>
        <v>60</v>
      </c>
      <c r="K161" s="40">
        <f t="shared" si="4"/>
        <v>198</v>
      </c>
      <c r="L161" s="40">
        <f t="shared" si="5"/>
        <v>0</v>
      </c>
      <c r="M161" s="41">
        <f t="shared" si="6"/>
        <v>942</v>
      </c>
      <c r="N161" s="42">
        <f t="shared" si="7"/>
        <v>0.785</v>
      </c>
      <c r="O161" s="43"/>
      <c r="P161" s="44">
        <f t="shared" si="8"/>
        <v>0</v>
      </c>
      <c r="Q161" s="45">
        <f t="shared" si="9"/>
        <v>0</v>
      </c>
      <c r="R161" s="45">
        <f t="shared" si="13"/>
        <v>0</v>
      </c>
      <c r="S161" s="45">
        <f t="shared" si="14"/>
        <v>0</v>
      </c>
      <c r="T161" s="45">
        <f t="shared" si="10"/>
        <v>0</v>
      </c>
      <c r="U161" s="45">
        <f t="shared" si="11"/>
        <v>0</v>
      </c>
      <c r="V161" s="45">
        <f t="shared" si="12"/>
        <v>0</v>
      </c>
      <c r="W161" s="33"/>
      <c r="X161" s="33"/>
      <c r="Y161" s="33"/>
      <c r="Z161" s="33"/>
    </row>
    <row r="162" ht="14.25" customHeight="1">
      <c r="A162" s="46"/>
      <c r="B162" s="46" t="s">
        <v>272</v>
      </c>
      <c r="C162" s="46"/>
      <c r="D162" s="35">
        <v>480.0</v>
      </c>
      <c r="E162" s="36"/>
      <c r="F162" s="37"/>
      <c r="G162" s="38">
        <f t="shared" si="1"/>
        <v>6000</v>
      </c>
      <c r="H162" s="37"/>
      <c r="I162" s="39">
        <v>800.0</v>
      </c>
      <c r="J162" s="40">
        <f t="shared" si="3"/>
        <v>40</v>
      </c>
      <c r="K162" s="40">
        <f t="shared" si="4"/>
        <v>132</v>
      </c>
      <c r="L162" s="40">
        <f t="shared" si="5"/>
        <v>0</v>
      </c>
      <c r="M162" s="41">
        <f t="shared" si="6"/>
        <v>628</v>
      </c>
      <c r="N162" s="42">
        <f t="shared" si="7"/>
        <v>0.785</v>
      </c>
      <c r="O162" s="43"/>
      <c r="P162" s="44">
        <f t="shared" si="8"/>
        <v>0</v>
      </c>
      <c r="Q162" s="45">
        <f t="shared" si="9"/>
        <v>0</v>
      </c>
      <c r="R162" s="45">
        <f t="shared" si="13"/>
        <v>0</v>
      </c>
      <c r="S162" s="45">
        <f t="shared" si="14"/>
        <v>0</v>
      </c>
      <c r="T162" s="45">
        <f t="shared" si="10"/>
        <v>0</v>
      </c>
      <c r="U162" s="45">
        <f t="shared" si="11"/>
        <v>0</v>
      </c>
      <c r="V162" s="45">
        <f t="shared" si="12"/>
        <v>0</v>
      </c>
      <c r="W162" s="33"/>
      <c r="X162" s="33"/>
      <c r="Y162" s="33"/>
      <c r="Z162" s="33"/>
    </row>
    <row r="163" ht="14.25" customHeight="1">
      <c r="A163" s="46"/>
      <c r="B163" s="46" t="s">
        <v>273</v>
      </c>
      <c r="C163" s="46"/>
      <c r="D163" s="35">
        <v>60.0</v>
      </c>
      <c r="E163" s="36"/>
      <c r="F163" s="37"/>
      <c r="G163" s="38">
        <f t="shared" si="1"/>
        <v>750</v>
      </c>
      <c r="H163" s="37"/>
      <c r="I163" s="39">
        <v>300.0</v>
      </c>
      <c r="J163" s="40">
        <f t="shared" si="3"/>
        <v>15</v>
      </c>
      <c r="K163" s="40">
        <f t="shared" si="4"/>
        <v>49.5</v>
      </c>
      <c r="L163" s="40">
        <f t="shared" si="5"/>
        <v>0</v>
      </c>
      <c r="M163" s="41">
        <f t="shared" si="6"/>
        <v>235.5</v>
      </c>
      <c r="N163" s="42">
        <f t="shared" si="7"/>
        <v>0.785</v>
      </c>
      <c r="O163" s="43"/>
      <c r="P163" s="44">
        <f t="shared" si="8"/>
        <v>0</v>
      </c>
      <c r="Q163" s="45">
        <f t="shared" si="9"/>
        <v>0</v>
      </c>
      <c r="R163" s="45">
        <f t="shared" si="13"/>
        <v>0</v>
      </c>
      <c r="S163" s="45">
        <f t="shared" si="14"/>
        <v>0</v>
      </c>
      <c r="T163" s="45">
        <f t="shared" si="10"/>
        <v>0</v>
      </c>
      <c r="U163" s="45">
        <f t="shared" si="11"/>
        <v>0</v>
      </c>
      <c r="V163" s="45">
        <f t="shared" si="12"/>
        <v>0</v>
      </c>
      <c r="W163" s="33"/>
      <c r="X163" s="33"/>
      <c r="Y163" s="33"/>
      <c r="Z163" s="33"/>
    </row>
    <row r="164" ht="14.25" customHeight="1">
      <c r="A164" s="34"/>
      <c r="B164" s="34" t="s">
        <v>274</v>
      </c>
      <c r="C164" s="34"/>
      <c r="D164" s="35">
        <v>60.0</v>
      </c>
      <c r="E164" s="36"/>
      <c r="F164" s="37"/>
      <c r="G164" s="38">
        <f t="shared" si="1"/>
        <v>750</v>
      </c>
      <c r="H164" s="37"/>
      <c r="I164" s="39">
        <v>300.0</v>
      </c>
      <c r="J164" s="40">
        <f t="shared" si="3"/>
        <v>15</v>
      </c>
      <c r="K164" s="40">
        <f t="shared" si="4"/>
        <v>49.5</v>
      </c>
      <c r="L164" s="40">
        <f t="shared" si="5"/>
        <v>0</v>
      </c>
      <c r="M164" s="41">
        <f t="shared" si="6"/>
        <v>235.5</v>
      </c>
      <c r="N164" s="42">
        <f t="shared" si="7"/>
        <v>0.785</v>
      </c>
      <c r="O164" s="43"/>
      <c r="P164" s="44">
        <f t="shared" si="8"/>
        <v>0</v>
      </c>
      <c r="Q164" s="45">
        <f t="shared" si="9"/>
        <v>0</v>
      </c>
      <c r="R164" s="45">
        <f t="shared" si="13"/>
        <v>0</v>
      </c>
      <c r="S164" s="45">
        <f t="shared" si="14"/>
        <v>0</v>
      </c>
      <c r="T164" s="45">
        <f t="shared" si="10"/>
        <v>0</v>
      </c>
      <c r="U164" s="45">
        <f t="shared" si="11"/>
        <v>0</v>
      </c>
      <c r="V164" s="45">
        <f t="shared" si="12"/>
        <v>0</v>
      </c>
      <c r="W164" s="33"/>
      <c r="X164" s="33"/>
      <c r="Y164" s="33"/>
      <c r="Z164" s="33"/>
    </row>
    <row r="165" ht="14.25" customHeight="1">
      <c r="A165" s="46"/>
      <c r="B165" s="46" t="s">
        <v>275</v>
      </c>
      <c r="C165" s="46"/>
      <c r="D165" s="35">
        <v>60.0</v>
      </c>
      <c r="E165" s="36"/>
      <c r="F165" s="37"/>
      <c r="G165" s="38">
        <f t="shared" si="1"/>
        <v>750</v>
      </c>
      <c r="H165" s="37"/>
      <c r="I165" s="39">
        <v>150.0</v>
      </c>
      <c r="J165" s="40">
        <f t="shared" si="3"/>
        <v>7.5</v>
      </c>
      <c r="K165" s="40">
        <f t="shared" si="4"/>
        <v>24.75</v>
      </c>
      <c r="L165" s="40">
        <f t="shared" si="5"/>
        <v>0</v>
      </c>
      <c r="M165" s="41">
        <f t="shared" si="6"/>
        <v>117.75</v>
      </c>
      <c r="N165" s="42">
        <f t="shared" si="7"/>
        <v>0.785</v>
      </c>
      <c r="O165" s="43"/>
      <c r="P165" s="44">
        <f t="shared" si="8"/>
        <v>0</v>
      </c>
      <c r="Q165" s="45">
        <f t="shared" si="9"/>
        <v>0</v>
      </c>
      <c r="R165" s="45">
        <f t="shared" si="13"/>
        <v>0</v>
      </c>
      <c r="S165" s="45">
        <f t="shared" si="14"/>
        <v>0</v>
      </c>
      <c r="T165" s="45">
        <f t="shared" si="10"/>
        <v>0</v>
      </c>
      <c r="U165" s="45">
        <f t="shared" si="11"/>
        <v>0</v>
      </c>
      <c r="V165" s="45">
        <f t="shared" si="12"/>
        <v>0</v>
      </c>
      <c r="W165" s="33"/>
      <c r="X165" s="33"/>
      <c r="Y165" s="33"/>
      <c r="Z165" s="33"/>
    </row>
    <row r="166" ht="14.25" customHeight="1">
      <c r="A166" s="34"/>
      <c r="B166" s="34" t="s">
        <v>276</v>
      </c>
      <c r="C166" s="34"/>
      <c r="D166" s="35">
        <v>120.0</v>
      </c>
      <c r="E166" s="36"/>
      <c r="F166" s="37"/>
      <c r="G166" s="38">
        <f t="shared" si="1"/>
        <v>1500</v>
      </c>
      <c r="H166" s="37"/>
      <c r="I166" s="39">
        <v>300.0</v>
      </c>
      <c r="J166" s="40">
        <f t="shared" si="3"/>
        <v>15</v>
      </c>
      <c r="K166" s="40">
        <f t="shared" si="4"/>
        <v>49.5</v>
      </c>
      <c r="L166" s="40">
        <f t="shared" si="5"/>
        <v>0</v>
      </c>
      <c r="M166" s="41">
        <f t="shared" si="6"/>
        <v>235.5</v>
      </c>
      <c r="N166" s="42">
        <f t="shared" si="7"/>
        <v>0.785</v>
      </c>
      <c r="O166" s="43"/>
      <c r="P166" s="44">
        <f t="shared" si="8"/>
        <v>0</v>
      </c>
      <c r="Q166" s="45">
        <f t="shared" si="9"/>
        <v>0</v>
      </c>
      <c r="R166" s="45">
        <f t="shared" si="13"/>
        <v>0</v>
      </c>
      <c r="S166" s="45">
        <f t="shared" si="14"/>
        <v>0</v>
      </c>
      <c r="T166" s="45">
        <f t="shared" si="10"/>
        <v>0</v>
      </c>
      <c r="U166" s="45">
        <f t="shared" si="11"/>
        <v>0</v>
      </c>
      <c r="V166" s="45">
        <f t="shared" si="12"/>
        <v>0</v>
      </c>
      <c r="W166" s="33"/>
      <c r="X166" s="33"/>
      <c r="Y166" s="33"/>
      <c r="Z166" s="33"/>
    </row>
    <row r="167" ht="14.25" customHeight="1">
      <c r="A167" s="46"/>
      <c r="B167" s="46" t="s">
        <v>277</v>
      </c>
      <c r="C167" s="46"/>
      <c r="D167" s="35">
        <v>75.0</v>
      </c>
      <c r="E167" s="36"/>
      <c r="F167" s="37"/>
      <c r="G167" s="38">
        <f t="shared" si="1"/>
        <v>937.5</v>
      </c>
      <c r="H167" s="37"/>
      <c r="I167" s="39">
        <v>901.0</v>
      </c>
      <c r="J167" s="40">
        <f t="shared" si="3"/>
        <v>45.05</v>
      </c>
      <c r="K167" s="40">
        <f t="shared" si="4"/>
        <v>148.665</v>
      </c>
      <c r="L167" s="40">
        <f t="shared" si="5"/>
        <v>0</v>
      </c>
      <c r="M167" s="41">
        <f t="shared" si="6"/>
        <v>707.285</v>
      </c>
      <c r="N167" s="42">
        <f t="shared" si="7"/>
        <v>0.785</v>
      </c>
      <c r="O167" s="43"/>
      <c r="P167" s="44">
        <f t="shared" si="8"/>
        <v>0</v>
      </c>
      <c r="Q167" s="45">
        <f t="shared" si="9"/>
        <v>0</v>
      </c>
      <c r="R167" s="45">
        <f t="shared" si="13"/>
        <v>0</v>
      </c>
      <c r="S167" s="45">
        <f t="shared" si="14"/>
        <v>0</v>
      </c>
      <c r="T167" s="45">
        <f t="shared" si="10"/>
        <v>0</v>
      </c>
      <c r="U167" s="45">
        <f t="shared" si="11"/>
        <v>0</v>
      </c>
      <c r="V167" s="45">
        <f t="shared" si="12"/>
        <v>0</v>
      </c>
      <c r="W167" s="33"/>
      <c r="X167" s="33"/>
      <c r="Y167" s="33"/>
      <c r="Z167" s="33"/>
    </row>
    <row r="168" ht="14.25" customHeight="1">
      <c r="A168" s="46"/>
      <c r="B168" s="46" t="s">
        <v>278</v>
      </c>
      <c r="C168" s="46"/>
      <c r="D168" s="35">
        <v>720.0</v>
      </c>
      <c r="E168" s="36"/>
      <c r="F168" s="37"/>
      <c r="G168" s="38">
        <f t="shared" si="1"/>
        <v>9000</v>
      </c>
      <c r="H168" s="37"/>
      <c r="I168" s="39">
        <v>2000.0</v>
      </c>
      <c r="J168" s="40">
        <f t="shared" si="3"/>
        <v>100</v>
      </c>
      <c r="K168" s="40">
        <f t="shared" si="4"/>
        <v>330</v>
      </c>
      <c r="L168" s="40">
        <f t="shared" si="5"/>
        <v>0</v>
      </c>
      <c r="M168" s="41">
        <f t="shared" si="6"/>
        <v>1570</v>
      </c>
      <c r="N168" s="42">
        <f t="shared" si="7"/>
        <v>0.785</v>
      </c>
      <c r="O168" s="43"/>
      <c r="P168" s="44">
        <f t="shared" si="8"/>
        <v>0</v>
      </c>
      <c r="Q168" s="45">
        <f t="shared" si="9"/>
        <v>0</v>
      </c>
      <c r="R168" s="45">
        <f t="shared" si="13"/>
        <v>0</v>
      </c>
      <c r="S168" s="45">
        <f t="shared" si="14"/>
        <v>0</v>
      </c>
      <c r="T168" s="45">
        <f t="shared" si="10"/>
        <v>0</v>
      </c>
      <c r="U168" s="45">
        <f t="shared" si="11"/>
        <v>0</v>
      </c>
      <c r="V168" s="45">
        <f t="shared" si="12"/>
        <v>0</v>
      </c>
      <c r="W168" s="33"/>
      <c r="X168" s="33"/>
      <c r="Y168" s="33"/>
      <c r="Z168" s="33"/>
    </row>
    <row r="169" ht="14.25" customHeight="1">
      <c r="A169" s="46"/>
      <c r="B169" s="46" t="s">
        <v>279</v>
      </c>
      <c r="C169" s="46"/>
      <c r="D169" s="35">
        <v>240.0</v>
      </c>
      <c r="E169" s="36"/>
      <c r="F169" s="37"/>
      <c r="G169" s="38">
        <f t="shared" si="1"/>
        <v>3000</v>
      </c>
      <c r="H169" s="37"/>
      <c r="I169" s="39">
        <v>1400.0</v>
      </c>
      <c r="J169" s="40">
        <f t="shared" si="3"/>
        <v>70</v>
      </c>
      <c r="K169" s="40">
        <f t="shared" si="4"/>
        <v>231</v>
      </c>
      <c r="L169" s="40">
        <f t="shared" si="5"/>
        <v>0</v>
      </c>
      <c r="M169" s="41">
        <f t="shared" si="6"/>
        <v>1099</v>
      </c>
      <c r="N169" s="42">
        <f t="shared" si="7"/>
        <v>0.785</v>
      </c>
      <c r="O169" s="43"/>
      <c r="P169" s="44">
        <f t="shared" si="8"/>
        <v>0</v>
      </c>
      <c r="Q169" s="45">
        <f t="shared" si="9"/>
        <v>0</v>
      </c>
      <c r="R169" s="45">
        <f t="shared" si="13"/>
        <v>0</v>
      </c>
      <c r="S169" s="45">
        <f t="shared" si="14"/>
        <v>0</v>
      </c>
      <c r="T169" s="45">
        <f t="shared" si="10"/>
        <v>0</v>
      </c>
      <c r="U169" s="45">
        <f t="shared" si="11"/>
        <v>0</v>
      </c>
      <c r="V169" s="45">
        <f t="shared" si="12"/>
        <v>0</v>
      </c>
      <c r="W169" s="33"/>
      <c r="X169" s="33"/>
      <c r="Y169" s="33"/>
      <c r="Z169" s="33"/>
    </row>
    <row r="170" ht="14.25" customHeight="1">
      <c r="A170" s="46"/>
      <c r="B170" s="46" t="s">
        <v>280</v>
      </c>
      <c r="C170" s="46"/>
      <c r="D170" s="35">
        <v>360.0</v>
      </c>
      <c r="E170" s="36"/>
      <c r="F170" s="37"/>
      <c r="G170" s="38">
        <f t="shared" si="1"/>
        <v>4500</v>
      </c>
      <c r="H170" s="37"/>
      <c r="I170" s="39">
        <v>1600.0</v>
      </c>
      <c r="J170" s="40">
        <f t="shared" si="3"/>
        <v>80</v>
      </c>
      <c r="K170" s="40">
        <f t="shared" si="4"/>
        <v>264</v>
      </c>
      <c r="L170" s="40">
        <f t="shared" si="5"/>
        <v>0</v>
      </c>
      <c r="M170" s="41">
        <f t="shared" si="6"/>
        <v>1256</v>
      </c>
      <c r="N170" s="42">
        <f t="shared" si="7"/>
        <v>0.785</v>
      </c>
      <c r="O170" s="43"/>
      <c r="P170" s="44">
        <f t="shared" si="8"/>
        <v>0</v>
      </c>
      <c r="Q170" s="45">
        <f t="shared" si="9"/>
        <v>0</v>
      </c>
      <c r="R170" s="45">
        <f t="shared" si="13"/>
        <v>0</v>
      </c>
      <c r="S170" s="45">
        <f t="shared" si="14"/>
        <v>0</v>
      </c>
      <c r="T170" s="45">
        <f t="shared" si="10"/>
        <v>0</v>
      </c>
      <c r="U170" s="45">
        <f t="shared" si="11"/>
        <v>0</v>
      </c>
      <c r="V170" s="45">
        <f t="shared" si="12"/>
        <v>0</v>
      </c>
      <c r="W170" s="33"/>
      <c r="X170" s="33"/>
      <c r="Y170" s="33"/>
      <c r="Z170" s="33"/>
    </row>
    <row r="171" ht="14.25" customHeight="1">
      <c r="A171" s="34"/>
      <c r="B171" s="34" t="s">
        <v>281</v>
      </c>
      <c r="C171" s="34"/>
      <c r="D171" s="35">
        <v>480.0</v>
      </c>
      <c r="E171" s="36"/>
      <c r="F171" s="37"/>
      <c r="G171" s="38">
        <f t="shared" si="1"/>
        <v>6000</v>
      </c>
      <c r="H171" s="37"/>
      <c r="I171" s="39">
        <v>1800.0</v>
      </c>
      <c r="J171" s="40">
        <f t="shared" si="3"/>
        <v>90</v>
      </c>
      <c r="K171" s="40">
        <f t="shared" si="4"/>
        <v>297</v>
      </c>
      <c r="L171" s="40">
        <f t="shared" si="5"/>
        <v>0</v>
      </c>
      <c r="M171" s="41">
        <f t="shared" si="6"/>
        <v>1413</v>
      </c>
      <c r="N171" s="42">
        <f t="shared" si="7"/>
        <v>0.785</v>
      </c>
      <c r="O171" s="43"/>
      <c r="P171" s="44">
        <f t="shared" si="8"/>
        <v>0</v>
      </c>
      <c r="Q171" s="45">
        <f t="shared" si="9"/>
        <v>0</v>
      </c>
      <c r="R171" s="45">
        <f t="shared" si="13"/>
        <v>0</v>
      </c>
      <c r="S171" s="45">
        <f t="shared" si="14"/>
        <v>0</v>
      </c>
      <c r="T171" s="45">
        <f t="shared" si="10"/>
        <v>0</v>
      </c>
      <c r="U171" s="45">
        <f t="shared" si="11"/>
        <v>0</v>
      </c>
      <c r="V171" s="45">
        <f t="shared" si="12"/>
        <v>0</v>
      </c>
      <c r="W171" s="33"/>
      <c r="X171" s="33"/>
      <c r="Y171" s="33"/>
      <c r="Z171" s="33"/>
    </row>
    <row r="172" ht="14.25" customHeight="1">
      <c r="A172" s="34"/>
      <c r="B172" s="34" t="s">
        <v>282</v>
      </c>
      <c r="C172" s="34"/>
      <c r="D172" s="35">
        <v>60.0</v>
      </c>
      <c r="E172" s="36"/>
      <c r="F172" s="37"/>
      <c r="G172" s="38">
        <f t="shared" si="1"/>
        <v>750</v>
      </c>
      <c r="H172" s="37"/>
      <c r="I172" s="39">
        <v>200.0</v>
      </c>
      <c r="J172" s="40">
        <f t="shared" si="3"/>
        <v>10</v>
      </c>
      <c r="K172" s="40">
        <f t="shared" si="4"/>
        <v>33</v>
      </c>
      <c r="L172" s="40">
        <f t="shared" si="5"/>
        <v>0</v>
      </c>
      <c r="M172" s="41">
        <f t="shared" si="6"/>
        <v>157</v>
      </c>
      <c r="N172" s="42">
        <f t="shared" si="7"/>
        <v>0.785</v>
      </c>
      <c r="O172" s="43"/>
      <c r="P172" s="44">
        <f t="shared" si="8"/>
        <v>0</v>
      </c>
      <c r="Q172" s="45">
        <f t="shared" si="9"/>
        <v>0</v>
      </c>
      <c r="R172" s="45">
        <f t="shared" si="13"/>
        <v>0</v>
      </c>
      <c r="S172" s="45">
        <f t="shared" si="14"/>
        <v>0</v>
      </c>
      <c r="T172" s="45">
        <f t="shared" si="10"/>
        <v>0</v>
      </c>
      <c r="U172" s="45">
        <f t="shared" si="11"/>
        <v>0</v>
      </c>
      <c r="V172" s="45">
        <f t="shared" si="12"/>
        <v>0</v>
      </c>
      <c r="W172" s="33"/>
      <c r="X172" s="33"/>
      <c r="Y172" s="33"/>
      <c r="Z172" s="33"/>
    </row>
    <row r="173" ht="14.25" customHeight="1">
      <c r="A173" s="34"/>
      <c r="B173" s="34" t="s">
        <v>283</v>
      </c>
      <c r="C173" s="34"/>
      <c r="D173" s="35">
        <v>45.0</v>
      </c>
      <c r="E173" s="36"/>
      <c r="F173" s="37"/>
      <c r="G173" s="38">
        <f t="shared" si="1"/>
        <v>562.5</v>
      </c>
      <c r="H173" s="37"/>
      <c r="I173" s="39">
        <v>250.0</v>
      </c>
      <c r="J173" s="40">
        <f t="shared" si="3"/>
        <v>12.5</v>
      </c>
      <c r="K173" s="40">
        <f t="shared" si="4"/>
        <v>41.25</v>
      </c>
      <c r="L173" s="40">
        <f t="shared" si="5"/>
        <v>0</v>
      </c>
      <c r="M173" s="41">
        <f t="shared" si="6"/>
        <v>196.25</v>
      </c>
      <c r="N173" s="42">
        <f t="shared" si="7"/>
        <v>0.785</v>
      </c>
      <c r="O173" s="43"/>
      <c r="P173" s="44">
        <f t="shared" si="8"/>
        <v>0</v>
      </c>
      <c r="Q173" s="45">
        <f t="shared" si="9"/>
        <v>0</v>
      </c>
      <c r="R173" s="45">
        <f t="shared" si="13"/>
        <v>0</v>
      </c>
      <c r="S173" s="45">
        <f t="shared" si="14"/>
        <v>0</v>
      </c>
      <c r="T173" s="45">
        <f t="shared" si="10"/>
        <v>0</v>
      </c>
      <c r="U173" s="45">
        <f t="shared" si="11"/>
        <v>0</v>
      </c>
      <c r="V173" s="45">
        <f t="shared" si="12"/>
        <v>0</v>
      </c>
      <c r="W173" s="33"/>
      <c r="X173" s="33"/>
      <c r="Y173" s="33"/>
      <c r="Z173" s="33"/>
    </row>
    <row r="174" ht="14.25" customHeight="1">
      <c r="A174" s="46"/>
      <c r="B174" s="46" t="s">
        <v>284</v>
      </c>
      <c r="C174" s="46"/>
      <c r="D174" s="35">
        <v>45.0</v>
      </c>
      <c r="E174" s="36"/>
      <c r="F174" s="37"/>
      <c r="G174" s="38">
        <f t="shared" si="1"/>
        <v>562.5</v>
      </c>
      <c r="H174" s="37"/>
      <c r="I174" s="39">
        <v>278.0</v>
      </c>
      <c r="J174" s="40">
        <f t="shared" si="3"/>
        <v>13.9</v>
      </c>
      <c r="K174" s="40">
        <f t="shared" si="4"/>
        <v>45.87</v>
      </c>
      <c r="L174" s="40">
        <f t="shared" si="5"/>
        <v>0</v>
      </c>
      <c r="M174" s="41">
        <f t="shared" si="6"/>
        <v>218.23</v>
      </c>
      <c r="N174" s="42">
        <f t="shared" si="7"/>
        <v>0.785</v>
      </c>
      <c r="O174" s="43"/>
      <c r="P174" s="44">
        <f t="shared" si="8"/>
        <v>0</v>
      </c>
      <c r="Q174" s="45">
        <f t="shared" si="9"/>
        <v>0</v>
      </c>
      <c r="R174" s="45">
        <f t="shared" si="13"/>
        <v>0</v>
      </c>
      <c r="S174" s="45">
        <f t="shared" si="14"/>
        <v>0</v>
      </c>
      <c r="T174" s="45">
        <f t="shared" si="10"/>
        <v>0</v>
      </c>
      <c r="U174" s="45">
        <f t="shared" si="11"/>
        <v>0</v>
      </c>
      <c r="V174" s="45">
        <f t="shared" si="12"/>
        <v>0</v>
      </c>
      <c r="W174" s="33"/>
      <c r="X174" s="33"/>
      <c r="Y174" s="33"/>
      <c r="Z174" s="33"/>
    </row>
    <row r="175" ht="14.25" customHeight="1">
      <c r="A175" s="46"/>
      <c r="B175" s="46" t="s">
        <v>285</v>
      </c>
      <c r="C175" s="46"/>
      <c r="D175" s="35">
        <v>45.0</v>
      </c>
      <c r="E175" s="36"/>
      <c r="F175" s="37"/>
      <c r="G175" s="38">
        <f t="shared" si="1"/>
        <v>562.5</v>
      </c>
      <c r="H175" s="37"/>
      <c r="I175" s="39">
        <v>278.0</v>
      </c>
      <c r="J175" s="40">
        <f t="shared" si="3"/>
        <v>13.9</v>
      </c>
      <c r="K175" s="40">
        <f t="shared" si="4"/>
        <v>45.87</v>
      </c>
      <c r="L175" s="40">
        <f t="shared" si="5"/>
        <v>0</v>
      </c>
      <c r="M175" s="41">
        <f t="shared" si="6"/>
        <v>218.23</v>
      </c>
      <c r="N175" s="42">
        <f t="shared" si="7"/>
        <v>0.785</v>
      </c>
      <c r="O175" s="43"/>
      <c r="P175" s="44">
        <f t="shared" si="8"/>
        <v>0</v>
      </c>
      <c r="Q175" s="45">
        <f t="shared" si="9"/>
        <v>0</v>
      </c>
      <c r="R175" s="45">
        <f t="shared" si="13"/>
        <v>0</v>
      </c>
      <c r="S175" s="45">
        <f t="shared" si="14"/>
        <v>0</v>
      </c>
      <c r="T175" s="45">
        <f t="shared" si="10"/>
        <v>0</v>
      </c>
      <c r="U175" s="45">
        <f t="shared" si="11"/>
        <v>0</v>
      </c>
      <c r="V175" s="45">
        <f t="shared" si="12"/>
        <v>0</v>
      </c>
      <c r="W175" s="33"/>
      <c r="X175" s="33"/>
      <c r="Y175" s="33"/>
      <c r="Z175" s="33"/>
    </row>
    <row r="176" ht="14.25" customHeight="1">
      <c r="A176" s="46"/>
      <c r="B176" s="46" t="s">
        <v>286</v>
      </c>
      <c r="C176" s="46"/>
      <c r="D176" s="35">
        <v>60.0</v>
      </c>
      <c r="E176" s="36"/>
      <c r="F176" s="37"/>
      <c r="G176" s="38">
        <f t="shared" si="1"/>
        <v>750</v>
      </c>
      <c r="H176" s="37"/>
      <c r="I176" s="39">
        <v>1850.0</v>
      </c>
      <c r="J176" s="40">
        <f t="shared" si="3"/>
        <v>92.5</v>
      </c>
      <c r="K176" s="40">
        <f t="shared" si="4"/>
        <v>305.25</v>
      </c>
      <c r="L176" s="40">
        <f t="shared" si="5"/>
        <v>0</v>
      </c>
      <c r="M176" s="41">
        <f t="shared" si="6"/>
        <v>1452.25</v>
      </c>
      <c r="N176" s="42">
        <f t="shared" si="7"/>
        <v>0.785</v>
      </c>
      <c r="O176" s="43"/>
      <c r="P176" s="44">
        <f t="shared" si="8"/>
        <v>0</v>
      </c>
      <c r="Q176" s="45">
        <f t="shared" si="9"/>
        <v>0</v>
      </c>
      <c r="R176" s="45">
        <f t="shared" si="13"/>
        <v>0</v>
      </c>
      <c r="S176" s="45">
        <f t="shared" si="14"/>
        <v>0</v>
      </c>
      <c r="T176" s="45">
        <f t="shared" si="10"/>
        <v>0</v>
      </c>
      <c r="U176" s="45">
        <f t="shared" si="11"/>
        <v>0</v>
      </c>
      <c r="V176" s="45">
        <f t="shared" si="12"/>
        <v>0</v>
      </c>
      <c r="W176" s="33"/>
      <c r="X176" s="33"/>
      <c r="Y176" s="33"/>
      <c r="Z176" s="33"/>
    </row>
    <row r="177" ht="14.25" customHeight="1">
      <c r="A177" s="46"/>
      <c r="B177" s="46" t="s">
        <v>287</v>
      </c>
      <c r="C177" s="46"/>
      <c r="D177" s="35">
        <v>30.0</v>
      </c>
      <c r="E177" s="36"/>
      <c r="F177" s="37"/>
      <c r="G177" s="38">
        <f t="shared" si="1"/>
        <v>375</v>
      </c>
      <c r="H177" s="37"/>
      <c r="I177" s="39">
        <v>1000.0</v>
      </c>
      <c r="J177" s="40">
        <f t="shared" si="3"/>
        <v>50</v>
      </c>
      <c r="K177" s="40">
        <f t="shared" si="4"/>
        <v>165</v>
      </c>
      <c r="L177" s="40">
        <f t="shared" si="5"/>
        <v>0</v>
      </c>
      <c r="M177" s="41">
        <f t="shared" si="6"/>
        <v>785</v>
      </c>
      <c r="N177" s="42">
        <f t="shared" si="7"/>
        <v>0.785</v>
      </c>
      <c r="O177" s="43"/>
      <c r="P177" s="44">
        <f t="shared" si="8"/>
        <v>0</v>
      </c>
      <c r="Q177" s="45">
        <f t="shared" si="9"/>
        <v>0</v>
      </c>
      <c r="R177" s="45">
        <f t="shared" si="13"/>
        <v>0</v>
      </c>
      <c r="S177" s="45">
        <f t="shared" si="14"/>
        <v>0</v>
      </c>
      <c r="T177" s="45">
        <f t="shared" si="10"/>
        <v>0</v>
      </c>
      <c r="U177" s="45">
        <f t="shared" si="11"/>
        <v>0</v>
      </c>
      <c r="V177" s="45">
        <f t="shared" si="12"/>
        <v>0</v>
      </c>
      <c r="W177" s="33"/>
      <c r="X177" s="33"/>
      <c r="Y177" s="33"/>
      <c r="Z177" s="33"/>
    </row>
    <row r="178" ht="14.25" customHeight="1">
      <c r="A178" s="34"/>
      <c r="B178" s="34" t="s">
        <v>288</v>
      </c>
      <c r="C178" s="34"/>
      <c r="D178" s="35">
        <v>45.0</v>
      </c>
      <c r="E178" s="36"/>
      <c r="F178" s="37"/>
      <c r="G178" s="38">
        <f t="shared" si="1"/>
        <v>562.5</v>
      </c>
      <c r="H178" s="37"/>
      <c r="I178" s="39">
        <v>1750.0</v>
      </c>
      <c r="J178" s="40">
        <f t="shared" si="3"/>
        <v>87.5</v>
      </c>
      <c r="K178" s="40">
        <f t="shared" si="4"/>
        <v>288.75</v>
      </c>
      <c r="L178" s="40">
        <f t="shared" si="5"/>
        <v>0</v>
      </c>
      <c r="M178" s="41">
        <f t="shared" si="6"/>
        <v>1373.75</v>
      </c>
      <c r="N178" s="42">
        <f t="shared" si="7"/>
        <v>0.785</v>
      </c>
      <c r="O178" s="43"/>
      <c r="P178" s="44">
        <f t="shared" si="8"/>
        <v>0</v>
      </c>
      <c r="Q178" s="45">
        <f t="shared" si="9"/>
        <v>0</v>
      </c>
      <c r="R178" s="45">
        <f t="shared" si="13"/>
        <v>0</v>
      </c>
      <c r="S178" s="45">
        <f t="shared" si="14"/>
        <v>0</v>
      </c>
      <c r="T178" s="45">
        <f t="shared" si="10"/>
        <v>0</v>
      </c>
      <c r="U178" s="45">
        <f t="shared" si="11"/>
        <v>0</v>
      </c>
      <c r="V178" s="45">
        <f t="shared" si="12"/>
        <v>0</v>
      </c>
      <c r="W178" s="33"/>
      <c r="X178" s="33"/>
      <c r="Y178" s="33"/>
      <c r="Z178" s="33"/>
    </row>
    <row r="179" ht="14.25" customHeight="1">
      <c r="A179" s="34"/>
      <c r="B179" s="34" t="s">
        <v>289</v>
      </c>
      <c r="C179" s="34"/>
      <c r="D179" s="35">
        <v>50.0</v>
      </c>
      <c r="E179" s="36"/>
      <c r="F179" s="37"/>
      <c r="G179" s="38">
        <f t="shared" si="1"/>
        <v>625</v>
      </c>
      <c r="H179" s="37"/>
      <c r="I179" s="39">
        <v>1500.0</v>
      </c>
      <c r="J179" s="40">
        <f t="shared" si="3"/>
        <v>75</v>
      </c>
      <c r="K179" s="40">
        <f t="shared" si="4"/>
        <v>247.5</v>
      </c>
      <c r="L179" s="40">
        <f t="shared" si="5"/>
        <v>0</v>
      </c>
      <c r="M179" s="41">
        <f t="shared" si="6"/>
        <v>1177.5</v>
      </c>
      <c r="N179" s="42">
        <f t="shared" si="7"/>
        <v>0.785</v>
      </c>
      <c r="O179" s="43"/>
      <c r="P179" s="44">
        <f t="shared" si="8"/>
        <v>0</v>
      </c>
      <c r="Q179" s="45">
        <f t="shared" si="9"/>
        <v>0</v>
      </c>
      <c r="R179" s="45">
        <f t="shared" si="13"/>
        <v>0</v>
      </c>
      <c r="S179" s="45">
        <f t="shared" si="14"/>
        <v>0</v>
      </c>
      <c r="T179" s="45">
        <f t="shared" si="10"/>
        <v>0</v>
      </c>
      <c r="U179" s="45">
        <f t="shared" si="11"/>
        <v>0</v>
      </c>
      <c r="V179" s="45">
        <f t="shared" si="12"/>
        <v>0</v>
      </c>
      <c r="W179" s="33"/>
      <c r="X179" s="33"/>
      <c r="Y179" s="33"/>
      <c r="Z179" s="33"/>
    </row>
    <row r="180" ht="14.25" customHeight="1">
      <c r="A180" s="46"/>
      <c r="B180" s="46" t="s">
        <v>290</v>
      </c>
      <c r="C180" s="46"/>
      <c r="D180" s="35">
        <v>45.0</v>
      </c>
      <c r="E180" s="36"/>
      <c r="F180" s="37"/>
      <c r="G180" s="38">
        <f t="shared" si="1"/>
        <v>562.5</v>
      </c>
      <c r="H180" s="37"/>
      <c r="I180" s="39">
        <v>1500.0</v>
      </c>
      <c r="J180" s="40">
        <f t="shared" si="3"/>
        <v>75</v>
      </c>
      <c r="K180" s="40">
        <f t="shared" si="4"/>
        <v>247.5</v>
      </c>
      <c r="L180" s="40">
        <f t="shared" si="5"/>
        <v>0</v>
      </c>
      <c r="M180" s="41">
        <f t="shared" si="6"/>
        <v>1177.5</v>
      </c>
      <c r="N180" s="42">
        <f t="shared" si="7"/>
        <v>0.785</v>
      </c>
      <c r="O180" s="43"/>
      <c r="P180" s="44">
        <f t="shared" si="8"/>
        <v>0</v>
      </c>
      <c r="Q180" s="45">
        <f t="shared" si="9"/>
        <v>0</v>
      </c>
      <c r="R180" s="45">
        <f t="shared" si="13"/>
        <v>0</v>
      </c>
      <c r="S180" s="45">
        <f t="shared" si="14"/>
        <v>0</v>
      </c>
      <c r="T180" s="45">
        <f t="shared" si="10"/>
        <v>0</v>
      </c>
      <c r="U180" s="45">
        <f t="shared" si="11"/>
        <v>0</v>
      </c>
      <c r="V180" s="45">
        <f t="shared" si="12"/>
        <v>0</v>
      </c>
      <c r="W180" s="33"/>
      <c r="X180" s="33"/>
      <c r="Y180" s="33"/>
      <c r="Z180" s="33"/>
    </row>
    <row r="181" ht="14.25" customHeight="1">
      <c r="A181" s="46"/>
      <c r="B181" s="46" t="s">
        <v>291</v>
      </c>
      <c r="C181" s="46"/>
      <c r="D181" s="35">
        <v>60.0</v>
      </c>
      <c r="E181" s="36"/>
      <c r="F181" s="37"/>
      <c r="G181" s="38">
        <f t="shared" si="1"/>
        <v>750</v>
      </c>
      <c r="H181" s="37"/>
      <c r="I181" s="39">
        <v>7750.0</v>
      </c>
      <c r="J181" s="40">
        <f t="shared" si="3"/>
        <v>387.5</v>
      </c>
      <c r="K181" s="40">
        <f t="shared" si="4"/>
        <v>1278.75</v>
      </c>
      <c r="L181" s="40">
        <f t="shared" si="5"/>
        <v>0</v>
      </c>
      <c r="M181" s="41">
        <f t="shared" si="6"/>
        <v>6083.75</v>
      </c>
      <c r="N181" s="42">
        <f t="shared" si="7"/>
        <v>0.785</v>
      </c>
      <c r="O181" s="43"/>
      <c r="P181" s="44">
        <f t="shared" si="8"/>
        <v>0</v>
      </c>
      <c r="Q181" s="45">
        <f t="shared" si="9"/>
        <v>0</v>
      </c>
      <c r="R181" s="45">
        <f t="shared" si="13"/>
        <v>0</v>
      </c>
      <c r="S181" s="45">
        <f t="shared" si="14"/>
        <v>0</v>
      </c>
      <c r="T181" s="45">
        <f t="shared" si="10"/>
        <v>0</v>
      </c>
      <c r="U181" s="45">
        <f t="shared" si="11"/>
        <v>0</v>
      </c>
      <c r="V181" s="45">
        <f t="shared" si="12"/>
        <v>0</v>
      </c>
      <c r="W181" s="33"/>
      <c r="X181" s="33"/>
      <c r="Y181" s="33"/>
      <c r="Z181" s="33"/>
    </row>
    <row r="182" ht="14.25" customHeight="1">
      <c r="A182" s="46"/>
      <c r="B182" s="46" t="s">
        <v>292</v>
      </c>
      <c r="C182" s="46"/>
      <c r="D182" s="35">
        <v>30.0</v>
      </c>
      <c r="E182" s="36"/>
      <c r="F182" s="37"/>
      <c r="G182" s="38">
        <f t="shared" si="1"/>
        <v>375</v>
      </c>
      <c r="H182" s="37"/>
      <c r="I182" s="39">
        <v>1000.0</v>
      </c>
      <c r="J182" s="40">
        <f t="shared" si="3"/>
        <v>50</v>
      </c>
      <c r="K182" s="40">
        <f t="shared" si="4"/>
        <v>165</v>
      </c>
      <c r="L182" s="40">
        <f t="shared" si="5"/>
        <v>0</v>
      </c>
      <c r="M182" s="41">
        <f t="shared" si="6"/>
        <v>785</v>
      </c>
      <c r="N182" s="42">
        <f t="shared" si="7"/>
        <v>0.785</v>
      </c>
      <c r="O182" s="43"/>
      <c r="P182" s="44">
        <f t="shared" si="8"/>
        <v>0</v>
      </c>
      <c r="Q182" s="45">
        <f t="shared" si="9"/>
        <v>0</v>
      </c>
      <c r="R182" s="45">
        <f t="shared" si="13"/>
        <v>0</v>
      </c>
      <c r="S182" s="45">
        <f t="shared" si="14"/>
        <v>0</v>
      </c>
      <c r="T182" s="45">
        <f t="shared" si="10"/>
        <v>0</v>
      </c>
      <c r="U182" s="45">
        <f t="shared" si="11"/>
        <v>0</v>
      </c>
      <c r="V182" s="45">
        <f t="shared" si="12"/>
        <v>0</v>
      </c>
      <c r="W182" s="33"/>
      <c r="X182" s="33"/>
      <c r="Y182" s="33"/>
      <c r="Z182" s="33"/>
    </row>
    <row r="183" ht="14.25" customHeight="1">
      <c r="A183" s="46"/>
      <c r="B183" s="46" t="s">
        <v>293</v>
      </c>
      <c r="C183" s="46"/>
      <c r="D183" s="35">
        <v>90.0</v>
      </c>
      <c r="E183" s="36"/>
      <c r="F183" s="37"/>
      <c r="G183" s="38">
        <f t="shared" si="1"/>
        <v>1125</v>
      </c>
      <c r="H183" s="37"/>
      <c r="I183" s="39">
        <v>6000.0</v>
      </c>
      <c r="J183" s="40">
        <f t="shared" si="3"/>
        <v>300</v>
      </c>
      <c r="K183" s="40">
        <f t="shared" si="4"/>
        <v>990</v>
      </c>
      <c r="L183" s="40">
        <f t="shared" si="5"/>
        <v>0</v>
      </c>
      <c r="M183" s="41">
        <f t="shared" si="6"/>
        <v>4710</v>
      </c>
      <c r="N183" s="42">
        <f t="shared" si="7"/>
        <v>0.785</v>
      </c>
      <c r="O183" s="43"/>
      <c r="P183" s="44">
        <f t="shared" si="8"/>
        <v>0</v>
      </c>
      <c r="Q183" s="45">
        <f t="shared" si="9"/>
        <v>0</v>
      </c>
      <c r="R183" s="45">
        <f t="shared" si="13"/>
        <v>0</v>
      </c>
      <c r="S183" s="45">
        <f t="shared" si="14"/>
        <v>0</v>
      </c>
      <c r="T183" s="45">
        <f t="shared" si="10"/>
        <v>0</v>
      </c>
      <c r="U183" s="45">
        <f t="shared" si="11"/>
        <v>0</v>
      </c>
      <c r="V183" s="45">
        <f t="shared" si="12"/>
        <v>0</v>
      </c>
      <c r="W183" s="33"/>
      <c r="X183" s="33"/>
      <c r="Y183" s="33"/>
      <c r="Z183" s="33"/>
    </row>
    <row r="184" ht="14.25" customHeight="1">
      <c r="A184" s="46"/>
      <c r="B184" s="52" t="s">
        <v>294</v>
      </c>
      <c r="C184" s="46"/>
      <c r="D184" s="35">
        <v>20.0</v>
      </c>
      <c r="E184" s="36"/>
      <c r="F184" s="37"/>
      <c r="G184" s="38">
        <f t="shared" si="1"/>
        <v>250</v>
      </c>
      <c r="H184" s="37"/>
      <c r="I184" s="39">
        <v>850.0</v>
      </c>
      <c r="J184" s="40">
        <f t="shared" si="3"/>
        <v>42.5</v>
      </c>
      <c r="K184" s="40">
        <f t="shared" si="4"/>
        <v>140.25</v>
      </c>
      <c r="L184" s="40">
        <f t="shared" si="5"/>
        <v>0</v>
      </c>
      <c r="M184" s="41">
        <f t="shared" si="6"/>
        <v>667.25</v>
      </c>
      <c r="N184" s="42">
        <f t="shared" si="7"/>
        <v>0.785</v>
      </c>
      <c r="O184" s="43"/>
      <c r="P184" s="44">
        <f t="shared" si="8"/>
        <v>0</v>
      </c>
      <c r="Q184" s="45">
        <f t="shared" si="9"/>
        <v>0</v>
      </c>
      <c r="R184" s="45">
        <f t="shared" si="13"/>
        <v>0</v>
      </c>
      <c r="S184" s="45">
        <f t="shared" si="14"/>
        <v>0</v>
      </c>
      <c r="T184" s="45">
        <f t="shared" si="10"/>
        <v>0</v>
      </c>
      <c r="U184" s="45">
        <f t="shared" si="11"/>
        <v>0</v>
      </c>
      <c r="V184" s="45">
        <f t="shared" si="12"/>
        <v>0</v>
      </c>
      <c r="W184" s="33"/>
      <c r="X184" s="33"/>
      <c r="Y184" s="33"/>
      <c r="Z184" s="33"/>
    </row>
    <row r="185" ht="14.25" customHeight="1">
      <c r="A185" s="46"/>
      <c r="B185" s="46" t="s">
        <v>295</v>
      </c>
      <c r="C185" s="46"/>
      <c r="D185" s="35">
        <v>60.0</v>
      </c>
      <c r="E185" s="36"/>
      <c r="F185" s="37"/>
      <c r="G185" s="38">
        <f t="shared" si="1"/>
        <v>750</v>
      </c>
      <c r="H185" s="37"/>
      <c r="I185" s="39">
        <v>6667.0</v>
      </c>
      <c r="J185" s="40">
        <f t="shared" si="3"/>
        <v>333.35</v>
      </c>
      <c r="K185" s="40">
        <f t="shared" si="4"/>
        <v>1100.055</v>
      </c>
      <c r="L185" s="40">
        <f t="shared" si="5"/>
        <v>0</v>
      </c>
      <c r="M185" s="41">
        <f t="shared" si="6"/>
        <v>5233.595</v>
      </c>
      <c r="N185" s="42">
        <f t="shared" si="7"/>
        <v>0.785</v>
      </c>
      <c r="O185" s="43"/>
      <c r="P185" s="44">
        <f t="shared" si="8"/>
        <v>0</v>
      </c>
      <c r="Q185" s="45">
        <f t="shared" si="9"/>
        <v>0</v>
      </c>
      <c r="R185" s="45">
        <f t="shared" si="13"/>
        <v>0</v>
      </c>
      <c r="S185" s="45">
        <f t="shared" si="14"/>
        <v>0</v>
      </c>
      <c r="T185" s="45">
        <f t="shared" si="10"/>
        <v>0</v>
      </c>
      <c r="U185" s="45">
        <f t="shared" si="11"/>
        <v>0</v>
      </c>
      <c r="V185" s="45">
        <f t="shared" si="12"/>
        <v>0</v>
      </c>
      <c r="W185" s="33"/>
      <c r="X185" s="33"/>
      <c r="Y185" s="33"/>
      <c r="Z185" s="33"/>
    </row>
    <row r="186" ht="14.25" customHeight="1">
      <c r="A186" s="46"/>
      <c r="B186" s="46" t="s">
        <v>296</v>
      </c>
      <c r="C186" s="46" t="s">
        <v>297</v>
      </c>
      <c r="D186" s="35">
        <v>30.0</v>
      </c>
      <c r="E186" s="36"/>
      <c r="F186" s="37"/>
      <c r="G186" s="38">
        <f t="shared" si="1"/>
        <v>375</v>
      </c>
      <c r="H186" s="37"/>
      <c r="I186" s="39">
        <v>750.0</v>
      </c>
      <c r="J186" s="40">
        <f t="shared" si="3"/>
        <v>37.5</v>
      </c>
      <c r="K186" s="40">
        <f t="shared" si="4"/>
        <v>123.75</v>
      </c>
      <c r="L186" s="40">
        <f t="shared" si="5"/>
        <v>0</v>
      </c>
      <c r="M186" s="41">
        <f t="shared" si="6"/>
        <v>588.75</v>
      </c>
      <c r="N186" s="42">
        <f t="shared" si="7"/>
        <v>0.785</v>
      </c>
      <c r="O186" s="43"/>
      <c r="P186" s="44">
        <f t="shared" si="8"/>
        <v>0</v>
      </c>
      <c r="Q186" s="45">
        <f t="shared" si="9"/>
        <v>0</v>
      </c>
      <c r="R186" s="45">
        <f t="shared" si="13"/>
        <v>0</v>
      </c>
      <c r="S186" s="45">
        <f t="shared" si="14"/>
        <v>0</v>
      </c>
      <c r="T186" s="45">
        <f t="shared" si="10"/>
        <v>0</v>
      </c>
      <c r="U186" s="45">
        <f t="shared" si="11"/>
        <v>0</v>
      </c>
      <c r="V186" s="45">
        <f t="shared" si="12"/>
        <v>0</v>
      </c>
      <c r="W186" s="33"/>
      <c r="X186" s="33"/>
      <c r="Y186" s="33"/>
      <c r="Z186" s="33"/>
    </row>
    <row r="187" ht="14.25" customHeight="1">
      <c r="A187" s="46"/>
      <c r="B187" s="46" t="s">
        <v>298</v>
      </c>
      <c r="C187" s="46" t="s">
        <v>299</v>
      </c>
      <c r="D187" s="35">
        <v>45.0</v>
      </c>
      <c r="E187" s="36"/>
      <c r="F187" s="37"/>
      <c r="G187" s="38">
        <f t="shared" si="1"/>
        <v>562.5</v>
      </c>
      <c r="H187" s="37"/>
      <c r="I187" s="39">
        <v>2000.0</v>
      </c>
      <c r="J187" s="40">
        <f t="shared" si="3"/>
        <v>100</v>
      </c>
      <c r="K187" s="40">
        <f t="shared" si="4"/>
        <v>330</v>
      </c>
      <c r="L187" s="40">
        <f t="shared" si="5"/>
        <v>0</v>
      </c>
      <c r="M187" s="41">
        <f t="shared" si="6"/>
        <v>1570</v>
      </c>
      <c r="N187" s="42">
        <f t="shared" si="7"/>
        <v>0.785</v>
      </c>
      <c r="O187" s="43"/>
      <c r="P187" s="44">
        <f t="shared" si="8"/>
        <v>0</v>
      </c>
      <c r="Q187" s="45">
        <f t="shared" si="9"/>
        <v>0</v>
      </c>
      <c r="R187" s="45">
        <f t="shared" si="13"/>
        <v>0</v>
      </c>
      <c r="S187" s="45">
        <f t="shared" si="14"/>
        <v>0</v>
      </c>
      <c r="T187" s="45">
        <f t="shared" si="10"/>
        <v>0</v>
      </c>
      <c r="U187" s="45">
        <f t="shared" si="11"/>
        <v>0</v>
      </c>
      <c r="V187" s="45">
        <f t="shared" si="12"/>
        <v>0</v>
      </c>
      <c r="W187" s="33"/>
      <c r="X187" s="33"/>
      <c r="Y187" s="33"/>
      <c r="Z187" s="33"/>
    </row>
    <row r="188" ht="14.25" customHeight="1">
      <c r="A188" s="46"/>
      <c r="B188" s="46" t="s">
        <v>300</v>
      </c>
      <c r="C188" s="46" t="s">
        <v>301</v>
      </c>
      <c r="D188" s="35">
        <v>30.0</v>
      </c>
      <c r="E188" s="36"/>
      <c r="F188" s="37"/>
      <c r="G188" s="38">
        <f t="shared" si="1"/>
        <v>375</v>
      </c>
      <c r="H188" s="37"/>
      <c r="I188" s="39">
        <v>850.0</v>
      </c>
      <c r="J188" s="40">
        <f t="shared" si="3"/>
        <v>42.5</v>
      </c>
      <c r="K188" s="40">
        <f t="shared" si="4"/>
        <v>140.25</v>
      </c>
      <c r="L188" s="40">
        <f t="shared" si="5"/>
        <v>0</v>
      </c>
      <c r="M188" s="41">
        <f t="shared" si="6"/>
        <v>667.25</v>
      </c>
      <c r="N188" s="42">
        <f t="shared" si="7"/>
        <v>0.785</v>
      </c>
      <c r="O188" s="43"/>
      <c r="P188" s="44">
        <f t="shared" si="8"/>
        <v>0</v>
      </c>
      <c r="Q188" s="45">
        <f t="shared" si="9"/>
        <v>0</v>
      </c>
      <c r="R188" s="45">
        <f t="shared" si="13"/>
        <v>0</v>
      </c>
      <c r="S188" s="45">
        <f t="shared" si="14"/>
        <v>0</v>
      </c>
      <c r="T188" s="45">
        <f t="shared" si="10"/>
        <v>0</v>
      </c>
      <c r="U188" s="45">
        <f t="shared" si="11"/>
        <v>0</v>
      </c>
      <c r="V188" s="45">
        <f t="shared" si="12"/>
        <v>0</v>
      </c>
      <c r="W188" s="33"/>
      <c r="X188" s="33"/>
      <c r="Y188" s="33"/>
      <c r="Z188" s="33"/>
    </row>
    <row r="189" ht="14.25" customHeight="1">
      <c r="A189" s="46"/>
      <c r="B189" s="46" t="s">
        <v>302</v>
      </c>
      <c r="C189" s="46" t="s">
        <v>303</v>
      </c>
      <c r="D189" s="35">
        <v>30.0</v>
      </c>
      <c r="E189" s="36"/>
      <c r="F189" s="37"/>
      <c r="G189" s="38">
        <f t="shared" si="1"/>
        <v>375</v>
      </c>
      <c r="H189" s="37"/>
      <c r="I189" s="39">
        <v>900.0</v>
      </c>
      <c r="J189" s="40">
        <f t="shared" si="3"/>
        <v>45</v>
      </c>
      <c r="K189" s="40">
        <f t="shared" si="4"/>
        <v>148.5</v>
      </c>
      <c r="L189" s="40">
        <f t="shared" si="5"/>
        <v>0</v>
      </c>
      <c r="M189" s="41">
        <f t="shared" si="6"/>
        <v>706.5</v>
      </c>
      <c r="N189" s="42">
        <f t="shared" si="7"/>
        <v>0.785</v>
      </c>
      <c r="O189" s="43"/>
      <c r="P189" s="44">
        <f t="shared" si="8"/>
        <v>0</v>
      </c>
      <c r="Q189" s="45">
        <f t="shared" si="9"/>
        <v>0</v>
      </c>
      <c r="R189" s="45">
        <f t="shared" si="13"/>
        <v>0</v>
      </c>
      <c r="S189" s="45">
        <f t="shared" si="14"/>
        <v>0</v>
      </c>
      <c r="T189" s="45">
        <f t="shared" si="10"/>
        <v>0</v>
      </c>
      <c r="U189" s="45">
        <f t="shared" si="11"/>
        <v>0</v>
      </c>
      <c r="V189" s="45">
        <f t="shared" si="12"/>
        <v>0</v>
      </c>
      <c r="W189" s="33"/>
      <c r="X189" s="33"/>
      <c r="Y189" s="33"/>
      <c r="Z189" s="33"/>
    </row>
    <row r="190" ht="14.25" customHeight="1">
      <c r="A190" s="46"/>
      <c r="B190" s="46" t="s">
        <v>304</v>
      </c>
      <c r="C190" s="46" t="s">
        <v>301</v>
      </c>
      <c r="D190" s="35">
        <v>30.0</v>
      </c>
      <c r="E190" s="36"/>
      <c r="F190" s="37"/>
      <c r="G190" s="38">
        <f t="shared" si="1"/>
        <v>375</v>
      </c>
      <c r="H190" s="37"/>
      <c r="I190" s="39">
        <v>650.0</v>
      </c>
      <c r="J190" s="40">
        <f t="shared" si="3"/>
        <v>32.5</v>
      </c>
      <c r="K190" s="40">
        <f t="shared" si="4"/>
        <v>107.25</v>
      </c>
      <c r="L190" s="40">
        <f t="shared" si="5"/>
        <v>0</v>
      </c>
      <c r="M190" s="41">
        <f t="shared" si="6"/>
        <v>510.25</v>
      </c>
      <c r="N190" s="42">
        <f t="shared" si="7"/>
        <v>0.785</v>
      </c>
      <c r="O190" s="43"/>
      <c r="P190" s="44">
        <f t="shared" si="8"/>
        <v>0</v>
      </c>
      <c r="Q190" s="45">
        <f t="shared" si="9"/>
        <v>0</v>
      </c>
      <c r="R190" s="45">
        <f t="shared" si="13"/>
        <v>0</v>
      </c>
      <c r="S190" s="45">
        <f t="shared" si="14"/>
        <v>0</v>
      </c>
      <c r="T190" s="45">
        <f t="shared" si="10"/>
        <v>0</v>
      </c>
      <c r="U190" s="45">
        <f t="shared" si="11"/>
        <v>0</v>
      </c>
      <c r="V190" s="45">
        <f t="shared" si="12"/>
        <v>0</v>
      </c>
      <c r="W190" s="33"/>
      <c r="X190" s="33"/>
      <c r="Y190" s="33"/>
      <c r="Z190" s="33"/>
    </row>
    <row r="191" ht="14.25" customHeight="1">
      <c r="A191" s="46"/>
      <c r="B191" s="46" t="s">
        <v>305</v>
      </c>
      <c r="C191" s="46"/>
      <c r="D191" s="35">
        <v>0.0</v>
      </c>
      <c r="E191" s="36"/>
      <c r="F191" s="37"/>
      <c r="G191" s="38">
        <f t="shared" si="1"/>
        <v>0</v>
      </c>
      <c r="H191" s="37"/>
      <c r="I191" s="39">
        <v>300.0</v>
      </c>
      <c r="J191" s="40">
        <f t="shared" si="3"/>
        <v>15</v>
      </c>
      <c r="K191" s="40">
        <f t="shared" si="4"/>
        <v>49.5</v>
      </c>
      <c r="L191" s="40">
        <f t="shared" si="5"/>
        <v>0</v>
      </c>
      <c r="M191" s="41">
        <f t="shared" si="6"/>
        <v>235.5</v>
      </c>
      <c r="N191" s="42">
        <f t="shared" si="7"/>
        <v>0.785</v>
      </c>
      <c r="O191" s="43"/>
      <c r="P191" s="44">
        <f t="shared" si="8"/>
        <v>0</v>
      </c>
      <c r="Q191" s="45">
        <f t="shared" si="9"/>
        <v>0</v>
      </c>
      <c r="R191" s="45">
        <f t="shared" si="13"/>
        <v>0</v>
      </c>
      <c r="S191" s="45">
        <f t="shared" si="14"/>
        <v>0</v>
      </c>
      <c r="T191" s="45">
        <f t="shared" si="10"/>
        <v>0</v>
      </c>
      <c r="U191" s="45">
        <f t="shared" si="11"/>
        <v>0</v>
      </c>
      <c r="V191" s="45">
        <f t="shared" si="12"/>
        <v>0</v>
      </c>
      <c r="W191" s="33"/>
      <c r="X191" s="33"/>
      <c r="Y191" s="33"/>
      <c r="Z191" s="33"/>
    </row>
    <row r="192" ht="14.25" customHeight="1">
      <c r="A192" s="46"/>
      <c r="B192" s="46" t="s">
        <v>306</v>
      </c>
      <c r="C192" s="46"/>
      <c r="D192" s="35">
        <v>30.0</v>
      </c>
      <c r="E192" s="36"/>
      <c r="F192" s="37"/>
      <c r="G192" s="38">
        <f t="shared" si="1"/>
        <v>375</v>
      </c>
      <c r="H192" s="37"/>
      <c r="I192" s="39">
        <v>380.0</v>
      </c>
      <c r="J192" s="40">
        <f t="shared" si="3"/>
        <v>19</v>
      </c>
      <c r="K192" s="40">
        <f t="shared" si="4"/>
        <v>62.7</v>
      </c>
      <c r="L192" s="40">
        <f t="shared" si="5"/>
        <v>0</v>
      </c>
      <c r="M192" s="41">
        <f t="shared" si="6"/>
        <v>298.3</v>
      </c>
      <c r="N192" s="42">
        <f t="shared" si="7"/>
        <v>0.785</v>
      </c>
      <c r="O192" s="43"/>
      <c r="P192" s="44">
        <f t="shared" si="8"/>
        <v>0</v>
      </c>
      <c r="Q192" s="45">
        <f t="shared" si="9"/>
        <v>0</v>
      </c>
      <c r="R192" s="45">
        <f t="shared" si="13"/>
        <v>0</v>
      </c>
      <c r="S192" s="45">
        <f t="shared" si="14"/>
        <v>0</v>
      </c>
      <c r="T192" s="45">
        <f t="shared" si="10"/>
        <v>0</v>
      </c>
      <c r="U192" s="45">
        <f t="shared" si="11"/>
        <v>0</v>
      </c>
      <c r="V192" s="45">
        <f t="shared" si="12"/>
        <v>0</v>
      </c>
      <c r="W192" s="33"/>
      <c r="X192" s="33"/>
      <c r="Y192" s="33"/>
      <c r="Z192" s="33"/>
    </row>
    <row r="193" ht="14.25" customHeight="1">
      <c r="A193" s="46">
        <v>3.010167E7</v>
      </c>
      <c r="B193" s="46" t="s">
        <v>307</v>
      </c>
      <c r="C193" s="46"/>
      <c r="D193" s="35">
        <v>60.0</v>
      </c>
      <c r="E193" s="36"/>
      <c r="F193" s="37"/>
      <c r="G193" s="38">
        <f t="shared" si="1"/>
        <v>750</v>
      </c>
      <c r="H193" s="37"/>
      <c r="I193" s="39">
        <v>0.0</v>
      </c>
      <c r="J193" s="40">
        <f t="shared" si="3"/>
        <v>0</v>
      </c>
      <c r="K193" s="40">
        <f t="shared" si="4"/>
        <v>0</v>
      </c>
      <c r="L193" s="40">
        <f t="shared" si="5"/>
        <v>0</v>
      </c>
      <c r="M193" s="41">
        <f t="shared" si="6"/>
        <v>0</v>
      </c>
      <c r="N193" s="42" t="str">
        <f t="shared" si="7"/>
        <v>#DIV/0!</v>
      </c>
      <c r="O193" s="43"/>
      <c r="P193" s="44">
        <f t="shared" si="8"/>
        <v>0</v>
      </c>
      <c r="Q193" s="45">
        <f t="shared" si="9"/>
        <v>0</v>
      </c>
      <c r="R193" s="45">
        <f t="shared" si="13"/>
        <v>0</v>
      </c>
      <c r="S193" s="45">
        <f t="shared" si="14"/>
        <v>0</v>
      </c>
      <c r="T193" s="45">
        <f t="shared" si="10"/>
        <v>0</v>
      </c>
      <c r="U193" s="45">
        <f t="shared" si="11"/>
        <v>0</v>
      </c>
      <c r="V193" s="45">
        <f t="shared" si="12"/>
        <v>0</v>
      </c>
      <c r="W193" s="33"/>
      <c r="X193" s="33"/>
      <c r="Y193" s="33"/>
      <c r="Z193" s="33"/>
    </row>
    <row r="194" ht="14.25" customHeight="1">
      <c r="A194" s="46"/>
      <c r="B194" s="46" t="s">
        <v>308</v>
      </c>
      <c r="C194" s="46"/>
      <c r="D194" s="35">
        <v>60.0</v>
      </c>
      <c r="E194" s="36">
        <v>1.0</v>
      </c>
      <c r="F194" s="37">
        <v>317.0</v>
      </c>
      <c r="G194" s="38">
        <f t="shared" si="1"/>
        <v>750</v>
      </c>
      <c r="H194" s="37"/>
      <c r="I194" s="39">
        <v>1900.0</v>
      </c>
      <c r="J194" s="40">
        <f t="shared" si="3"/>
        <v>95</v>
      </c>
      <c r="K194" s="40">
        <f t="shared" si="4"/>
        <v>313.5</v>
      </c>
      <c r="L194" s="40">
        <f t="shared" si="5"/>
        <v>0</v>
      </c>
      <c r="M194" s="41">
        <f t="shared" si="6"/>
        <v>1491.5</v>
      </c>
      <c r="N194" s="42">
        <f t="shared" si="7"/>
        <v>0.785</v>
      </c>
      <c r="O194" s="43"/>
      <c r="P194" s="44">
        <f t="shared" si="8"/>
        <v>0</v>
      </c>
      <c r="Q194" s="45">
        <f t="shared" si="9"/>
        <v>0</v>
      </c>
      <c r="R194" s="45">
        <f t="shared" si="13"/>
        <v>0</v>
      </c>
      <c r="S194" s="45">
        <f t="shared" si="14"/>
        <v>0</v>
      </c>
      <c r="T194" s="45">
        <f t="shared" si="10"/>
        <v>0</v>
      </c>
      <c r="U194" s="45">
        <f t="shared" si="11"/>
        <v>0</v>
      </c>
      <c r="V194" s="45">
        <f t="shared" si="12"/>
        <v>0</v>
      </c>
      <c r="W194" s="33"/>
      <c r="X194" s="33"/>
      <c r="Y194" s="33"/>
      <c r="Z194" s="33"/>
    </row>
    <row r="195" ht="14.25" customHeight="1">
      <c r="A195" s="46"/>
      <c r="B195" s="46" t="s">
        <v>309</v>
      </c>
      <c r="C195" s="46"/>
      <c r="D195" s="35">
        <v>60.0</v>
      </c>
      <c r="E195" s="36">
        <v>1.0</v>
      </c>
      <c r="F195" s="37">
        <v>396.39</v>
      </c>
      <c r="G195" s="38">
        <f t="shared" si="1"/>
        <v>750</v>
      </c>
      <c r="H195" s="37"/>
      <c r="I195" s="39">
        <v>1900.0</v>
      </c>
      <c r="J195" s="40">
        <f t="shared" si="3"/>
        <v>95</v>
      </c>
      <c r="K195" s="40">
        <f t="shared" si="4"/>
        <v>313.5</v>
      </c>
      <c r="L195" s="40">
        <f t="shared" si="5"/>
        <v>0</v>
      </c>
      <c r="M195" s="41">
        <f t="shared" si="6"/>
        <v>1491.5</v>
      </c>
      <c r="N195" s="42">
        <f t="shared" si="7"/>
        <v>0.785</v>
      </c>
      <c r="O195" s="43"/>
      <c r="P195" s="44">
        <f t="shared" si="8"/>
        <v>0</v>
      </c>
      <c r="Q195" s="45">
        <f t="shared" si="9"/>
        <v>0</v>
      </c>
      <c r="R195" s="45">
        <f t="shared" si="13"/>
        <v>0</v>
      </c>
      <c r="S195" s="45">
        <f t="shared" si="14"/>
        <v>0</v>
      </c>
      <c r="T195" s="45">
        <f t="shared" si="10"/>
        <v>0</v>
      </c>
      <c r="U195" s="45">
        <f t="shared" si="11"/>
        <v>0</v>
      </c>
      <c r="V195" s="45">
        <f t="shared" si="12"/>
        <v>0</v>
      </c>
      <c r="W195" s="33"/>
      <c r="X195" s="33"/>
      <c r="Y195" s="33"/>
      <c r="Z195" s="33"/>
    </row>
    <row r="196" ht="14.25" customHeight="1">
      <c r="A196" s="46"/>
      <c r="B196" s="46" t="s">
        <v>310</v>
      </c>
      <c r="C196" s="46"/>
      <c r="D196" s="35">
        <v>60.0</v>
      </c>
      <c r="E196" s="36">
        <v>1.0</v>
      </c>
      <c r="F196" s="49">
        <v>49.99</v>
      </c>
      <c r="G196" s="38">
        <f t="shared" si="1"/>
        <v>750</v>
      </c>
      <c r="H196" s="37"/>
      <c r="I196" s="39">
        <v>1900.0</v>
      </c>
      <c r="J196" s="40">
        <f t="shared" si="3"/>
        <v>95</v>
      </c>
      <c r="K196" s="40">
        <f t="shared" si="4"/>
        <v>313.5</v>
      </c>
      <c r="L196" s="40">
        <f t="shared" si="5"/>
        <v>0</v>
      </c>
      <c r="M196" s="41">
        <f t="shared" si="6"/>
        <v>1491.5</v>
      </c>
      <c r="N196" s="42">
        <f t="shared" si="7"/>
        <v>0.785</v>
      </c>
      <c r="O196" s="43"/>
      <c r="P196" s="44">
        <f t="shared" si="8"/>
        <v>0</v>
      </c>
      <c r="Q196" s="45">
        <f t="shared" si="9"/>
        <v>0</v>
      </c>
      <c r="R196" s="45">
        <f t="shared" si="13"/>
        <v>0</v>
      </c>
      <c r="S196" s="45">
        <f t="shared" si="14"/>
        <v>0</v>
      </c>
      <c r="T196" s="45">
        <f t="shared" si="10"/>
        <v>0</v>
      </c>
      <c r="U196" s="45">
        <f t="shared" si="11"/>
        <v>0</v>
      </c>
      <c r="V196" s="45">
        <f t="shared" si="12"/>
        <v>0</v>
      </c>
      <c r="W196" s="33"/>
      <c r="X196" s="33"/>
      <c r="Y196" s="33"/>
      <c r="Z196" s="33"/>
    </row>
    <row r="197" ht="14.25" customHeight="1">
      <c r="A197" s="46"/>
      <c r="B197" s="46" t="s">
        <v>311</v>
      </c>
      <c r="C197" s="46"/>
      <c r="D197" s="35">
        <v>60.0</v>
      </c>
      <c r="E197" s="36">
        <v>1.0</v>
      </c>
      <c r="F197" s="37">
        <v>254.78</v>
      </c>
      <c r="G197" s="38">
        <f t="shared" si="1"/>
        <v>750</v>
      </c>
      <c r="H197" s="37"/>
      <c r="I197" s="39">
        <v>1900.0</v>
      </c>
      <c r="J197" s="40">
        <f t="shared" si="3"/>
        <v>95</v>
      </c>
      <c r="K197" s="40">
        <f t="shared" si="4"/>
        <v>313.5</v>
      </c>
      <c r="L197" s="40">
        <f t="shared" si="5"/>
        <v>0</v>
      </c>
      <c r="M197" s="41">
        <f t="shared" si="6"/>
        <v>1491.5</v>
      </c>
      <c r="N197" s="42">
        <f t="shared" si="7"/>
        <v>0.785</v>
      </c>
      <c r="O197" s="43"/>
      <c r="P197" s="44">
        <f t="shared" si="8"/>
        <v>0</v>
      </c>
      <c r="Q197" s="45">
        <f t="shared" si="9"/>
        <v>0</v>
      </c>
      <c r="R197" s="45">
        <f t="shared" si="13"/>
        <v>0</v>
      </c>
      <c r="S197" s="45">
        <f t="shared" si="14"/>
        <v>0</v>
      </c>
      <c r="T197" s="45">
        <f t="shared" si="10"/>
        <v>0</v>
      </c>
      <c r="U197" s="45">
        <f t="shared" si="11"/>
        <v>0</v>
      </c>
      <c r="V197" s="45">
        <f t="shared" si="12"/>
        <v>0</v>
      </c>
      <c r="W197" s="33"/>
      <c r="X197" s="33"/>
      <c r="Y197" s="33"/>
      <c r="Z197" s="33"/>
    </row>
    <row r="198" ht="14.25" customHeight="1">
      <c r="A198" s="46"/>
      <c r="B198" s="46" t="s">
        <v>312</v>
      </c>
      <c r="C198" s="46"/>
      <c r="D198" s="35">
        <v>60.0</v>
      </c>
      <c r="E198" s="36">
        <v>1.0</v>
      </c>
      <c r="F198" s="37">
        <v>214.9</v>
      </c>
      <c r="G198" s="38">
        <f t="shared" si="1"/>
        <v>750</v>
      </c>
      <c r="H198" s="37"/>
      <c r="I198" s="39">
        <v>1900.0</v>
      </c>
      <c r="J198" s="40">
        <f t="shared" si="3"/>
        <v>95</v>
      </c>
      <c r="K198" s="40">
        <f t="shared" si="4"/>
        <v>313.5</v>
      </c>
      <c r="L198" s="40">
        <f t="shared" si="5"/>
        <v>0</v>
      </c>
      <c r="M198" s="41">
        <f t="shared" si="6"/>
        <v>1491.5</v>
      </c>
      <c r="N198" s="42">
        <f t="shared" si="7"/>
        <v>0.785</v>
      </c>
      <c r="O198" s="43"/>
      <c r="P198" s="44">
        <f t="shared" si="8"/>
        <v>0</v>
      </c>
      <c r="Q198" s="45">
        <f t="shared" si="9"/>
        <v>0</v>
      </c>
      <c r="R198" s="45">
        <f t="shared" si="13"/>
        <v>0</v>
      </c>
      <c r="S198" s="45">
        <f t="shared" si="14"/>
        <v>0</v>
      </c>
      <c r="T198" s="45">
        <f t="shared" si="10"/>
        <v>0</v>
      </c>
      <c r="U198" s="45">
        <f t="shared" si="11"/>
        <v>0</v>
      </c>
      <c r="V198" s="45">
        <f t="shared" si="12"/>
        <v>0</v>
      </c>
      <c r="W198" s="33"/>
      <c r="X198" s="33"/>
      <c r="Y198" s="33"/>
      <c r="Z198" s="33"/>
    </row>
    <row r="199" ht="14.25" customHeight="1">
      <c r="A199" s="46"/>
      <c r="B199" s="46" t="s">
        <v>313</v>
      </c>
      <c r="C199" s="46"/>
      <c r="D199" s="35">
        <v>60.0</v>
      </c>
      <c r="E199" s="36">
        <v>1.0</v>
      </c>
      <c r="F199" s="37">
        <v>265.07</v>
      </c>
      <c r="G199" s="38">
        <f t="shared" si="1"/>
        <v>750</v>
      </c>
      <c r="H199" s="37"/>
      <c r="I199" s="39">
        <v>1900.0</v>
      </c>
      <c r="J199" s="40">
        <f t="shared" si="3"/>
        <v>95</v>
      </c>
      <c r="K199" s="40">
        <f t="shared" si="4"/>
        <v>313.5</v>
      </c>
      <c r="L199" s="40">
        <f t="shared" si="5"/>
        <v>0</v>
      </c>
      <c r="M199" s="41">
        <f t="shared" si="6"/>
        <v>1491.5</v>
      </c>
      <c r="N199" s="42">
        <f t="shared" si="7"/>
        <v>0.785</v>
      </c>
      <c r="O199" s="43"/>
      <c r="P199" s="44">
        <f t="shared" si="8"/>
        <v>0</v>
      </c>
      <c r="Q199" s="45">
        <f t="shared" si="9"/>
        <v>0</v>
      </c>
      <c r="R199" s="45">
        <f t="shared" si="13"/>
        <v>0</v>
      </c>
      <c r="S199" s="45">
        <f t="shared" si="14"/>
        <v>0</v>
      </c>
      <c r="T199" s="45">
        <f t="shared" si="10"/>
        <v>0</v>
      </c>
      <c r="U199" s="45">
        <f t="shared" si="11"/>
        <v>0</v>
      </c>
      <c r="V199" s="45">
        <f t="shared" si="12"/>
        <v>0</v>
      </c>
      <c r="W199" s="33"/>
      <c r="X199" s="33"/>
      <c r="Y199" s="33"/>
      <c r="Z199" s="33"/>
    </row>
    <row r="200" ht="14.25" customHeight="1">
      <c r="A200" s="46"/>
      <c r="B200" s="46" t="s">
        <v>314</v>
      </c>
      <c r="C200" s="46"/>
      <c r="D200" s="35">
        <v>60.0</v>
      </c>
      <c r="E200" s="36">
        <v>1.0</v>
      </c>
      <c r="F200" s="37">
        <v>247.68</v>
      </c>
      <c r="G200" s="38">
        <f t="shared" si="1"/>
        <v>750</v>
      </c>
      <c r="H200" s="37"/>
      <c r="I200" s="39">
        <v>1900.0</v>
      </c>
      <c r="J200" s="40">
        <f t="shared" si="3"/>
        <v>95</v>
      </c>
      <c r="K200" s="40">
        <f t="shared" si="4"/>
        <v>313.5</v>
      </c>
      <c r="L200" s="40">
        <f t="shared" si="5"/>
        <v>0</v>
      </c>
      <c r="M200" s="41">
        <f t="shared" si="6"/>
        <v>1491.5</v>
      </c>
      <c r="N200" s="42">
        <f t="shared" si="7"/>
        <v>0.785</v>
      </c>
      <c r="O200" s="43"/>
      <c r="P200" s="44">
        <f t="shared" si="8"/>
        <v>0</v>
      </c>
      <c r="Q200" s="45">
        <f t="shared" si="9"/>
        <v>0</v>
      </c>
      <c r="R200" s="45">
        <f t="shared" si="13"/>
        <v>0</v>
      </c>
      <c r="S200" s="45">
        <f t="shared" si="14"/>
        <v>0</v>
      </c>
      <c r="T200" s="45">
        <f t="shared" si="10"/>
        <v>0</v>
      </c>
      <c r="U200" s="45">
        <f t="shared" si="11"/>
        <v>0</v>
      </c>
      <c r="V200" s="45">
        <f t="shared" si="12"/>
        <v>0</v>
      </c>
      <c r="W200" s="33"/>
      <c r="X200" s="33"/>
      <c r="Y200" s="33"/>
      <c r="Z200" s="33"/>
    </row>
    <row r="201" ht="14.25" customHeight="1">
      <c r="A201" s="46"/>
      <c r="B201" s="46" t="s">
        <v>315</v>
      </c>
      <c r="C201" s="46"/>
      <c r="D201" s="35">
        <v>60.0</v>
      </c>
      <c r="E201" s="36">
        <v>1.0</v>
      </c>
      <c r="F201" s="37">
        <v>497.58</v>
      </c>
      <c r="G201" s="38">
        <f t="shared" si="1"/>
        <v>750</v>
      </c>
      <c r="H201" s="37"/>
      <c r="I201" s="39">
        <v>1900.0</v>
      </c>
      <c r="J201" s="40">
        <f t="shared" si="3"/>
        <v>95</v>
      </c>
      <c r="K201" s="40">
        <f t="shared" si="4"/>
        <v>313.5</v>
      </c>
      <c r="L201" s="40">
        <f t="shared" si="5"/>
        <v>0</v>
      </c>
      <c r="M201" s="41">
        <f t="shared" si="6"/>
        <v>1491.5</v>
      </c>
      <c r="N201" s="42">
        <f t="shared" si="7"/>
        <v>0.785</v>
      </c>
      <c r="O201" s="43"/>
      <c r="P201" s="44">
        <f t="shared" si="8"/>
        <v>0</v>
      </c>
      <c r="Q201" s="45">
        <f t="shared" si="9"/>
        <v>0</v>
      </c>
      <c r="R201" s="45">
        <f t="shared" si="13"/>
        <v>0</v>
      </c>
      <c r="S201" s="45">
        <f t="shared" si="14"/>
        <v>0</v>
      </c>
      <c r="T201" s="45">
        <f t="shared" si="10"/>
        <v>0</v>
      </c>
      <c r="U201" s="45">
        <f t="shared" si="11"/>
        <v>0</v>
      </c>
      <c r="V201" s="45">
        <f t="shared" si="12"/>
        <v>0</v>
      </c>
      <c r="W201" s="33"/>
      <c r="X201" s="33"/>
      <c r="Y201" s="33"/>
      <c r="Z201" s="33"/>
    </row>
    <row r="202" ht="14.25" customHeight="1">
      <c r="A202" s="46"/>
      <c r="B202" s="46" t="s">
        <v>316</v>
      </c>
      <c r="C202" s="46"/>
      <c r="D202" s="35">
        <v>60.0</v>
      </c>
      <c r="E202" s="36">
        <v>1.0</v>
      </c>
      <c r="F202" s="37">
        <v>361.32</v>
      </c>
      <c r="G202" s="38">
        <f t="shared" si="1"/>
        <v>750</v>
      </c>
      <c r="H202" s="37"/>
      <c r="I202" s="39">
        <v>1900.0</v>
      </c>
      <c r="J202" s="40">
        <f t="shared" si="3"/>
        <v>95</v>
      </c>
      <c r="K202" s="40">
        <f t="shared" si="4"/>
        <v>313.5</v>
      </c>
      <c r="L202" s="40">
        <f t="shared" si="5"/>
        <v>0</v>
      </c>
      <c r="M202" s="41">
        <f t="shared" si="6"/>
        <v>1491.5</v>
      </c>
      <c r="N202" s="42">
        <f t="shared" si="7"/>
        <v>0.785</v>
      </c>
      <c r="O202" s="43"/>
      <c r="P202" s="44">
        <f t="shared" si="8"/>
        <v>0</v>
      </c>
      <c r="Q202" s="45">
        <f t="shared" si="9"/>
        <v>0</v>
      </c>
      <c r="R202" s="45">
        <f t="shared" si="13"/>
        <v>0</v>
      </c>
      <c r="S202" s="45">
        <f t="shared" si="14"/>
        <v>0</v>
      </c>
      <c r="T202" s="45">
        <f t="shared" si="10"/>
        <v>0</v>
      </c>
      <c r="U202" s="45">
        <f t="shared" si="11"/>
        <v>0</v>
      </c>
      <c r="V202" s="45">
        <f t="shared" si="12"/>
        <v>0</v>
      </c>
      <c r="W202" s="33"/>
      <c r="X202" s="33"/>
      <c r="Y202" s="33"/>
      <c r="Z202" s="33"/>
    </row>
    <row r="203" ht="14.25" customHeight="1">
      <c r="A203" s="46"/>
      <c r="B203" s="46" t="s">
        <v>317</v>
      </c>
      <c r="C203" s="46"/>
      <c r="D203" s="35">
        <v>60.0</v>
      </c>
      <c r="E203" s="36">
        <v>1.0</v>
      </c>
      <c r="F203" s="37">
        <v>484.65</v>
      </c>
      <c r="G203" s="38">
        <f t="shared" si="1"/>
        <v>750</v>
      </c>
      <c r="H203" s="37"/>
      <c r="I203" s="39">
        <v>1900.0</v>
      </c>
      <c r="J203" s="40">
        <f t="shared" si="3"/>
        <v>95</v>
      </c>
      <c r="K203" s="40">
        <f t="shared" si="4"/>
        <v>313.5</v>
      </c>
      <c r="L203" s="40">
        <f t="shared" si="5"/>
        <v>0</v>
      </c>
      <c r="M203" s="41">
        <f t="shared" si="6"/>
        <v>1491.5</v>
      </c>
      <c r="N203" s="42">
        <f t="shared" si="7"/>
        <v>0.785</v>
      </c>
      <c r="O203" s="43"/>
      <c r="P203" s="44">
        <f t="shared" si="8"/>
        <v>0</v>
      </c>
      <c r="Q203" s="45">
        <f t="shared" si="9"/>
        <v>0</v>
      </c>
      <c r="R203" s="45">
        <f t="shared" si="13"/>
        <v>0</v>
      </c>
      <c r="S203" s="45">
        <f t="shared" si="14"/>
        <v>0</v>
      </c>
      <c r="T203" s="45">
        <f t="shared" si="10"/>
        <v>0</v>
      </c>
      <c r="U203" s="45">
        <f t="shared" si="11"/>
        <v>0</v>
      </c>
      <c r="V203" s="45">
        <f t="shared" si="12"/>
        <v>0</v>
      </c>
      <c r="W203" s="33"/>
      <c r="X203" s="33"/>
      <c r="Y203" s="33"/>
      <c r="Z203" s="33"/>
    </row>
    <row r="204" ht="14.25" customHeight="1">
      <c r="A204" s="46"/>
      <c r="B204" s="46" t="s">
        <v>318</v>
      </c>
      <c r="C204" s="46"/>
      <c r="D204" s="35">
        <v>60.0</v>
      </c>
      <c r="E204" s="36">
        <v>1.0</v>
      </c>
      <c r="F204" s="37">
        <v>767.75</v>
      </c>
      <c r="G204" s="38">
        <f t="shared" si="1"/>
        <v>750</v>
      </c>
      <c r="H204" s="37"/>
      <c r="I204" s="39">
        <v>1900.0</v>
      </c>
      <c r="J204" s="40">
        <f t="shared" si="3"/>
        <v>95</v>
      </c>
      <c r="K204" s="40">
        <f t="shared" si="4"/>
        <v>313.5</v>
      </c>
      <c r="L204" s="40">
        <f t="shared" si="5"/>
        <v>0</v>
      </c>
      <c r="M204" s="41">
        <f t="shared" si="6"/>
        <v>1491.5</v>
      </c>
      <c r="N204" s="42">
        <f t="shared" si="7"/>
        <v>0.785</v>
      </c>
      <c r="O204" s="43"/>
      <c r="P204" s="44">
        <f t="shared" si="8"/>
        <v>0</v>
      </c>
      <c r="Q204" s="45">
        <f t="shared" si="9"/>
        <v>0</v>
      </c>
      <c r="R204" s="45">
        <f t="shared" si="13"/>
        <v>0</v>
      </c>
      <c r="S204" s="45">
        <f t="shared" si="14"/>
        <v>0</v>
      </c>
      <c r="T204" s="45">
        <f t="shared" si="10"/>
        <v>0</v>
      </c>
      <c r="U204" s="45">
        <f t="shared" si="11"/>
        <v>0</v>
      </c>
      <c r="V204" s="45">
        <f t="shared" si="12"/>
        <v>0</v>
      </c>
      <c r="W204" s="33"/>
      <c r="X204" s="33"/>
      <c r="Y204" s="33"/>
      <c r="Z204" s="33"/>
    </row>
    <row r="205" ht="14.25" customHeight="1">
      <c r="A205" s="46"/>
      <c r="B205" s="46" t="s">
        <v>319</v>
      </c>
      <c r="C205" s="46"/>
      <c r="D205" s="35">
        <v>60.0</v>
      </c>
      <c r="E205" s="36">
        <v>1.0</v>
      </c>
      <c r="F205" s="37">
        <v>519.5</v>
      </c>
      <c r="G205" s="38">
        <f t="shared" si="1"/>
        <v>750</v>
      </c>
      <c r="H205" s="37"/>
      <c r="I205" s="39">
        <v>1900.0</v>
      </c>
      <c r="J205" s="40">
        <f t="shared" si="3"/>
        <v>95</v>
      </c>
      <c r="K205" s="40">
        <f t="shared" si="4"/>
        <v>313.5</v>
      </c>
      <c r="L205" s="40">
        <f t="shared" si="5"/>
        <v>0</v>
      </c>
      <c r="M205" s="41">
        <f t="shared" si="6"/>
        <v>1491.5</v>
      </c>
      <c r="N205" s="42">
        <f t="shared" si="7"/>
        <v>0.785</v>
      </c>
      <c r="O205" s="43"/>
      <c r="P205" s="44">
        <f t="shared" si="8"/>
        <v>0</v>
      </c>
      <c r="Q205" s="45">
        <f t="shared" si="9"/>
        <v>0</v>
      </c>
      <c r="R205" s="45">
        <f t="shared" si="13"/>
        <v>0</v>
      </c>
      <c r="S205" s="45">
        <f t="shared" si="14"/>
        <v>0</v>
      </c>
      <c r="T205" s="45">
        <f t="shared" si="10"/>
        <v>0</v>
      </c>
      <c r="U205" s="45">
        <f t="shared" si="11"/>
        <v>0</v>
      </c>
      <c r="V205" s="45">
        <f t="shared" si="12"/>
        <v>0</v>
      </c>
      <c r="W205" s="33"/>
      <c r="X205" s="33"/>
      <c r="Y205" s="33"/>
      <c r="Z205" s="33"/>
    </row>
    <row r="206" ht="14.25" customHeight="1">
      <c r="A206" s="46"/>
      <c r="B206" s="46" t="s">
        <v>320</v>
      </c>
      <c r="C206" s="46"/>
      <c r="D206" s="35">
        <v>60.0</v>
      </c>
      <c r="E206" s="36"/>
      <c r="F206" s="37"/>
      <c r="G206" s="38">
        <f t="shared" si="1"/>
        <v>750</v>
      </c>
      <c r="H206" s="37"/>
      <c r="I206" s="39">
        <v>3000.0</v>
      </c>
      <c r="J206" s="40">
        <f t="shared" si="3"/>
        <v>150</v>
      </c>
      <c r="K206" s="40">
        <f t="shared" si="4"/>
        <v>495</v>
      </c>
      <c r="L206" s="40">
        <f t="shared" si="5"/>
        <v>0</v>
      </c>
      <c r="M206" s="41">
        <f t="shared" si="6"/>
        <v>2355</v>
      </c>
      <c r="N206" s="42">
        <f t="shared" si="7"/>
        <v>0.785</v>
      </c>
      <c r="O206" s="43"/>
      <c r="P206" s="44">
        <f t="shared" si="8"/>
        <v>0</v>
      </c>
      <c r="Q206" s="45">
        <f t="shared" si="9"/>
        <v>0</v>
      </c>
      <c r="R206" s="45">
        <f t="shared" si="13"/>
        <v>0</v>
      </c>
      <c r="S206" s="45">
        <f t="shared" si="14"/>
        <v>0</v>
      </c>
      <c r="T206" s="45">
        <f t="shared" si="10"/>
        <v>0</v>
      </c>
      <c r="U206" s="45">
        <f t="shared" si="11"/>
        <v>0</v>
      </c>
      <c r="V206" s="45">
        <f t="shared" si="12"/>
        <v>0</v>
      </c>
      <c r="W206" s="33"/>
      <c r="X206" s="33"/>
      <c r="Y206" s="33"/>
      <c r="Z206" s="33"/>
    </row>
    <row r="207" ht="14.25" customHeight="1">
      <c r="A207" s="34"/>
      <c r="B207" s="34" t="s">
        <v>321</v>
      </c>
      <c r="C207" s="34" t="s">
        <v>322</v>
      </c>
      <c r="D207" s="35">
        <v>60.0</v>
      </c>
      <c r="E207" s="36"/>
      <c r="F207" s="37"/>
      <c r="G207" s="38">
        <f t="shared" si="1"/>
        <v>750</v>
      </c>
      <c r="H207" s="37"/>
      <c r="I207" s="39">
        <v>3600.0</v>
      </c>
      <c r="J207" s="40">
        <f t="shared" si="3"/>
        <v>180</v>
      </c>
      <c r="K207" s="40">
        <f t="shared" si="4"/>
        <v>594</v>
      </c>
      <c r="L207" s="40">
        <f t="shared" si="5"/>
        <v>0</v>
      </c>
      <c r="M207" s="41">
        <f t="shared" si="6"/>
        <v>2826</v>
      </c>
      <c r="N207" s="42">
        <f t="shared" si="7"/>
        <v>0.785</v>
      </c>
      <c r="O207" s="43"/>
      <c r="P207" s="44">
        <f t="shared" si="8"/>
        <v>0</v>
      </c>
      <c r="Q207" s="45">
        <f t="shared" si="9"/>
        <v>0</v>
      </c>
      <c r="R207" s="45">
        <f t="shared" si="13"/>
        <v>0</v>
      </c>
      <c r="S207" s="45">
        <f t="shared" si="14"/>
        <v>0</v>
      </c>
      <c r="T207" s="45">
        <f t="shared" si="10"/>
        <v>0</v>
      </c>
      <c r="U207" s="45">
        <f t="shared" si="11"/>
        <v>0</v>
      </c>
      <c r="V207" s="45">
        <f t="shared" si="12"/>
        <v>0</v>
      </c>
      <c r="W207" s="33"/>
      <c r="X207" s="33"/>
      <c r="Y207" s="33"/>
      <c r="Z207" s="33"/>
    </row>
    <row r="208" ht="14.25" customHeight="1">
      <c r="A208" s="46"/>
      <c r="B208" s="46" t="s">
        <v>323</v>
      </c>
      <c r="C208" s="46"/>
      <c r="D208" s="35">
        <v>30.0</v>
      </c>
      <c r="E208" s="36"/>
      <c r="F208" s="37"/>
      <c r="G208" s="38">
        <f t="shared" si="1"/>
        <v>375</v>
      </c>
      <c r="H208" s="37"/>
      <c r="I208" s="39">
        <v>1200.0</v>
      </c>
      <c r="J208" s="40">
        <f t="shared" si="3"/>
        <v>60</v>
      </c>
      <c r="K208" s="40">
        <f t="shared" si="4"/>
        <v>198</v>
      </c>
      <c r="L208" s="40">
        <f t="shared" si="5"/>
        <v>0</v>
      </c>
      <c r="M208" s="41">
        <f t="shared" si="6"/>
        <v>942</v>
      </c>
      <c r="N208" s="42">
        <f t="shared" si="7"/>
        <v>0.785</v>
      </c>
      <c r="O208" s="43"/>
      <c r="P208" s="44">
        <f t="shared" si="8"/>
        <v>0</v>
      </c>
      <c r="Q208" s="45">
        <f t="shared" si="9"/>
        <v>0</v>
      </c>
      <c r="R208" s="45">
        <f t="shared" si="13"/>
        <v>0</v>
      </c>
      <c r="S208" s="45">
        <f t="shared" si="14"/>
        <v>0</v>
      </c>
      <c r="T208" s="45">
        <f t="shared" si="10"/>
        <v>0</v>
      </c>
      <c r="U208" s="45">
        <f t="shared" si="11"/>
        <v>0</v>
      </c>
      <c r="V208" s="45">
        <f t="shared" si="12"/>
        <v>0</v>
      </c>
      <c r="W208" s="33"/>
      <c r="X208" s="33"/>
      <c r="Y208" s="33"/>
      <c r="Z208" s="33"/>
    </row>
    <row r="209" ht="14.25" customHeight="1">
      <c r="A209" s="34"/>
      <c r="B209" s="34" t="s">
        <v>324</v>
      </c>
      <c r="C209" s="34"/>
      <c r="D209" s="35">
        <v>60.0</v>
      </c>
      <c r="E209" s="36"/>
      <c r="F209" s="37"/>
      <c r="G209" s="38">
        <f t="shared" si="1"/>
        <v>750</v>
      </c>
      <c r="H209" s="37"/>
      <c r="I209" s="39">
        <v>567.0</v>
      </c>
      <c r="J209" s="40">
        <f t="shared" si="3"/>
        <v>28.35</v>
      </c>
      <c r="K209" s="40">
        <f t="shared" si="4"/>
        <v>93.555</v>
      </c>
      <c r="L209" s="40">
        <f t="shared" si="5"/>
        <v>0</v>
      </c>
      <c r="M209" s="41">
        <f t="shared" si="6"/>
        <v>445.095</v>
      </c>
      <c r="N209" s="42">
        <f t="shared" si="7"/>
        <v>0.785</v>
      </c>
      <c r="O209" s="43"/>
      <c r="P209" s="44">
        <f t="shared" si="8"/>
        <v>0</v>
      </c>
      <c r="Q209" s="45">
        <f t="shared" si="9"/>
        <v>0</v>
      </c>
      <c r="R209" s="45">
        <f t="shared" si="13"/>
        <v>0</v>
      </c>
      <c r="S209" s="45">
        <f t="shared" si="14"/>
        <v>0</v>
      </c>
      <c r="T209" s="45">
        <f t="shared" si="10"/>
        <v>0</v>
      </c>
      <c r="U209" s="45">
        <f t="shared" si="11"/>
        <v>0</v>
      </c>
      <c r="V209" s="45">
        <f t="shared" si="12"/>
        <v>0</v>
      </c>
      <c r="W209" s="33"/>
      <c r="X209" s="33"/>
      <c r="Y209" s="33"/>
      <c r="Z209" s="33"/>
    </row>
    <row r="210" ht="14.25" customHeight="1">
      <c r="A210" s="34"/>
      <c r="B210" s="34" t="s">
        <v>325</v>
      </c>
      <c r="C210" s="34"/>
      <c r="D210" s="35">
        <v>60.0</v>
      </c>
      <c r="E210" s="36"/>
      <c r="F210" s="37"/>
      <c r="G210" s="38">
        <f t="shared" si="1"/>
        <v>750</v>
      </c>
      <c r="H210" s="37"/>
      <c r="I210" s="39">
        <v>1223.0</v>
      </c>
      <c r="J210" s="40">
        <f t="shared" si="3"/>
        <v>61.15</v>
      </c>
      <c r="K210" s="40">
        <f t="shared" si="4"/>
        <v>201.795</v>
      </c>
      <c r="L210" s="40">
        <f t="shared" si="5"/>
        <v>0</v>
      </c>
      <c r="M210" s="41">
        <f t="shared" si="6"/>
        <v>960.055</v>
      </c>
      <c r="N210" s="42">
        <f t="shared" si="7"/>
        <v>0.785</v>
      </c>
      <c r="O210" s="43"/>
      <c r="P210" s="44">
        <f t="shared" si="8"/>
        <v>0</v>
      </c>
      <c r="Q210" s="45">
        <f t="shared" si="9"/>
        <v>0</v>
      </c>
      <c r="R210" s="45">
        <f t="shared" si="13"/>
        <v>0</v>
      </c>
      <c r="S210" s="45">
        <f t="shared" si="14"/>
        <v>0</v>
      </c>
      <c r="T210" s="45">
        <f t="shared" si="10"/>
        <v>0</v>
      </c>
      <c r="U210" s="45">
        <f t="shared" si="11"/>
        <v>0</v>
      </c>
      <c r="V210" s="45">
        <f t="shared" si="12"/>
        <v>0</v>
      </c>
      <c r="W210" s="33"/>
      <c r="X210" s="33"/>
      <c r="Y210" s="33"/>
      <c r="Z210" s="33"/>
    </row>
    <row r="211" ht="14.25" customHeight="1">
      <c r="A211" s="46">
        <v>3.0401054E7</v>
      </c>
      <c r="B211" s="46" t="s">
        <v>326</v>
      </c>
      <c r="C211" s="46"/>
      <c r="D211" s="35">
        <v>0.0</v>
      </c>
      <c r="E211" s="36"/>
      <c r="F211" s="37"/>
      <c r="G211" s="38">
        <f t="shared" si="1"/>
        <v>0</v>
      </c>
      <c r="H211" s="37"/>
      <c r="I211" s="39">
        <v>0.0</v>
      </c>
      <c r="J211" s="40">
        <f t="shared" si="3"/>
        <v>0</v>
      </c>
      <c r="K211" s="40">
        <f t="shared" si="4"/>
        <v>0</v>
      </c>
      <c r="L211" s="40">
        <f t="shared" si="5"/>
        <v>0</v>
      </c>
      <c r="M211" s="41">
        <f t="shared" si="6"/>
        <v>0</v>
      </c>
      <c r="N211" s="42" t="str">
        <f t="shared" si="7"/>
        <v>#DIV/0!</v>
      </c>
      <c r="O211" s="43"/>
      <c r="P211" s="44">
        <f t="shared" si="8"/>
        <v>0</v>
      </c>
      <c r="Q211" s="45">
        <f t="shared" si="9"/>
        <v>0</v>
      </c>
      <c r="R211" s="45">
        <f t="shared" si="13"/>
        <v>0</v>
      </c>
      <c r="S211" s="45">
        <f t="shared" si="14"/>
        <v>0</v>
      </c>
      <c r="T211" s="45">
        <f t="shared" si="10"/>
        <v>0</v>
      </c>
      <c r="U211" s="45">
        <f t="shared" si="11"/>
        <v>0</v>
      </c>
      <c r="V211" s="45">
        <f t="shared" si="12"/>
        <v>0</v>
      </c>
      <c r="W211" s="33"/>
      <c r="X211" s="33"/>
      <c r="Y211" s="33"/>
      <c r="Z211" s="33"/>
    </row>
    <row r="212" ht="14.25" customHeight="1">
      <c r="A212" s="46"/>
      <c r="B212" s="46" t="s">
        <v>327</v>
      </c>
      <c r="C212" s="46"/>
      <c r="D212" s="35">
        <v>45.0</v>
      </c>
      <c r="E212" s="36"/>
      <c r="F212" s="37"/>
      <c r="G212" s="38">
        <f t="shared" si="1"/>
        <v>562.5</v>
      </c>
      <c r="H212" s="37"/>
      <c r="I212" s="39">
        <v>1000.0</v>
      </c>
      <c r="J212" s="40">
        <f t="shared" si="3"/>
        <v>50</v>
      </c>
      <c r="K212" s="40">
        <f t="shared" si="4"/>
        <v>165</v>
      </c>
      <c r="L212" s="40">
        <f t="shared" si="5"/>
        <v>0</v>
      </c>
      <c r="M212" s="41">
        <f t="shared" si="6"/>
        <v>785</v>
      </c>
      <c r="N212" s="42">
        <f t="shared" si="7"/>
        <v>0.785</v>
      </c>
      <c r="O212" s="43"/>
      <c r="P212" s="44">
        <f t="shared" si="8"/>
        <v>0</v>
      </c>
      <c r="Q212" s="45">
        <f t="shared" si="9"/>
        <v>0</v>
      </c>
      <c r="R212" s="45">
        <f t="shared" si="13"/>
        <v>0</v>
      </c>
      <c r="S212" s="45">
        <f t="shared" si="14"/>
        <v>0</v>
      </c>
      <c r="T212" s="45">
        <f t="shared" si="10"/>
        <v>0</v>
      </c>
      <c r="U212" s="45">
        <f t="shared" si="11"/>
        <v>0</v>
      </c>
      <c r="V212" s="45">
        <f t="shared" si="12"/>
        <v>0</v>
      </c>
      <c r="W212" s="33"/>
      <c r="X212" s="33"/>
      <c r="Y212" s="33"/>
      <c r="Z212" s="33"/>
    </row>
    <row r="213" ht="14.25" customHeight="1">
      <c r="A213" s="46"/>
      <c r="B213" s="46" t="s">
        <v>328</v>
      </c>
      <c r="C213" s="46"/>
      <c r="D213" s="35">
        <v>45.0</v>
      </c>
      <c r="E213" s="36"/>
      <c r="F213" s="37"/>
      <c r="G213" s="38">
        <f t="shared" si="1"/>
        <v>562.5</v>
      </c>
      <c r="H213" s="37"/>
      <c r="I213" s="39">
        <v>1200.0</v>
      </c>
      <c r="J213" s="40">
        <f t="shared" si="3"/>
        <v>60</v>
      </c>
      <c r="K213" s="40">
        <f t="shared" si="4"/>
        <v>198</v>
      </c>
      <c r="L213" s="40">
        <f t="shared" si="5"/>
        <v>0</v>
      </c>
      <c r="M213" s="41">
        <f t="shared" si="6"/>
        <v>942</v>
      </c>
      <c r="N213" s="42">
        <f t="shared" si="7"/>
        <v>0.785</v>
      </c>
      <c r="O213" s="43"/>
      <c r="P213" s="44">
        <f t="shared" si="8"/>
        <v>0</v>
      </c>
      <c r="Q213" s="45">
        <f t="shared" si="9"/>
        <v>0</v>
      </c>
      <c r="R213" s="45">
        <f t="shared" si="13"/>
        <v>0</v>
      </c>
      <c r="S213" s="45">
        <f t="shared" si="14"/>
        <v>0</v>
      </c>
      <c r="T213" s="45">
        <f t="shared" si="10"/>
        <v>0</v>
      </c>
      <c r="U213" s="45">
        <f t="shared" si="11"/>
        <v>0</v>
      </c>
      <c r="V213" s="45">
        <f t="shared" si="12"/>
        <v>0</v>
      </c>
      <c r="W213" s="33"/>
      <c r="X213" s="33"/>
      <c r="Y213" s="33"/>
      <c r="Z213" s="33"/>
    </row>
    <row r="214" ht="14.25" customHeight="1">
      <c r="A214" s="46"/>
      <c r="B214" s="46" t="s">
        <v>329</v>
      </c>
      <c r="C214" s="46"/>
      <c r="D214" s="35">
        <v>60.0</v>
      </c>
      <c r="E214" s="36"/>
      <c r="F214" s="37"/>
      <c r="G214" s="38">
        <f t="shared" si="1"/>
        <v>750</v>
      </c>
      <c r="H214" s="37"/>
      <c r="I214" s="39">
        <v>1500.0</v>
      </c>
      <c r="J214" s="40">
        <f t="shared" si="3"/>
        <v>75</v>
      </c>
      <c r="K214" s="40">
        <f t="shared" si="4"/>
        <v>247.5</v>
      </c>
      <c r="L214" s="40">
        <f t="shared" si="5"/>
        <v>0</v>
      </c>
      <c r="M214" s="41">
        <f t="shared" si="6"/>
        <v>1177.5</v>
      </c>
      <c r="N214" s="42">
        <f t="shared" si="7"/>
        <v>0.785</v>
      </c>
      <c r="O214" s="43"/>
      <c r="P214" s="44">
        <f t="shared" si="8"/>
        <v>0</v>
      </c>
      <c r="Q214" s="45">
        <f t="shared" si="9"/>
        <v>0</v>
      </c>
      <c r="R214" s="45">
        <f t="shared" si="13"/>
        <v>0</v>
      </c>
      <c r="S214" s="45">
        <f t="shared" si="14"/>
        <v>0</v>
      </c>
      <c r="T214" s="45">
        <f t="shared" si="10"/>
        <v>0</v>
      </c>
      <c r="U214" s="45">
        <f t="shared" si="11"/>
        <v>0</v>
      </c>
      <c r="V214" s="45">
        <f t="shared" si="12"/>
        <v>0</v>
      </c>
      <c r="W214" s="33"/>
      <c r="X214" s="33"/>
      <c r="Y214" s="33"/>
      <c r="Z214" s="33"/>
    </row>
    <row r="215" ht="14.25" customHeight="1">
      <c r="A215" s="46"/>
      <c r="B215" s="46" t="s">
        <v>330</v>
      </c>
      <c r="C215" s="46"/>
      <c r="D215" s="35">
        <v>30.0</v>
      </c>
      <c r="E215" s="36"/>
      <c r="F215" s="37"/>
      <c r="G215" s="38">
        <f t="shared" si="1"/>
        <v>375</v>
      </c>
      <c r="H215" s="37"/>
      <c r="I215" s="39">
        <v>600.0</v>
      </c>
      <c r="J215" s="40">
        <f t="shared" si="3"/>
        <v>30</v>
      </c>
      <c r="K215" s="40">
        <f t="shared" si="4"/>
        <v>99</v>
      </c>
      <c r="L215" s="40">
        <f t="shared" si="5"/>
        <v>0</v>
      </c>
      <c r="M215" s="41">
        <f t="shared" si="6"/>
        <v>471</v>
      </c>
      <c r="N215" s="42">
        <f t="shared" si="7"/>
        <v>0.785</v>
      </c>
      <c r="O215" s="43"/>
      <c r="P215" s="44">
        <f t="shared" si="8"/>
        <v>0</v>
      </c>
      <c r="Q215" s="45">
        <f t="shared" si="9"/>
        <v>0</v>
      </c>
      <c r="R215" s="45">
        <f t="shared" si="13"/>
        <v>0</v>
      </c>
      <c r="S215" s="45">
        <f t="shared" si="14"/>
        <v>0</v>
      </c>
      <c r="T215" s="45">
        <f t="shared" si="10"/>
        <v>0</v>
      </c>
      <c r="U215" s="45">
        <f t="shared" si="11"/>
        <v>0</v>
      </c>
      <c r="V215" s="45">
        <f t="shared" si="12"/>
        <v>0</v>
      </c>
      <c r="W215" s="33"/>
      <c r="X215" s="33"/>
      <c r="Y215" s="33"/>
      <c r="Z215" s="33"/>
    </row>
    <row r="216" ht="14.25" customHeight="1">
      <c r="A216" s="46"/>
      <c r="B216" s="46" t="s">
        <v>331</v>
      </c>
      <c r="C216" s="46"/>
      <c r="D216" s="35">
        <v>30.0</v>
      </c>
      <c r="E216" s="36"/>
      <c r="F216" s="37"/>
      <c r="G216" s="38">
        <f t="shared" si="1"/>
        <v>375</v>
      </c>
      <c r="H216" s="37"/>
      <c r="I216" s="39">
        <v>800.0</v>
      </c>
      <c r="J216" s="40">
        <f t="shared" si="3"/>
        <v>40</v>
      </c>
      <c r="K216" s="40">
        <f t="shared" si="4"/>
        <v>132</v>
      </c>
      <c r="L216" s="40">
        <f t="shared" si="5"/>
        <v>0</v>
      </c>
      <c r="M216" s="41">
        <f t="shared" si="6"/>
        <v>628</v>
      </c>
      <c r="N216" s="42">
        <f t="shared" si="7"/>
        <v>0.785</v>
      </c>
      <c r="O216" s="43"/>
      <c r="P216" s="44">
        <f t="shared" si="8"/>
        <v>0</v>
      </c>
      <c r="Q216" s="45">
        <f t="shared" si="9"/>
        <v>0</v>
      </c>
      <c r="R216" s="45">
        <f t="shared" si="13"/>
        <v>0</v>
      </c>
      <c r="S216" s="45">
        <f t="shared" si="14"/>
        <v>0</v>
      </c>
      <c r="T216" s="45">
        <f t="shared" si="10"/>
        <v>0</v>
      </c>
      <c r="U216" s="45">
        <f t="shared" si="11"/>
        <v>0</v>
      </c>
      <c r="V216" s="45">
        <f t="shared" si="12"/>
        <v>0</v>
      </c>
      <c r="W216" s="33"/>
      <c r="X216" s="33"/>
      <c r="Y216" s="33"/>
      <c r="Z216" s="33"/>
    </row>
    <row r="217" ht="14.25" customHeight="1">
      <c r="A217" s="46"/>
      <c r="B217" s="46" t="s">
        <v>332</v>
      </c>
      <c r="C217" s="46"/>
      <c r="D217" s="35">
        <v>10.0</v>
      </c>
      <c r="E217" s="36"/>
      <c r="F217" s="37"/>
      <c r="G217" s="38">
        <f t="shared" si="1"/>
        <v>125</v>
      </c>
      <c r="H217" s="37"/>
      <c r="I217" s="39">
        <v>0.0</v>
      </c>
      <c r="J217" s="40">
        <f t="shared" si="3"/>
        <v>0</v>
      </c>
      <c r="K217" s="40">
        <f t="shared" si="4"/>
        <v>0</v>
      </c>
      <c r="L217" s="40">
        <f t="shared" si="5"/>
        <v>0</v>
      </c>
      <c r="M217" s="41">
        <f t="shared" si="6"/>
        <v>0</v>
      </c>
      <c r="N217" s="42" t="str">
        <f t="shared" si="7"/>
        <v>#DIV/0!</v>
      </c>
      <c r="O217" s="43"/>
      <c r="P217" s="44">
        <f t="shared" si="8"/>
        <v>0</v>
      </c>
      <c r="Q217" s="45">
        <f t="shared" si="9"/>
        <v>0</v>
      </c>
      <c r="R217" s="45">
        <f t="shared" si="13"/>
        <v>0</v>
      </c>
      <c r="S217" s="45">
        <f t="shared" si="14"/>
        <v>0</v>
      </c>
      <c r="T217" s="45">
        <f t="shared" si="10"/>
        <v>0</v>
      </c>
      <c r="U217" s="45">
        <f t="shared" si="11"/>
        <v>0</v>
      </c>
      <c r="V217" s="45">
        <f t="shared" si="12"/>
        <v>0</v>
      </c>
      <c r="W217" s="33"/>
      <c r="X217" s="33"/>
      <c r="Y217" s="33"/>
      <c r="Z217" s="33"/>
    </row>
    <row r="218" ht="14.25" customHeight="1">
      <c r="A218" s="46">
        <v>3.0101735E7</v>
      </c>
      <c r="B218" s="46" t="s">
        <v>333</v>
      </c>
      <c r="C218" s="46"/>
      <c r="D218" s="35">
        <v>0.0</v>
      </c>
      <c r="E218" s="36"/>
      <c r="F218" s="37"/>
      <c r="G218" s="38">
        <f t="shared" si="1"/>
        <v>0</v>
      </c>
      <c r="H218" s="37"/>
      <c r="I218" s="39">
        <v>0.0</v>
      </c>
      <c r="J218" s="40">
        <f t="shared" si="3"/>
        <v>0</v>
      </c>
      <c r="K218" s="40">
        <f t="shared" si="4"/>
        <v>0</v>
      </c>
      <c r="L218" s="40">
        <f t="shared" si="5"/>
        <v>0</v>
      </c>
      <c r="M218" s="41">
        <f t="shared" si="6"/>
        <v>0</v>
      </c>
      <c r="N218" s="42" t="str">
        <f t="shared" si="7"/>
        <v>#DIV/0!</v>
      </c>
      <c r="O218" s="43"/>
      <c r="P218" s="44">
        <f t="shared" si="8"/>
        <v>0</v>
      </c>
      <c r="Q218" s="45">
        <f t="shared" si="9"/>
        <v>0</v>
      </c>
      <c r="R218" s="45">
        <f t="shared" si="13"/>
        <v>0</v>
      </c>
      <c r="S218" s="45">
        <f t="shared" si="14"/>
        <v>0</v>
      </c>
      <c r="T218" s="45">
        <f t="shared" si="10"/>
        <v>0</v>
      </c>
      <c r="U218" s="45">
        <f t="shared" si="11"/>
        <v>0</v>
      </c>
      <c r="V218" s="45">
        <f t="shared" si="12"/>
        <v>0</v>
      </c>
      <c r="W218" s="33"/>
      <c r="X218" s="33"/>
      <c r="Y218" s="33"/>
      <c r="Z218" s="33"/>
    </row>
    <row r="219" ht="14.25" customHeight="1">
      <c r="A219" s="46"/>
      <c r="B219" s="46" t="s">
        <v>334</v>
      </c>
      <c r="C219" s="46"/>
      <c r="D219" s="35">
        <v>20.0</v>
      </c>
      <c r="E219" s="36"/>
      <c r="F219" s="37"/>
      <c r="G219" s="38">
        <f t="shared" si="1"/>
        <v>250</v>
      </c>
      <c r="H219" s="37"/>
      <c r="I219" s="39">
        <v>0.0</v>
      </c>
      <c r="J219" s="40">
        <f t="shared" si="3"/>
        <v>0</v>
      </c>
      <c r="K219" s="40">
        <f t="shared" si="4"/>
        <v>0</v>
      </c>
      <c r="L219" s="40">
        <f t="shared" si="5"/>
        <v>0</v>
      </c>
      <c r="M219" s="41">
        <f t="shared" si="6"/>
        <v>0</v>
      </c>
      <c r="N219" s="42" t="str">
        <f t="shared" si="7"/>
        <v>#DIV/0!</v>
      </c>
      <c r="O219" s="43"/>
      <c r="P219" s="44">
        <f t="shared" si="8"/>
        <v>0</v>
      </c>
      <c r="Q219" s="45">
        <f t="shared" si="9"/>
        <v>0</v>
      </c>
      <c r="R219" s="45">
        <f t="shared" si="13"/>
        <v>0</v>
      </c>
      <c r="S219" s="45">
        <f t="shared" si="14"/>
        <v>0</v>
      </c>
      <c r="T219" s="45">
        <f t="shared" si="10"/>
        <v>0</v>
      </c>
      <c r="U219" s="45">
        <f t="shared" si="11"/>
        <v>0</v>
      </c>
      <c r="V219" s="45">
        <f t="shared" si="12"/>
        <v>0</v>
      </c>
      <c r="W219" s="33"/>
      <c r="X219" s="33"/>
      <c r="Y219" s="33"/>
      <c r="Z219" s="33"/>
    </row>
    <row r="220" ht="14.25" customHeight="1">
      <c r="A220" s="46"/>
      <c r="B220" s="46" t="s">
        <v>335</v>
      </c>
      <c r="C220" s="46"/>
      <c r="D220" s="35">
        <v>30.0</v>
      </c>
      <c r="E220" s="36"/>
      <c r="F220" s="37"/>
      <c r="G220" s="38">
        <f t="shared" si="1"/>
        <v>375</v>
      </c>
      <c r="H220" s="37"/>
      <c r="I220" s="39">
        <v>0.0</v>
      </c>
      <c r="J220" s="40">
        <f t="shared" si="3"/>
        <v>0</v>
      </c>
      <c r="K220" s="40">
        <f t="shared" si="4"/>
        <v>0</v>
      </c>
      <c r="L220" s="40">
        <f t="shared" si="5"/>
        <v>0</v>
      </c>
      <c r="M220" s="41">
        <f t="shared" si="6"/>
        <v>0</v>
      </c>
      <c r="N220" s="42" t="str">
        <f t="shared" si="7"/>
        <v>#DIV/0!</v>
      </c>
      <c r="O220" s="43"/>
      <c r="P220" s="44">
        <f t="shared" si="8"/>
        <v>0</v>
      </c>
      <c r="Q220" s="45">
        <f t="shared" si="9"/>
        <v>0</v>
      </c>
      <c r="R220" s="45">
        <f t="shared" si="13"/>
        <v>0</v>
      </c>
      <c r="S220" s="45">
        <f t="shared" si="14"/>
        <v>0</v>
      </c>
      <c r="T220" s="45">
        <f t="shared" si="10"/>
        <v>0</v>
      </c>
      <c r="U220" s="45">
        <f t="shared" si="11"/>
        <v>0</v>
      </c>
      <c r="V220" s="45">
        <f t="shared" si="12"/>
        <v>0</v>
      </c>
      <c r="W220" s="33"/>
      <c r="X220" s="33"/>
      <c r="Y220" s="33"/>
      <c r="Z220" s="33"/>
    </row>
    <row r="221" ht="14.25" customHeight="1">
      <c r="A221" s="46"/>
      <c r="B221" s="46" t="s">
        <v>336</v>
      </c>
      <c r="C221" s="46"/>
      <c r="D221" s="35">
        <v>30.0</v>
      </c>
      <c r="E221" s="36"/>
      <c r="F221" s="37"/>
      <c r="G221" s="38">
        <f t="shared" si="1"/>
        <v>375</v>
      </c>
      <c r="H221" s="37"/>
      <c r="I221" s="39">
        <v>0.0</v>
      </c>
      <c r="J221" s="40">
        <f t="shared" si="3"/>
        <v>0</v>
      </c>
      <c r="K221" s="40">
        <f t="shared" si="4"/>
        <v>0</v>
      </c>
      <c r="L221" s="40">
        <f t="shared" si="5"/>
        <v>0</v>
      </c>
      <c r="M221" s="41">
        <f t="shared" si="6"/>
        <v>0</v>
      </c>
      <c r="N221" s="42" t="str">
        <f t="shared" si="7"/>
        <v>#DIV/0!</v>
      </c>
      <c r="O221" s="43"/>
      <c r="P221" s="44">
        <f t="shared" si="8"/>
        <v>0</v>
      </c>
      <c r="Q221" s="45">
        <f t="shared" si="9"/>
        <v>0</v>
      </c>
      <c r="R221" s="45">
        <f t="shared" si="13"/>
        <v>0</v>
      </c>
      <c r="S221" s="45">
        <f t="shared" si="14"/>
        <v>0</v>
      </c>
      <c r="T221" s="45">
        <f t="shared" si="10"/>
        <v>0</v>
      </c>
      <c r="U221" s="45">
        <f t="shared" si="11"/>
        <v>0</v>
      </c>
      <c r="V221" s="45">
        <f t="shared" si="12"/>
        <v>0</v>
      </c>
      <c r="W221" s="33"/>
      <c r="X221" s="33"/>
      <c r="Y221" s="33"/>
      <c r="Z221" s="33"/>
    </row>
    <row r="222" ht="14.25" customHeight="1">
      <c r="A222" s="46"/>
      <c r="B222" s="46" t="s">
        <v>337</v>
      </c>
      <c r="C222" s="46"/>
      <c r="D222" s="35">
        <v>30.0</v>
      </c>
      <c r="E222" s="36"/>
      <c r="F222" s="37"/>
      <c r="G222" s="38">
        <f t="shared" si="1"/>
        <v>375</v>
      </c>
      <c r="H222" s="37"/>
      <c r="I222" s="39">
        <v>0.0</v>
      </c>
      <c r="J222" s="40">
        <f t="shared" si="3"/>
        <v>0</v>
      </c>
      <c r="K222" s="40">
        <f t="shared" si="4"/>
        <v>0</v>
      </c>
      <c r="L222" s="40">
        <f t="shared" si="5"/>
        <v>0</v>
      </c>
      <c r="M222" s="41">
        <f t="shared" si="6"/>
        <v>0</v>
      </c>
      <c r="N222" s="42" t="str">
        <f t="shared" si="7"/>
        <v>#DIV/0!</v>
      </c>
      <c r="O222" s="43"/>
      <c r="P222" s="44">
        <f t="shared" si="8"/>
        <v>0</v>
      </c>
      <c r="Q222" s="45">
        <f t="shared" si="9"/>
        <v>0</v>
      </c>
      <c r="R222" s="45">
        <f t="shared" si="13"/>
        <v>0</v>
      </c>
      <c r="S222" s="45">
        <f t="shared" si="14"/>
        <v>0</v>
      </c>
      <c r="T222" s="45">
        <f t="shared" si="10"/>
        <v>0</v>
      </c>
      <c r="U222" s="45">
        <f t="shared" si="11"/>
        <v>0</v>
      </c>
      <c r="V222" s="45">
        <f t="shared" si="12"/>
        <v>0</v>
      </c>
      <c r="W222" s="33"/>
      <c r="X222" s="33"/>
      <c r="Y222" s="33"/>
      <c r="Z222" s="33"/>
    </row>
    <row r="223" ht="14.25" customHeight="1">
      <c r="A223" s="34"/>
      <c r="B223" s="34" t="s">
        <v>338</v>
      </c>
      <c r="C223" s="34"/>
      <c r="D223" s="35">
        <v>30.0</v>
      </c>
      <c r="E223" s="36"/>
      <c r="F223" s="37"/>
      <c r="G223" s="38">
        <f t="shared" si="1"/>
        <v>375</v>
      </c>
      <c r="H223" s="37"/>
      <c r="I223" s="39">
        <v>0.0</v>
      </c>
      <c r="J223" s="40">
        <f t="shared" si="3"/>
        <v>0</v>
      </c>
      <c r="K223" s="40">
        <f t="shared" si="4"/>
        <v>0</v>
      </c>
      <c r="L223" s="40">
        <f t="shared" si="5"/>
        <v>0</v>
      </c>
      <c r="M223" s="41">
        <f t="shared" si="6"/>
        <v>0</v>
      </c>
      <c r="N223" s="42" t="str">
        <f t="shared" si="7"/>
        <v>#DIV/0!</v>
      </c>
      <c r="O223" s="43"/>
      <c r="P223" s="44">
        <f t="shared" si="8"/>
        <v>0</v>
      </c>
      <c r="Q223" s="45">
        <f t="shared" si="9"/>
        <v>0</v>
      </c>
      <c r="R223" s="45">
        <f t="shared" si="13"/>
        <v>0</v>
      </c>
      <c r="S223" s="45">
        <f t="shared" si="14"/>
        <v>0</v>
      </c>
      <c r="T223" s="45">
        <f t="shared" si="10"/>
        <v>0</v>
      </c>
      <c r="U223" s="45">
        <f t="shared" si="11"/>
        <v>0</v>
      </c>
      <c r="V223" s="45">
        <f t="shared" si="12"/>
        <v>0</v>
      </c>
      <c r="W223" s="33"/>
      <c r="X223" s="33"/>
      <c r="Y223" s="33"/>
      <c r="Z223" s="33"/>
    </row>
    <row r="224" ht="14.25" customHeight="1">
      <c r="A224" s="46"/>
      <c r="B224" s="46" t="s">
        <v>339</v>
      </c>
      <c r="C224" s="46"/>
      <c r="D224" s="35">
        <v>20.0</v>
      </c>
      <c r="E224" s="36"/>
      <c r="F224" s="37"/>
      <c r="G224" s="38">
        <f t="shared" si="1"/>
        <v>250</v>
      </c>
      <c r="H224" s="37"/>
      <c r="I224" s="39">
        <v>0.0</v>
      </c>
      <c r="J224" s="40">
        <f t="shared" si="3"/>
        <v>0</v>
      </c>
      <c r="K224" s="40">
        <f t="shared" si="4"/>
        <v>0</v>
      </c>
      <c r="L224" s="40">
        <f t="shared" si="5"/>
        <v>0</v>
      </c>
      <c r="M224" s="41">
        <f t="shared" si="6"/>
        <v>0</v>
      </c>
      <c r="N224" s="42" t="str">
        <f t="shared" si="7"/>
        <v>#DIV/0!</v>
      </c>
      <c r="O224" s="43"/>
      <c r="P224" s="44">
        <f t="shared" si="8"/>
        <v>0</v>
      </c>
      <c r="Q224" s="45">
        <f t="shared" si="9"/>
        <v>0</v>
      </c>
      <c r="R224" s="45">
        <f t="shared" si="13"/>
        <v>0</v>
      </c>
      <c r="S224" s="45">
        <f t="shared" si="14"/>
        <v>0</v>
      </c>
      <c r="T224" s="45">
        <f t="shared" si="10"/>
        <v>0</v>
      </c>
      <c r="U224" s="45">
        <f t="shared" si="11"/>
        <v>0</v>
      </c>
      <c r="V224" s="45">
        <f t="shared" si="12"/>
        <v>0</v>
      </c>
      <c r="W224" s="33"/>
      <c r="X224" s="33"/>
      <c r="Y224" s="33"/>
      <c r="Z224" s="33"/>
    </row>
    <row r="225" ht="14.25" customHeight="1">
      <c r="A225" s="46"/>
      <c r="B225" s="46" t="s">
        <v>340</v>
      </c>
      <c r="C225" s="46"/>
      <c r="D225" s="35">
        <v>20.0</v>
      </c>
      <c r="E225" s="36"/>
      <c r="F225" s="37"/>
      <c r="G225" s="38">
        <f t="shared" si="1"/>
        <v>250</v>
      </c>
      <c r="H225" s="37"/>
      <c r="I225" s="39">
        <v>0.0</v>
      </c>
      <c r="J225" s="40">
        <f t="shared" si="3"/>
        <v>0</v>
      </c>
      <c r="K225" s="40">
        <f t="shared" si="4"/>
        <v>0</v>
      </c>
      <c r="L225" s="40">
        <f t="shared" si="5"/>
        <v>0</v>
      </c>
      <c r="M225" s="41">
        <f t="shared" si="6"/>
        <v>0</v>
      </c>
      <c r="N225" s="42" t="str">
        <f t="shared" si="7"/>
        <v>#DIV/0!</v>
      </c>
      <c r="O225" s="43"/>
      <c r="P225" s="44">
        <f t="shared" si="8"/>
        <v>0</v>
      </c>
      <c r="Q225" s="45">
        <f t="shared" si="9"/>
        <v>0</v>
      </c>
      <c r="R225" s="45">
        <f t="shared" si="13"/>
        <v>0</v>
      </c>
      <c r="S225" s="45">
        <f t="shared" si="14"/>
        <v>0</v>
      </c>
      <c r="T225" s="45">
        <f t="shared" si="10"/>
        <v>0</v>
      </c>
      <c r="U225" s="45">
        <f t="shared" si="11"/>
        <v>0</v>
      </c>
      <c r="V225" s="45">
        <f t="shared" si="12"/>
        <v>0</v>
      </c>
      <c r="W225" s="33"/>
      <c r="X225" s="33"/>
      <c r="Y225" s="33"/>
      <c r="Z225" s="33"/>
    </row>
    <row r="226" ht="14.25" customHeight="1">
      <c r="A226" s="46">
        <v>3.0101506E7</v>
      </c>
      <c r="B226" s="46" t="s">
        <v>341</v>
      </c>
      <c r="C226" s="46"/>
      <c r="D226" s="35">
        <v>30.0</v>
      </c>
      <c r="E226" s="36"/>
      <c r="F226" s="37"/>
      <c r="G226" s="38">
        <f t="shared" si="1"/>
        <v>375</v>
      </c>
      <c r="H226" s="37"/>
      <c r="I226" s="39">
        <v>1112.0</v>
      </c>
      <c r="J226" s="40">
        <f t="shared" si="3"/>
        <v>55.6</v>
      </c>
      <c r="K226" s="40">
        <f t="shared" si="4"/>
        <v>183.48</v>
      </c>
      <c r="L226" s="40">
        <f t="shared" si="5"/>
        <v>0</v>
      </c>
      <c r="M226" s="41">
        <f t="shared" si="6"/>
        <v>872.92</v>
      </c>
      <c r="N226" s="42">
        <f t="shared" si="7"/>
        <v>0.785</v>
      </c>
      <c r="O226" s="43"/>
      <c r="P226" s="44">
        <f t="shared" si="8"/>
        <v>0</v>
      </c>
      <c r="Q226" s="45">
        <f t="shared" si="9"/>
        <v>0</v>
      </c>
      <c r="R226" s="45">
        <f t="shared" si="13"/>
        <v>0</v>
      </c>
      <c r="S226" s="45">
        <f t="shared" si="14"/>
        <v>0</v>
      </c>
      <c r="T226" s="45">
        <f t="shared" si="10"/>
        <v>0</v>
      </c>
      <c r="U226" s="45">
        <f t="shared" si="11"/>
        <v>0</v>
      </c>
      <c r="V226" s="45">
        <f t="shared" si="12"/>
        <v>0</v>
      </c>
      <c r="W226" s="33"/>
      <c r="X226" s="33"/>
      <c r="Y226" s="33"/>
      <c r="Z226" s="33"/>
    </row>
    <row r="227" ht="14.25" customHeight="1">
      <c r="A227" s="46"/>
      <c r="B227" s="46" t="s">
        <v>342</v>
      </c>
      <c r="C227" s="46"/>
      <c r="D227" s="35">
        <v>60.0</v>
      </c>
      <c r="E227" s="36"/>
      <c r="F227" s="37"/>
      <c r="G227" s="38">
        <f t="shared" si="1"/>
        <v>750</v>
      </c>
      <c r="H227" s="37"/>
      <c r="I227" s="39">
        <v>1900.0</v>
      </c>
      <c r="J227" s="40">
        <f t="shared" si="3"/>
        <v>95</v>
      </c>
      <c r="K227" s="40">
        <f t="shared" si="4"/>
        <v>313.5</v>
      </c>
      <c r="L227" s="40">
        <f t="shared" si="5"/>
        <v>0</v>
      </c>
      <c r="M227" s="41">
        <f t="shared" si="6"/>
        <v>1491.5</v>
      </c>
      <c r="N227" s="42">
        <f t="shared" si="7"/>
        <v>0.785</v>
      </c>
      <c r="O227" s="43"/>
      <c r="P227" s="44">
        <f t="shared" si="8"/>
        <v>0</v>
      </c>
      <c r="Q227" s="45">
        <f t="shared" si="9"/>
        <v>0</v>
      </c>
      <c r="R227" s="45">
        <f t="shared" si="13"/>
        <v>0</v>
      </c>
      <c r="S227" s="45">
        <f t="shared" si="14"/>
        <v>0</v>
      </c>
      <c r="T227" s="45">
        <f t="shared" si="10"/>
        <v>0</v>
      </c>
      <c r="U227" s="45">
        <f t="shared" si="11"/>
        <v>0</v>
      </c>
      <c r="V227" s="45">
        <f t="shared" si="12"/>
        <v>0</v>
      </c>
      <c r="W227" s="33"/>
      <c r="X227" s="33"/>
      <c r="Y227" s="33"/>
      <c r="Z227" s="33"/>
    </row>
    <row r="228" ht="14.25" customHeight="1">
      <c r="A228" s="46"/>
      <c r="B228" s="46" t="s">
        <v>343</v>
      </c>
      <c r="C228" s="46"/>
      <c r="D228" s="35">
        <v>30.0</v>
      </c>
      <c r="E228" s="36"/>
      <c r="F228" s="37"/>
      <c r="G228" s="38">
        <f t="shared" si="1"/>
        <v>375</v>
      </c>
      <c r="H228" s="37"/>
      <c r="I228" s="39">
        <v>1000.0</v>
      </c>
      <c r="J228" s="40">
        <f t="shared" si="3"/>
        <v>50</v>
      </c>
      <c r="K228" s="40">
        <f t="shared" si="4"/>
        <v>165</v>
      </c>
      <c r="L228" s="40">
        <f t="shared" si="5"/>
        <v>0</v>
      </c>
      <c r="M228" s="41">
        <f t="shared" si="6"/>
        <v>785</v>
      </c>
      <c r="N228" s="42">
        <f t="shared" si="7"/>
        <v>0.785</v>
      </c>
      <c r="O228" s="43"/>
      <c r="P228" s="44">
        <f t="shared" si="8"/>
        <v>0</v>
      </c>
      <c r="Q228" s="45">
        <f t="shared" si="9"/>
        <v>0</v>
      </c>
      <c r="R228" s="45">
        <f t="shared" si="13"/>
        <v>0</v>
      </c>
      <c r="S228" s="45">
        <f t="shared" si="14"/>
        <v>0</v>
      </c>
      <c r="T228" s="45">
        <f t="shared" si="10"/>
        <v>0</v>
      </c>
      <c r="U228" s="45">
        <f t="shared" si="11"/>
        <v>0</v>
      </c>
      <c r="V228" s="45">
        <f t="shared" si="12"/>
        <v>0</v>
      </c>
      <c r="W228" s="33"/>
      <c r="X228" s="33"/>
      <c r="Y228" s="33"/>
      <c r="Z228" s="33"/>
    </row>
    <row r="229" ht="14.25" customHeight="1">
      <c r="A229" s="46"/>
      <c r="B229" s="46" t="s">
        <v>344</v>
      </c>
      <c r="C229" s="46"/>
      <c r="D229" s="35">
        <v>30.0</v>
      </c>
      <c r="E229" s="36"/>
      <c r="F229" s="37"/>
      <c r="G229" s="38">
        <f t="shared" si="1"/>
        <v>375</v>
      </c>
      <c r="H229" s="37"/>
      <c r="I229" s="39">
        <v>1000.0</v>
      </c>
      <c r="J229" s="40">
        <f t="shared" si="3"/>
        <v>50</v>
      </c>
      <c r="K229" s="40">
        <f t="shared" si="4"/>
        <v>165</v>
      </c>
      <c r="L229" s="40">
        <f t="shared" si="5"/>
        <v>0</v>
      </c>
      <c r="M229" s="41">
        <f t="shared" si="6"/>
        <v>785</v>
      </c>
      <c r="N229" s="42">
        <f t="shared" si="7"/>
        <v>0.785</v>
      </c>
      <c r="O229" s="43"/>
      <c r="P229" s="44">
        <f t="shared" si="8"/>
        <v>0</v>
      </c>
      <c r="Q229" s="45">
        <f t="shared" si="9"/>
        <v>0</v>
      </c>
      <c r="R229" s="45">
        <f t="shared" si="13"/>
        <v>0</v>
      </c>
      <c r="S229" s="45">
        <f t="shared" si="14"/>
        <v>0</v>
      </c>
      <c r="T229" s="45">
        <f t="shared" si="10"/>
        <v>0</v>
      </c>
      <c r="U229" s="45">
        <f t="shared" si="11"/>
        <v>0</v>
      </c>
      <c r="V229" s="45">
        <f t="shared" si="12"/>
        <v>0</v>
      </c>
      <c r="W229" s="33"/>
      <c r="X229" s="33"/>
      <c r="Y229" s="33"/>
      <c r="Z229" s="33"/>
    </row>
    <row r="230" ht="14.25" customHeight="1">
      <c r="A230" s="46"/>
      <c r="B230" s="46" t="s">
        <v>345</v>
      </c>
      <c r="C230" s="46"/>
      <c r="D230" s="35">
        <v>30.0</v>
      </c>
      <c r="E230" s="36"/>
      <c r="F230" s="37"/>
      <c r="G230" s="38">
        <f t="shared" si="1"/>
        <v>375</v>
      </c>
      <c r="H230" s="37"/>
      <c r="I230" s="39">
        <v>1200.0</v>
      </c>
      <c r="J230" s="40">
        <f t="shared" si="3"/>
        <v>60</v>
      </c>
      <c r="K230" s="40">
        <f t="shared" si="4"/>
        <v>198</v>
      </c>
      <c r="L230" s="40">
        <f t="shared" si="5"/>
        <v>0</v>
      </c>
      <c r="M230" s="41">
        <f t="shared" si="6"/>
        <v>942</v>
      </c>
      <c r="N230" s="42">
        <f t="shared" si="7"/>
        <v>0.785</v>
      </c>
      <c r="O230" s="43"/>
      <c r="P230" s="44">
        <f t="shared" si="8"/>
        <v>0</v>
      </c>
      <c r="Q230" s="45">
        <f t="shared" si="9"/>
        <v>0</v>
      </c>
      <c r="R230" s="45">
        <f t="shared" si="13"/>
        <v>0</v>
      </c>
      <c r="S230" s="45">
        <f t="shared" si="14"/>
        <v>0</v>
      </c>
      <c r="T230" s="45">
        <f t="shared" si="10"/>
        <v>0</v>
      </c>
      <c r="U230" s="45">
        <f t="shared" si="11"/>
        <v>0</v>
      </c>
      <c r="V230" s="45">
        <f t="shared" si="12"/>
        <v>0</v>
      </c>
      <c r="W230" s="33"/>
      <c r="X230" s="33"/>
      <c r="Y230" s="33"/>
      <c r="Z230" s="33"/>
    </row>
    <row r="231" ht="14.25" customHeight="1">
      <c r="A231" s="46"/>
      <c r="B231" s="46" t="s">
        <v>346</v>
      </c>
      <c r="C231" s="46"/>
      <c r="D231" s="35">
        <v>30.0</v>
      </c>
      <c r="E231" s="36"/>
      <c r="F231" s="37"/>
      <c r="G231" s="38">
        <f t="shared" si="1"/>
        <v>375</v>
      </c>
      <c r="H231" s="37"/>
      <c r="I231" s="39">
        <v>200.0</v>
      </c>
      <c r="J231" s="40">
        <f t="shared" si="3"/>
        <v>10</v>
      </c>
      <c r="K231" s="40">
        <f t="shared" si="4"/>
        <v>33</v>
      </c>
      <c r="L231" s="40">
        <f t="shared" si="5"/>
        <v>0</v>
      </c>
      <c r="M231" s="41">
        <f t="shared" si="6"/>
        <v>157</v>
      </c>
      <c r="N231" s="42">
        <f t="shared" si="7"/>
        <v>0.785</v>
      </c>
      <c r="O231" s="43"/>
      <c r="P231" s="44">
        <f t="shared" si="8"/>
        <v>0</v>
      </c>
      <c r="Q231" s="45">
        <f t="shared" si="9"/>
        <v>0</v>
      </c>
      <c r="R231" s="45">
        <f t="shared" si="13"/>
        <v>0</v>
      </c>
      <c r="S231" s="45">
        <f t="shared" si="14"/>
        <v>0</v>
      </c>
      <c r="T231" s="45">
        <f t="shared" si="10"/>
        <v>0</v>
      </c>
      <c r="U231" s="45">
        <f t="shared" si="11"/>
        <v>0</v>
      </c>
      <c r="V231" s="45">
        <f t="shared" si="12"/>
        <v>0</v>
      </c>
      <c r="W231" s="33"/>
      <c r="X231" s="33"/>
      <c r="Y231" s="33"/>
      <c r="Z231" s="33"/>
    </row>
    <row r="232" ht="14.25" customHeight="1">
      <c r="A232" s="46">
        <v>6.0033746E7</v>
      </c>
      <c r="B232" s="46" t="s">
        <v>95</v>
      </c>
      <c r="C232" s="46"/>
      <c r="D232" s="35">
        <v>0.0</v>
      </c>
      <c r="E232" s="36"/>
      <c r="F232" s="37"/>
      <c r="G232" s="38">
        <f t="shared" si="1"/>
        <v>0</v>
      </c>
      <c r="H232" s="37"/>
      <c r="I232" s="39">
        <v>150.0</v>
      </c>
      <c r="J232" s="40">
        <f t="shared" si="3"/>
        <v>7.5</v>
      </c>
      <c r="K232" s="40">
        <f t="shared" si="4"/>
        <v>24.75</v>
      </c>
      <c r="L232" s="40">
        <f t="shared" si="5"/>
        <v>0</v>
      </c>
      <c r="M232" s="41">
        <f t="shared" si="6"/>
        <v>117.75</v>
      </c>
      <c r="N232" s="42" t="s">
        <v>347</v>
      </c>
      <c r="O232" s="43"/>
      <c r="P232" s="44">
        <f t="shared" si="8"/>
        <v>0</v>
      </c>
      <c r="Q232" s="45">
        <f t="shared" si="9"/>
        <v>0</v>
      </c>
      <c r="R232" s="45">
        <f t="shared" si="13"/>
        <v>0</v>
      </c>
      <c r="S232" s="45">
        <f t="shared" si="14"/>
        <v>0</v>
      </c>
      <c r="T232" s="45">
        <f t="shared" si="10"/>
        <v>0</v>
      </c>
      <c r="U232" s="45">
        <f t="shared" si="11"/>
        <v>0</v>
      </c>
      <c r="V232" s="45">
        <f t="shared" si="12"/>
        <v>0</v>
      </c>
      <c r="W232" s="33"/>
      <c r="X232" s="33"/>
      <c r="Y232" s="33"/>
      <c r="Z232" s="33"/>
    </row>
    <row r="233" ht="14.25" customHeight="1">
      <c r="A233" s="34"/>
      <c r="B233" s="34" t="s">
        <v>348</v>
      </c>
      <c r="C233" s="34"/>
      <c r="D233" s="35">
        <v>60.0</v>
      </c>
      <c r="E233" s="36"/>
      <c r="F233" s="37"/>
      <c r="G233" s="38">
        <f t="shared" si="1"/>
        <v>750</v>
      </c>
      <c r="H233" s="37"/>
      <c r="I233" s="39">
        <v>720.0</v>
      </c>
      <c r="J233" s="40">
        <f t="shared" si="3"/>
        <v>36</v>
      </c>
      <c r="K233" s="40">
        <f t="shared" si="4"/>
        <v>118.8</v>
      </c>
      <c r="L233" s="40">
        <f t="shared" si="5"/>
        <v>0</v>
      </c>
      <c r="M233" s="41">
        <f t="shared" si="6"/>
        <v>565.2</v>
      </c>
      <c r="N233" s="42">
        <f t="shared" ref="N233:N263" si="15">M233/I233</f>
        <v>0.785</v>
      </c>
      <c r="O233" s="43"/>
      <c r="P233" s="44">
        <f t="shared" si="8"/>
        <v>0</v>
      </c>
      <c r="Q233" s="45">
        <f t="shared" si="9"/>
        <v>0</v>
      </c>
      <c r="R233" s="45">
        <f t="shared" si="13"/>
        <v>0</v>
      </c>
      <c r="S233" s="45">
        <f t="shared" si="14"/>
        <v>0</v>
      </c>
      <c r="T233" s="45">
        <f t="shared" si="10"/>
        <v>0</v>
      </c>
      <c r="U233" s="45">
        <f t="shared" si="11"/>
        <v>0</v>
      </c>
      <c r="V233" s="45">
        <f t="shared" si="12"/>
        <v>0</v>
      </c>
      <c r="W233" s="33"/>
      <c r="X233" s="33"/>
      <c r="Y233" s="33"/>
      <c r="Z233" s="33"/>
    </row>
    <row r="234" ht="14.25" customHeight="1">
      <c r="A234" s="46"/>
      <c r="B234" s="46" t="s">
        <v>349</v>
      </c>
      <c r="C234" s="46"/>
      <c r="D234" s="35">
        <v>30.0</v>
      </c>
      <c r="E234" s="36"/>
      <c r="F234" s="37"/>
      <c r="G234" s="38">
        <f t="shared" si="1"/>
        <v>375</v>
      </c>
      <c r="H234" s="37"/>
      <c r="I234" s="39">
        <v>600.0</v>
      </c>
      <c r="J234" s="40">
        <f t="shared" si="3"/>
        <v>30</v>
      </c>
      <c r="K234" s="40">
        <f t="shared" si="4"/>
        <v>99</v>
      </c>
      <c r="L234" s="40">
        <f t="shared" si="5"/>
        <v>0</v>
      </c>
      <c r="M234" s="41">
        <f t="shared" si="6"/>
        <v>471</v>
      </c>
      <c r="N234" s="42">
        <f t="shared" si="15"/>
        <v>0.785</v>
      </c>
      <c r="O234" s="43"/>
      <c r="P234" s="44">
        <f t="shared" si="8"/>
        <v>0</v>
      </c>
      <c r="Q234" s="45">
        <f t="shared" si="9"/>
        <v>0</v>
      </c>
      <c r="R234" s="45">
        <f t="shared" si="13"/>
        <v>0</v>
      </c>
      <c r="S234" s="45">
        <f t="shared" si="14"/>
        <v>0</v>
      </c>
      <c r="T234" s="45">
        <f t="shared" si="10"/>
        <v>0</v>
      </c>
      <c r="U234" s="45">
        <f t="shared" si="11"/>
        <v>0</v>
      </c>
      <c r="V234" s="45">
        <f t="shared" si="12"/>
        <v>0</v>
      </c>
      <c r="W234" s="33"/>
      <c r="X234" s="33"/>
      <c r="Y234" s="33"/>
      <c r="Z234" s="33"/>
    </row>
    <row r="235" ht="14.25" customHeight="1">
      <c r="A235" s="46"/>
      <c r="B235" s="46" t="s">
        <v>350</v>
      </c>
      <c r="C235" s="46"/>
      <c r="D235" s="35">
        <v>60.0</v>
      </c>
      <c r="E235" s="36"/>
      <c r="F235" s="37"/>
      <c r="G235" s="38">
        <f t="shared" si="1"/>
        <v>750</v>
      </c>
      <c r="H235" s="37"/>
      <c r="I235" s="39">
        <v>450.0</v>
      </c>
      <c r="J235" s="40">
        <f t="shared" si="3"/>
        <v>22.5</v>
      </c>
      <c r="K235" s="40">
        <f t="shared" si="4"/>
        <v>74.25</v>
      </c>
      <c r="L235" s="40">
        <f t="shared" si="5"/>
        <v>0</v>
      </c>
      <c r="M235" s="41">
        <f t="shared" si="6"/>
        <v>353.25</v>
      </c>
      <c r="N235" s="42">
        <f t="shared" si="15"/>
        <v>0.785</v>
      </c>
      <c r="O235" s="43"/>
      <c r="P235" s="44">
        <f t="shared" si="8"/>
        <v>0</v>
      </c>
      <c r="Q235" s="45">
        <f t="shared" si="9"/>
        <v>0</v>
      </c>
      <c r="R235" s="45">
        <f t="shared" si="13"/>
        <v>0</v>
      </c>
      <c r="S235" s="45">
        <f t="shared" si="14"/>
        <v>0</v>
      </c>
      <c r="T235" s="45">
        <f t="shared" si="10"/>
        <v>0</v>
      </c>
      <c r="U235" s="45">
        <f t="shared" si="11"/>
        <v>0</v>
      </c>
      <c r="V235" s="45">
        <f t="shared" si="12"/>
        <v>0</v>
      </c>
      <c r="W235" s="33"/>
      <c r="X235" s="33"/>
      <c r="Y235" s="33"/>
      <c r="Z235" s="33"/>
    </row>
    <row r="236" ht="14.25" customHeight="1">
      <c r="A236" s="46"/>
      <c r="B236" s="46" t="s">
        <v>351</v>
      </c>
      <c r="C236" s="46"/>
      <c r="D236" s="35">
        <v>0.0</v>
      </c>
      <c r="E236" s="36"/>
      <c r="F236" s="37"/>
      <c r="G236" s="38">
        <f t="shared" si="1"/>
        <v>0</v>
      </c>
      <c r="H236" s="37"/>
      <c r="I236" s="39">
        <v>1400.0</v>
      </c>
      <c r="J236" s="40">
        <f t="shared" si="3"/>
        <v>70</v>
      </c>
      <c r="K236" s="40">
        <f t="shared" si="4"/>
        <v>231</v>
      </c>
      <c r="L236" s="40">
        <f t="shared" si="5"/>
        <v>0</v>
      </c>
      <c r="M236" s="41">
        <f t="shared" si="6"/>
        <v>1099</v>
      </c>
      <c r="N236" s="42">
        <f t="shared" si="15"/>
        <v>0.785</v>
      </c>
      <c r="O236" s="43"/>
      <c r="P236" s="44">
        <f t="shared" si="8"/>
        <v>0</v>
      </c>
      <c r="Q236" s="45">
        <f t="shared" si="9"/>
        <v>0</v>
      </c>
      <c r="R236" s="45">
        <f t="shared" si="13"/>
        <v>0</v>
      </c>
      <c r="S236" s="45">
        <f t="shared" si="14"/>
        <v>0</v>
      </c>
      <c r="T236" s="45">
        <f t="shared" si="10"/>
        <v>0</v>
      </c>
      <c r="U236" s="45">
        <f t="shared" si="11"/>
        <v>0</v>
      </c>
      <c r="V236" s="45">
        <f t="shared" si="12"/>
        <v>0</v>
      </c>
      <c r="W236" s="33"/>
      <c r="X236" s="33"/>
      <c r="Y236" s="33"/>
      <c r="Z236" s="33"/>
    </row>
    <row r="237" ht="16.5" customHeight="1">
      <c r="A237" s="34"/>
      <c r="B237" s="53" t="s">
        <v>352</v>
      </c>
      <c r="C237" s="34"/>
      <c r="D237" s="35">
        <v>20.0</v>
      </c>
      <c r="E237" s="36"/>
      <c r="F237" s="37"/>
      <c r="G237" s="38">
        <f t="shared" si="1"/>
        <v>250</v>
      </c>
      <c r="H237" s="37"/>
      <c r="I237" s="39">
        <v>850.0</v>
      </c>
      <c r="J237" s="40">
        <f t="shared" si="3"/>
        <v>42.5</v>
      </c>
      <c r="K237" s="40">
        <f t="shared" si="4"/>
        <v>140.25</v>
      </c>
      <c r="L237" s="40">
        <f t="shared" si="5"/>
        <v>0</v>
      </c>
      <c r="M237" s="41">
        <f t="shared" si="6"/>
        <v>667.25</v>
      </c>
      <c r="N237" s="42">
        <f t="shared" si="15"/>
        <v>0.785</v>
      </c>
      <c r="O237" s="43"/>
      <c r="P237" s="44">
        <f t="shared" si="8"/>
        <v>0</v>
      </c>
      <c r="Q237" s="45">
        <f t="shared" si="9"/>
        <v>0</v>
      </c>
      <c r="R237" s="45">
        <f t="shared" si="13"/>
        <v>0</v>
      </c>
      <c r="S237" s="45">
        <f t="shared" si="14"/>
        <v>0</v>
      </c>
      <c r="T237" s="45">
        <f t="shared" si="10"/>
        <v>0</v>
      </c>
      <c r="U237" s="45">
        <f t="shared" si="11"/>
        <v>0</v>
      </c>
      <c r="V237" s="45">
        <f t="shared" si="12"/>
        <v>0</v>
      </c>
      <c r="W237" s="33"/>
      <c r="X237" s="33"/>
      <c r="Y237" s="33"/>
      <c r="Z237" s="33"/>
    </row>
    <row r="238" ht="14.25" customHeight="1">
      <c r="A238" s="46"/>
      <c r="B238" s="50" t="s">
        <v>353</v>
      </c>
      <c r="C238" s="34"/>
      <c r="D238" s="35">
        <v>30.0</v>
      </c>
      <c r="E238" s="36">
        <v>70.0</v>
      </c>
      <c r="F238" s="37">
        <v>588.0</v>
      </c>
      <c r="G238" s="38">
        <f t="shared" si="1"/>
        <v>375</v>
      </c>
      <c r="H238" s="37"/>
      <c r="I238" s="39">
        <v>2000.0</v>
      </c>
      <c r="J238" s="40">
        <f t="shared" si="3"/>
        <v>100</v>
      </c>
      <c r="K238" s="40">
        <f t="shared" si="4"/>
        <v>330</v>
      </c>
      <c r="L238" s="40">
        <f t="shared" si="5"/>
        <v>0</v>
      </c>
      <c r="M238" s="41">
        <f t="shared" si="6"/>
        <v>1570</v>
      </c>
      <c r="N238" s="42">
        <f t="shared" si="15"/>
        <v>0.785</v>
      </c>
      <c r="O238" s="43"/>
      <c r="P238" s="44">
        <f t="shared" si="8"/>
        <v>0</v>
      </c>
      <c r="Q238" s="45">
        <f t="shared" si="9"/>
        <v>0</v>
      </c>
      <c r="R238" s="45">
        <f t="shared" si="13"/>
        <v>0</v>
      </c>
      <c r="S238" s="45">
        <f t="shared" si="14"/>
        <v>0</v>
      </c>
      <c r="T238" s="45">
        <f t="shared" si="10"/>
        <v>0</v>
      </c>
      <c r="U238" s="45">
        <f t="shared" si="11"/>
        <v>0</v>
      </c>
      <c r="V238" s="45">
        <f t="shared" si="12"/>
        <v>0</v>
      </c>
      <c r="W238" s="33"/>
      <c r="X238" s="33"/>
      <c r="Y238" s="33"/>
      <c r="Z238" s="33"/>
    </row>
    <row r="239" ht="14.25" customHeight="1">
      <c r="A239" s="46"/>
      <c r="B239" s="50" t="s">
        <v>354</v>
      </c>
      <c r="C239" s="34"/>
      <c r="D239" s="35">
        <v>30.0</v>
      </c>
      <c r="E239" s="36">
        <v>100.0</v>
      </c>
      <c r="F239" s="37">
        <v>840.0</v>
      </c>
      <c r="G239" s="38">
        <f t="shared" si="1"/>
        <v>375</v>
      </c>
      <c r="H239" s="37"/>
      <c r="I239" s="39">
        <v>2500.0</v>
      </c>
      <c r="J239" s="40">
        <f t="shared" si="3"/>
        <v>125</v>
      </c>
      <c r="K239" s="40">
        <f t="shared" si="4"/>
        <v>412.5</v>
      </c>
      <c r="L239" s="40">
        <f t="shared" si="5"/>
        <v>0</v>
      </c>
      <c r="M239" s="41">
        <f t="shared" si="6"/>
        <v>1962.5</v>
      </c>
      <c r="N239" s="42">
        <f t="shared" si="15"/>
        <v>0.785</v>
      </c>
      <c r="O239" s="43"/>
      <c r="P239" s="44">
        <f t="shared" si="8"/>
        <v>0</v>
      </c>
      <c r="Q239" s="45">
        <f t="shared" si="9"/>
        <v>0</v>
      </c>
      <c r="R239" s="45">
        <f t="shared" si="13"/>
        <v>0</v>
      </c>
      <c r="S239" s="45">
        <f t="shared" si="14"/>
        <v>0</v>
      </c>
      <c r="T239" s="45">
        <f t="shared" si="10"/>
        <v>0</v>
      </c>
      <c r="U239" s="45">
        <f t="shared" si="11"/>
        <v>0</v>
      </c>
      <c r="V239" s="45">
        <f t="shared" si="12"/>
        <v>0</v>
      </c>
      <c r="W239" s="33"/>
      <c r="X239" s="33"/>
      <c r="Y239" s="33"/>
      <c r="Z239" s="33"/>
    </row>
    <row r="240" ht="14.25" customHeight="1">
      <c r="A240" s="34"/>
      <c r="B240" s="53" t="s">
        <v>355</v>
      </c>
      <c r="C240" s="34"/>
      <c r="D240" s="35">
        <v>30.0</v>
      </c>
      <c r="E240" s="36">
        <v>50.0</v>
      </c>
      <c r="F240" s="37">
        <v>420.0</v>
      </c>
      <c r="G240" s="38">
        <f t="shared" si="1"/>
        <v>375</v>
      </c>
      <c r="H240" s="37"/>
      <c r="I240" s="39">
        <v>1800.0</v>
      </c>
      <c r="J240" s="40">
        <f t="shared" si="3"/>
        <v>90</v>
      </c>
      <c r="K240" s="40">
        <f t="shared" si="4"/>
        <v>297</v>
      </c>
      <c r="L240" s="40">
        <f t="shared" si="5"/>
        <v>0</v>
      </c>
      <c r="M240" s="41">
        <f t="shared" si="6"/>
        <v>1413</v>
      </c>
      <c r="N240" s="42">
        <f t="shared" si="15"/>
        <v>0.785</v>
      </c>
      <c r="O240" s="43"/>
      <c r="P240" s="44">
        <f t="shared" si="8"/>
        <v>0</v>
      </c>
      <c r="Q240" s="45">
        <f t="shared" si="9"/>
        <v>0</v>
      </c>
      <c r="R240" s="45">
        <f t="shared" si="13"/>
        <v>0</v>
      </c>
      <c r="S240" s="45">
        <f t="shared" si="14"/>
        <v>0</v>
      </c>
      <c r="T240" s="45">
        <f t="shared" si="10"/>
        <v>0</v>
      </c>
      <c r="U240" s="45">
        <f t="shared" si="11"/>
        <v>0</v>
      </c>
      <c r="V240" s="45">
        <f t="shared" si="12"/>
        <v>0</v>
      </c>
      <c r="W240" s="33"/>
      <c r="X240" s="33"/>
      <c r="Y240" s="33"/>
      <c r="Z240" s="33"/>
    </row>
    <row r="241" ht="14.25" customHeight="1">
      <c r="A241" s="46"/>
      <c r="B241" s="50" t="s">
        <v>356</v>
      </c>
      <c r="C241" s="34"/>
      <c r="D241" s="35">
        <v>30.0</v>
      </c>
      <c r="E241" s="36">
        <v>100.0</v>
      </c>
      <c r="F241" s="37">
        <v>840.0</v>
      </c>
      <c r="G241" s="38">
        <f t="shared" si="1"/>
        <v>375</v>
      </c>
      <c r="H241" s="37"/>
      <c r="I241" s="39">
        <v>3223.0</v>
      </c>
      <c r="J241" s="40">
        <f t="shared" si="3"/>
        <v>161.15</v>
      </c>
      <c r="K241" s="40">
        <f t="shared" si="4"/>
        <v>531.795</v>
      </c>
      <c r="L241" s="40">
        <f t="shared" si="5"/>
        <v>0</v>
      </c>
      <c r="M241" s="41">
        <f t="shared" si="6"/>
        <v>2530.055</v>
      </c>
      <c r="N241" s="42">
        <f t="shared" si="15"/>
        <v>0.785</v>
      </c>
      <c r="O241" s="43"/>
      <c r="P241" s="44">
        <f t="shared" si="8"/>
        <v>0</v>
      </c>
      <c r="Q241" s="45">
        <f t="shared" si="9"/>
        <v>0</v>
      </c>
      <c r="R241" s="45">
        <f t="shared" si="13"/>
        <v>0</v>
      </c>
      <c r="S241" s="45">
        <f t="shared" si="14"/>
        <v>0</v>
      </c>
      <c r="T241" s="45">
        <f t="shared" si="10"/>
        <v>0</v>
      </c>
      <c r="U241" s="45">
        <f t="shared" si="11"/>
        <v>0</v>
      </c>
      <c r="V241" s="45">
        <f t="shared" si="12"/>
        <v>0</v>
      </c>
      <c r="W241" s="33"/>
      <c r="X241" s="33"/>
      <c r="Y241" s="33"/>
      <c r="Z241" s="33"/>
    </row>
    <row r="242" ht="14.25" customHeight="1">
      <c r="A242" s="46"/>
      <c r="B242" s="50" t="s">
        <v>357</v>
      </c>
      <c r="C242" s="34"/>
      <c r="D242" s="35">
        <v>30.0</v>
      </c>
      <c r="E242" s="36">
        <v>150.0</v>
      </c>
      <c r="F242" s="37">
        <v>1260.0</v>
      </c>
      <c r="G242" s="38">
        <f t="shared" si="1"/>
        <v>375</v>
      </c>
      <c r="H242" s="37"/>
      <c r="I242" s="39">
        <v>3223.0</v>
      </c>
      <c r="J242" s="40">
        <f t="shared" si="3"/>
        <v>161.15</v>
      </c>
      <c r="K242" s="40">
        <f t="shared" si="4"/>
        <v>531.795</v>
      </c>
      <c r="L242" s="40">
        <f t="shared" si="5"/>
        <v>0</v>
      </c>
      <c r="M242" s="41">
        <f t="shared" si="6"/>
        <v>2530.055</v>
      </c>
      <c r="N242" s="42">
        <f t="shared" si="15"/>
        <v>0.785</v>
      </c>
      <c r="O242" s="43"/>
      <c r="P242" s="44">
        <f t="shared" si="8"/>
        <v>0</v>
      </c>
      <c r="Q242" s="45">
        <f t="shared" si="9"/>
        <v>0</v>
      </c>
      <c r="R242" s="45">
        <f t="shared" si="13"/>
        <v>0</v>
      </c>
      <c r="S242" s="45">
        <f t="shared" si="14"/>
        <v>0</v>
      </c>
      <c r="T242" s="45">
        <f t="shared" si="10"/>
        <v>0</v>
      </c>
      <c r="U242" s="45">
        <f t="shared" si="11"/>
        <v>0</v>
      </c>
      <c r="V242" s="45">
        <f t="shared" si="12"/>
        <v>0</v>
      </c>
      <c r="W242" s="33"/>
      <c r="X242" s="33"/>
      <c r="Y242" s="33"/>
      <c r="Z242" s="33"/>
    </row>
    <row r="243" ht="14.25" customHeight="1">
      <c r="A243" s="46"/>
      <c r="B243" s="50" t="s">
        <v>358</v>
      </c>
      <c r="C243" s="34"/>
      <c r="D243" s="35">
        <v>30.0</v>
      </c>
      <c r="E243" s="36">
        <v>70.0</v>
      </c>
      <c r="F243" s="37">
        <v>588.0</v>
      </c>
      <c r="G243" s="38">
        <f t="shared" si="1"/>
        <v>375</v>
      </c>
      <c r="H243" s="37"/>
      <c r="I243" s="39">
        <v>2100.0</v>
      </c>
      <c r="J243" s="40">
        <f t="shared" si="3"/>
        <v>105</v>
      </c>
      <c r="K243" s="40">
        <f t="shared" si="4"/>
        <v>346.5</v>
      </c>
      <c r="L243" s="40">
        <f t="shared" si="5"/>
        <v>0</v>
      </c>
      <c r="M243" s="41">
        <f t="shared" si="6"/>
        <v>1648.5</v>
      </c>
      <c r="N243" s="42">
        <f t="shared" si="15"/>
        <v>0.785</v>
      </c>
      <c r="O243" s="43"/>
      <c r="P243" s="44">
        <f t="shared" si="8"/>
        <v>0</v>
      </c>
      <c r="Q243" s="45">
        <f t="shared" si="9"/>
        <v>0</v>
      </c>
      <c r="R243" s="45">
        <f t="shared" si="13"/>
        <v>0</v>
      </c>
      <c r="S243" s="45">
        <f t="shared" si="14"/>
        <v>0</v>
      </c>
      <c r="T243" s="45">
        <f t="shared" si="10"/>
        <v>0</v>
      </c>
      <c r="U243" s="45">
        <f t="shared" si="11"/>
        <v>0</v>
      </c>
      <c r="V243" s="45">
        <f t="shared" si="12"/>
        <v>0</v>
      </c>
      <c r="W243" s="33"/>
      <c r="X243" s="33"/>
      <c r="Y243" s="33"/>
      <c r="Z243" s="33"/>
    </row>
    <row r="244" ht="14.25" customHeight="1">
      <c r="A244" s="46"/>
      <c r="B244" s="50" t="s">
        <v>359</v>
      </c>
      <c r="C244" s="34"/>
      <c r="D244" s="35">
        <v>15.0</v>
      </c>
      <c r="E244" s="36"/>
      <c r="F244" s="37"/>
      <c r="G244" s="38">
        <f t="shared" si="1"/>
        <v>187.5</v>
      </c>
      <c r="H244" s="37"/>
      <c r="I244" s="39">
        <v>800.0</v>
      </c>
      <c r="J244" s="40">
        <f t="shared" si="3"/>
        <v>40</v>
      </c>
      <c r="K244" s="40">
        <f t="shared" si="4"/>
        <v>132</v>
      </c>
      <c r="L244" s="40">
        <f t="shared" si="5"/>
        <v>0</v>
      </c>
      <c r="M244" s="41">
        <f t="shared" si="6"/>
        <v>628</v>
      </c>
      <c r="N244" s="42">
        <f t="shared" si="15"/>
        <v>0.785</v>
      </c>
      <c r="O244" s="43"/>
      <c r="P244" s="44">
        <f t="shared" si="8"/>
        <v>0</v>
      </c>
      <c r="Q244" s="45">
        <f t="shared" si="9"/>
        <v>0</v>
      </c>
      <c r="R244" s="45">
        <f t="shared" si="13"/>
        <v>0</v>
      </c>
      <c r="S244" s="45">
        <f t="shared" si="14"/>
        <v>0</v>
      </c>
      <c r="T244" s="45">
        <f t="shared" si="10"/>
        <v>0</v>
      </c>
      <c r="U244" s="45">
        <f t="shared" si="11"/>
        <v>0</v>
      </c>
      <c r="V244" s="45">
        <f t="shared" si="12"/>
        <v>0</v>
      </c>
      <c r="W244" s="33"/>
      <c r="X244" s="33"/>
      <c r="Y244" s="33"/>
      <c r="Z244" s="33"/>
    </row>
    <row r="245" ht="14.25" customHeight="1">
      <c r="A245" s="46"/>
      <c r="B245" s="50" t="s">
        <v>360</v>
      </c>
      <c r="C245" s="34"/>
      <c r="D245" s="35">
        <v>40.0</v>
      </c>
      <c r="E245" s="36">
        <v>4.0</v>
      </c>
      <c r="F245" s="37">
        <v>33.69</v>
      </c>
      <c r="G245" s="38">
        <f t="shared" si="1"/>
        <v>500</v>
      </c>
      <c r="H245" s="37"/>
      <c r="I245" s="39">
        <v>889.0</v>
      </c>
      <c r="J245" s="40">
        <f t="shared" si="3"/>
        <v>44.45</v>
      </c>
      <c r="K245" s="40">
        <f t="shared" si="4"/>
        <v>146.685</v>
      </c>
      <c r="L245" s="40">
        <f t="shared" si="5"/>
        <v>0</v>
      </c>
      <c r="M245" s="41">
        <f t="shared" si="6"/>
        <v>697.865</v>
      </c>
      <c r="N245" s="42">
        <f t="shared" si="15"/>
        <v>0.785</v>
      </c>
      <c r="O245" s="43"/>
      <c r="P245" s="44">
        <f t="shared" si="8"/>
        <v>0</v>
      </c>
      <c r="Q245" s="45">
        <f t="shared" si="9"/>
        <v>0</v>
      </c>
      <c r="R245" s="45">
        <f t="shared" si="13"/>
        <v>0</v>
      </c>
      <c r="S245" s="45">
        <f t="shared" si="14"/>
        <v>0</v>
      </c>
      <c r="T245" s="45">
        <f t="shared" si="10"/>
        <v>0</v>
      </c>
      <c r="U245" s="45">
        <f t="shared" si="11"/>
        <v>0</v>
      </c>
      <c r="V245" s="45">
        <f t="shared" si="12"/>
        <v>0</v>
      </c>
      <c r="W245" s="33"/>
      <c r="X245" s="33"/>
      <c r="Y245" s="33"/>
      <c r="Z245" s="33"/>
    </row>
    <row r="246" ht="14.25" customHeight="1">
      <c r="A246" s="46"/>
      <c r="B246" s="46" t="s">
        <v>361</v>
      </c>
      <c r="C246" s="46"/>
      <c r="D246" s="35">
        <v>20.0</v>
      </c>
      <c r="E246" s="36"/>
      <c r="F246" s="37"/>
      <c r="G246" s="38">
        <f t="shared" si="1"/>
        <v>250</v>
      </c>
      <c r="H246" s="37"/>
      <c r="I246" s="39">
        <v>850.0</v>
      </c>
      <c r="J246" s="40">
        <f t="shared" si="3"/>
        <v>42.5</v>
      </c>
      <c r="K246" s="40">
        <f t="shared" si="4"/>
        <v>140.25</v>
      </c>
      <c r="L246" s="40">
        <f t="shared" si="5"/>
        <v>0</v>
      </c>
      <c r="M246" s="41">
        <f t="shared" si="6"/>
        <v>667.25</v>
      </c>
      <c r="N246" s="42">
        <f t="shared" si="15"/>
        <v>0.785</v>
      </c>
      <c r="O246" s="43"/>
      <c r="P246" s="44">
        <f t="shared" si="8"/>
        <v>0</v>
      </c>
      <c r="Q246" s="45">
        <f t="shared" si="9"/>
        <v>0</v>
      </c>
      <c r="R246" s="45">
        <f t="shared" si="13"/>
        <v>0</v>
      </c>
      <c r="S246" s="45">
        <f t="shared" si="14"/>
        <v>0</v>
      </c>
      <c r="T246" s="45">
        <f t="shared" si="10"/>
        <v>0</v>
      </c>
      <c r="U246" s="45">
        <f t="shared" si="11"/>
        <v>0</v>
      </c>
      <c r="V246" s="45">
        <f t="shared" si="12"/>
        <v>0</v>
      </c>
      <c r="W246" s="33"/>
      <c r="X246" s="33"/>
      <c r="Y246" s="33"/>
      <c r="Z246" s="33"/>
    </row>
    <row r="247" ht="14.25" customHeight="1">
      <c r="A247" s="46"/>
      <c r="B247" s="46" t="s">
        <v>362</v>
      </c>
      <c r="C247" s="46"/>
      <c r="D247" s="35">
        <v>30.0</v>
      </c>
      <c r="E247" s="36">
        <v>70.0</v>
      </c>
      <c r="F247" s="37">
        <v>200.9</v>
      </c>
      <c r="G247" s="38">
        <f t="shared" si="1"/>
        <v>375</v>
      </c>
      <c r="H247" s="37"/>
      <c r="I247" s="39">
        <v>2000.0</v>
      </c>
      <c r="J247" s="40">
        <f t="shared" si="3"/>
        <v>100</v>
      </c>
      <c r="K247" s="40">
        <f t="shared" si="4"/>
        <v>330</v>
      </c>
      <c r="L247" s="40">
        <f t="shared" si="5"/>
        <v>0</v>
      </c>
      <c r="M247" s="41">
        <f t="shared" si="6"/>
        <v>1570</v>
      </c>
      <c r="N247" s="42">
        <f t="shared" si="15"/>
        <v>0.785</v>
      </c>
      <c r="O247" s="43"/>
      <c r="P247" s="44">
        <f t="shared" si="8"/>
        <v>0</v>
      </c>
      <c r="Q247" s="45">
        <f t="shared" si="9"/>
        <v>0</v>
      </c>
      <c r="R247" s="45">
        <f t="shared" si="13"/>
        <v>0</v>
      </c>
      <c r="S247" s="45">
        <f t="shared" si="14"/>
        <v>0</v>
      </c>
      <c r="T247" s="45">
        <f t="shared" si="10"/>
        <v>0</v>
      </c>
      <c r="U247" s="45">
        <f t="shared" si="11"/>
        <v>0</v>
      </c>
      <c r="V247" s="45">
        <f t="shared" si="12"/>
        <v>0</v>
      </c>
      <c r="W247" s="33"/>
      <c r="X247" s="33"/>
      <c r="Y247" s="33"/>
      <c r="Z247" s="33"/>
    </row>
    <row r="248" ht="14.25" customHeight="1">
      <c r="A248" s="34"/>
      <c r="B248" s="46" t="s">
        <v>363</v>
      </c>
      <c r="C248" s="34"/>
      <c r="D248" s="35">
        <v>30.0</v>
      </c>
      <c r="E248" s="36">
        <v>100.0</v>
      </c>
      <c r="F248" s="37">
        <v>287.0</v>
      </c>
      <c r="G248" s="38">
        <f t="shared" si="1"/>
        <v>375</v>
      </c>
      <c r="H248" s="37"/>
      <c r="I248" s="39">
        <v>2500.0</v>
      </c>
      <c r="J248" s="40">
        <f t="shared" si="3"/>
        <v>125</v>
      </c>
      <c r="K248" s="40">
        <f t="shared" si="4"/>
        <v>412.5</v>
      </c>
      <c r="L248" s="40">
        <f t="shared" si="5"/>
        <v>0</v>
      </c>
      <c r="M248" s="41">
        <f t="shared" si="6"/>
        <v>1962.5</v>
      </c>
      <c r="N248" s="42">
        <f t="shared" si="15"/>
        <v>0.785</v>
      </c>
      <c r="O248" s="43"/>
      <c r="P248" s="44">
        <f t="shared" si="8"/>
        <v>0</v>
      </c>
      <c r="Q248" s="45">
        <f t="shared" si="9"/>
        <v>0</v>
      </c>
      <c r="R248" s="45">
        <f t="shared" si="13"/>
        <v>0</v>
      </c>
      <c r="S248" s="45">
        <f t="shared" si="14"/>
        <v>0</v>
      </c>
      <c r="T248" s="45">
        <f t="shared" si="10"/>
        <v>0</v>
      </c>
      <c r="U248" s="45">
        <f t="shared" si="11"/>
        <v>0</v>
      </c>
      <c r="V248" s="45">
        <f t="shared" si="12"/>
        <v>0</v>
      </c>
      <c r="W248" s="33"/>
      <c r="X248" s="33"/>
      <c r="Y248" s="33"/>
      <c r="Z248" s="33"/>
    </row>
    <row r="249" ht="14.25" customHeight="1">
      <c r="A249" s="46"/>
      <c r="B249" s="46" t="s">
        <v>364</v>
      </c>
      <c r="C249" s="46"/>
      <c r="D249" s="35">
        <v>30.0</v>
      </c>
      <c r="E249" s="36">
        <v>50.0</v>
      </c>
      <c r="F249" s="37">
        <v>143.5</v>
      </c>
      <c r="G249" s="38">
        <f t="shared" si="1"/>
        <v>375</v>
      </c>
      <c r="H249" s="37"/>
      <c r="I249" s="39">
        <v>1800.0</v>
      </c>
      <c r="J249" s="40">
        <f t="shared" si="3"/>
        <v>90</v>
      </c>
      <c r="K249" s="40">
        <f t="shared" si="4"/>
        <v>297</v>
      </c>
      <c r="L249" s="40">
        <f t="shared" si="5"/>
        <v>0</v>
      </c>
      <c r="M249" s="41">
        <f t="shared" si="6"/>
        <v>1413</v>
      </c>
      <c r="N249" s="42">
        <f t="shared" si="15"/>
        <v>0.785</v>
      </c>
      <c r="O249" s="43"/>
      <c r="P249" s="44">
        <f t="shared" si="8"/>
        <v>0</v>
      </c>
      <c r="Q249" s="45">
        <f t="shared" si="9"/>
        <v>0</v>
      </c>
      <c r="R249" s="45">
        <f t="shared" si="13"/>
        <v>0</v>
      </c>
      <c r="S249" s="45">
        <f t="shared" si="14"/>
        <v>0</v>
      </c>
      <c r="T249" s="45">
        <f t="shared" si="10"/>
        <v>0</v>
      </c>
      <c r="U249" s="45">
        <f t="shared" si="11"/>
        <v>0</v>
      </c>
      <c r="V249" s="45">
        <f t="shared" si="12"/>
        <v>0</v>
      </c>
      <c r="W249" s="33"/>
      <c r="X249" s="33"/>
      <c r="Y249" s="33"/>
      <c r="Z249" s="33"/>
    </row>
    <row r="250" ht="14.25" customHeight="1">
      <c r="A250" s="46"/>
      <c r="B250" s="46" t="s">
        <v>365</v>
      </c>
      <c r="C250" s="46"/>
      <c r="D250" s="35">
        <v>30.0</v>
      </c>
      <c r="E250" s="36">
        <v>100.0</v>
      </c>
      <c r="F250" s="37">
        <v>287.0</v>
      </c>
      <c r="G250" s="38">
        <f t="shared" si="1"/>
        <v>375</v>
      </c>
      <c r="H250" s="37"/>
      <c r="I250" s="39">
        <v>3223.0</v>
      </c>
      <c r="J250" s="40">
        <f t="shared" si="3"/>
        <v>161.15</v>
      </c>
      <c r="K250" s="40">
        <f t="shared" si="4"/>
        <v>531.795</v>
      </c>
      <c r="L250" s="40">
        <f t="shared" si="5"/>
        <v>0</v>
      </c>
      <c r="M250" s="41">
        <f t="shared" si="6"/>
        <v>2530.055</v>
      </c>
      <c r="N250" s="42">
        <f t="shared" si="15"/>
        <v>0.785</v>
      </c>
      <c r="O250" s="43"/>
      <c r="P250" s="44">
        <f t="shared" si="8"/>
        <v>0</v>
      </c>
      <c r="Q250" s="45">
        <f t="shared" si="9"/>
        <v>0</v>
      </c>
      <c r="R250" s="45">
        <f t="shared" si="13"/>
        <v>0</v>
      </c>
      <c r="S250" s="45">
        <f t="shared" si="14"/>
        <v>0</v>
      </c>
      <c r="T250" s="45">
        <f t="shared" si="10"/>
        <v>0</v>
      </c>
      <c r="U250" s="45">
        <f t="shared" si="11"/>
        <v>0</v>
      </c>
      <c r="V250" s="45">
        <f t="shared" si="12"/>
        <v>0</v>
      </c>
      <c r="W250" s="33"/>
      <c r="X250" s="33"/>
      <c r="Y250" s="33"/>
      <c r="Z250" s="33"/>
    </row>
    <row r="251" ht="14.25" customHeight="1">
      <c r="A251" s="46"/>
      <c r="B251" s="46" t="s">
        <v>366</v>
      </c>
      <c r="C251" s="46"/>
      <c r="D251" s="35">
        <v>30.0</v>
      </c>
      <c r="E251" s="36">
        <v>150.0</v>
      </c>
      <c r="F251" s="37">
        <v>430.5</v>
      </c>
      <c r="G251" s="38">
        <f t="shared" si="1"/>
        <v>375</v>
      </c>
      <c r="H251" s="37"/>
      <c r="I251" s="39">
        <v>3223.0</v>
      </c>
      <c r="J251" s="40">
        <f t="shared" si="3"/>
        <v>161.15</v>
      </c>
      <c r="K251" s="40">
        <f t="shared" si="4"/>
        <v>531.795</v>
      </c>
      <c r="L251" s="40">
        <f t="shared" si="5"/>
        <v>0</v>
      </c>
      <c r="M251" s="41">
        <f t="shared" si="6"/>
        <v>2530.055</v>
      </c>
      <c r="N251" s="42">
        <f t="shared" si="15"/>
        <v>0.785</v>
      </c>
      <c r="O251" s="43"/>
      <c r="P251" s="44">
        <f t="shared" si="8"/>
        <v>0</v>
      </c>
      <c r="Q251" s="45">
        <f t="shared" si="9"/>
        <v>0</v>
      </c>
      <c r="R251" s="45">
        <f t="shared" si="13"/>
        <v>0</v>
      </c>
      <c r="S251" s="45">
        <f t="shared" si="14"/>
        <v>0</v>
      </c>
      <c r="T251" s="45">
        <f t="shared" si="10"/>
        <v>0</v>
      </c>
      <c r="U251" s="45">
        <f t="shared" si="11"/>
        <v>0</v>
      </c>
      <c r="V251" s="45">
        <f t="shared" si="12"/>
        <v>0</v>
      </c>
      <c r="W251" s="33"/>
      <c r="X251" s="33"/>
      <c r="Y251" s="33"/>
      <c r="Z251" s="33"/>
    </row>
    <row r="252" ht="14.25" customHeight="1">
      <c r="A252" s="46"/>
      <c r="B252" s="46" t="s">
        <v>367</v>
      </c>
      <c r="C252" s="46"/>
      <c r="D252" s="35">
        <v>30.0</v>
      </c>
      <c r="E252" s="36">
        <v>70.0</v>
      </c>
      <c r="F252" s="37">
        <v>200.9</v>
      </c>
      <c r="G252" s="38">
        <f t="shared" si="1"/>
        <v>375</v>
      </c>
      <c r="H252" s="37"/>
      <c r="I252" s="39">
        <v>2100.0</v>
      </c>
      <c r="J252" s="40">
        <f t="shared" si="3"/>
        <v>105</v>
      </c>
      <c r="K252" s="40">
        <f t="shared" si="4"/>
        <v>346.5</v>
      </c>
      <c r="L252" s="40">
        <f t="shared" si="5"/>
        <v>0</v>
      </c>
      <c r="M252" s="41">
        <f t="shared" si="6"/>
        <v>1648.5</v>
      </c>
      <c r="N252" s="42">
        <f t="shared" si="15"/>
        <v>0.785</v>
      </c>
      <c r="O252" s="43"/>
      <c r="P252" s="44">
        <f t="shared" si="8"/>
        <v>0</v>
      </c>
      <c r="Q252" s="45">
        <f t="shared" si="9"/>
        <v>0</v>
      </c>
      <c r="R252" s="45">
        <f t="shared" si="13"/>
        <v>0</v>
      </c>
      <c r="S252" s="45">
        <f t="shared" si="14"/>
        <v>0</v>
      </c>
      <c r="T252" s="45">
        <f t="shared" si="10"/>
        <v>0</v>
      </c>
      <c r="U252" s="45">
        <f t="shared" si="11"/>
        <v>0</v>
      </c>
      <c r="V252" s="45">
        <f t="shared" si="12"/>
        <v>0</v>
      </c>
      <c r="W252" s="33"/>
      <c r="X252" s="33"/>
      <c r="Y252" s="33"/>
      <c r="Z252" s="33"/>
    </row>
    <row r="253" ht="14.25" customHeight="1">
      <c r="A253" s="46"/>
      <c r="B253" s="46" t="s">
        <v>368</v>
      </c>
      <c r="C253" s="46"/>
      <c r="D253" s="35">
        <v>15.0</v>
      </c>
      <c r="E253" s="36"/>
      <c r="F253" s="37"/>
      <c r="G253" s="38">
        <f t="shared" si="1"/>
        <v>187.5</v>
      </c>
      <c r="H253" s="37"/>
      <c r="I253" s="39">
        <v>800.0</v>
      </c>
      <c r="J253" s="40">
        <f t="shared" si="3"/>
        <v>40</v>
      </c>
      <c r="K253" s="40">
        <f t="shared" si="4"/>
        <v>132</v>
      </c>
      <c r="L253" s="40">
        <f t="shared" si="5"/>
        <v>0</v>
      </c>
      <c r="M253" s="41">
        <f t="shared" si="6"/>
        <v>628</v>
      </c>
      <c r="N253" s="42">
        <f t="shared" si="15"/>
        <v>0.785</v>
      </c>
      <c r="O253" s="43"/>
      <c r="P253" s="44">
        <f t="shared" si="8"/>
        <v>0</v>
      </c>
      <c r="Q253" s="45">
        <f t="shared" si="9"/>
        <v>0</v>
      </c>
      <c r="R253" s="45">
        <f t="shared" si="13"/>
        <v>0</v>
      </c>
      <c r="S253" s="45">
        <f t="shared" si="14"/>
        <v>0</v>
      </c>
      <c r="T253" s="45">
        <f t="shared" si="10"/>
        <v>0</v>
      </c>
      <c r="U253" s="45">
        <f t="shared" si="11"/>
        <v>0</v>
      </c>
      <c r="V253" s="45">
        <f t="shared" si="12"/>
        <v>0</v>
      </c>
      <c r="W253" s="33"/>
      <c r="X253" s="33"/>
      <c r="Y253" s="33"/>
      <c r="Z253" s="33"/>
    </row>
    <row r="254" ht="14.25" customHeight="1">
      <c r="A254" s="46"/>
      <c r="B254" s="46" t="s">
        <v>369</v>
      </c>
      <c r="C254" s="46"/>
      <c r="D254" s="35">
        <v>40.0</v>
      </c>
      <c r="E254" s="36">
        <v>4.0</v>
      </c>
      <c r="F254" s="37">
        <v>11.48</v>
      </c>
      <c r="G254" s="38">
        <f t="shared" si="1"/>
        <v>500</v>
      </c>
      <c r="H254" s="37"/>
      <c r="I254" s="39">
        <v>889.0</v>
      </c>
      <c r="J254" s="40">
        <f t="shared" si="3"/>
        <v>44.45</v>
      </c>
      <c r="K254" s="40">
        <f t="shared" si="4"/>
        <v>146.685</v>
      </c>
      <c r="L254" s="40">
        <f t="shared" si="5"/>
        <v>0</v>
      </c>
      <c r="M254" s="41">
        <f t="shared" si="6"/>
        <v>697.865</v>
      </c>
      <c r="N254" s="42">
        <f t="shared" si="15"/>
        <v>0.785</v>
      </c>
      <c r="O254" s="43"/>
      <c r="P254" s="44">
        <f t="shared" si="8"/>
        <v>0</v>
      </c>
      <c r="Q254" s="45">
        <f t="shared" si="9"/>
        <v>0</v>
      </c>
      <c r="R254" s="45">
        <f t="shared" si="13"/>
        <v>0</v>
      </c>
      <c r="S254" s="45">
        <f t="shared" si="14"/>
        <v>0</v>
      </c>
      <c r="T254" s="45">
        <f t="shared" si="10"/>
        <v>0</v>
      </c>
      <c r="U254" s="45">
        <f t="shared" si="11"/>
        <v>0</v>
      </c>
      <c r="V254" s="45">
        <f t="shared" si="12"/>
        <v>0</v>
      </c>
      <c r="W254" s="33"/>
      <c r="X254" s="33"/>
      <c r="Y254" s="33"/>
      <c r="Z254" s="33"/>
    </row>
    <row r="255" ht="14.25" customHeight="1">
      <c r="A255" s="46"/>
      <c r="B255" s="46" t="s">
        <v>370</v>
      </c>
      <c r="C255" s="46"/>
      <c r="D255" s="35">
        <v>20.0</v>
      </c>
      <c r="E255" s="36"/>
      <c r="F255" s="37"/>
      <c r="G255" s="38">
        <f t="shared" si="1"/>
        <v>250</v>
      </c>
      <c r="H255" s="37"/>
      <c r="I255" s="39">
        <v>850.0</v>
      </c>
      <c r="J255" s="40">
        <f t="shared" si="3"/>
        <v>42.5</v>
      </c>
      <c r="K255" s="40">
        <f t="shared" si="4"/>
        <v>140.25</v>
      </c>
      <c r="L255" s="40">
        <f t="shared" si="5"/>
        <v>0</v>
      </c>
      <c r="M255" s="41">
        <f t="shared" si="6"/>
        <v>667.25</v>
      </c>
      <c r="N255" s="42">
        <f t="shared" si="15"/>
        <v>0.785</v>
      </c>
      <c r="O255" s="43"/>
      <c r="P255" s="44">
        <f t="shared" si="8"/>
        <v>0</v>
      </c>
      <c r="Q255" s="45">
        <f t="shared" si="9"/>
        <v>0</v>
      </c>
      <c r="R255" s="45">
        <f t="shared" si="13"/>
        <v>0</v>
      </c>
      <c r="S255" s="45">
        <f t="shared" si="14"/>
        <v>0</v>
      </c>
      <c r="T255" s="45">
        <f t="shared" si="10"/>
        <v>0</v>
      </c>
      <c r="U255" s="45">
        <f t="shared" si="11"/>
        <v>0</v>
      </c>
      <c r="V255" s="45">
        <f t="shared" si="12"/>
        <v>0</v>
      </c>
      <c r="W255" s="33"/>
      <c r="X255" s="33"/>
      <c r="Y255" s="33"/>
      <c r="Z255" s="33"/>
    </row>
    <row r="256" ht="14.25" customHeight="1">
      <c r="A256" s="34"/>
      <c r="B256" s="46" t="s">
        <v>371</v>
      </c>
      <c r="C256" s="34"/>
      <c r="D256" s="35">
        <v>30.0</v>
      </c>
      <c r="E256" s="36">
        <v>70.0</v>
      </c>
      <c r="F256" s="37">
        <v>493.5</v>
      </c>
      <c r="G256" s="38">
        <f t="shared" si="1"/>
        <v>375</v>
      </c>
      <c r="H256" s="37"/>
      <c r="I256" s="39">
        <v>2000.0</v>
      </c>
      <c r="J256" s="40">
        <f t="shared" si="3"/>
        <v>100</v>
      </c>
      <c r="K256" s="40">
        <f t="shared" si="4"/>
        <v>330</v>
      </c>
      <c r="L256" s="40">
        <f t="shared" si="5"/>
        <v>0</v>
      </c>
      <c r="M256" s="41">
        <f t="shared" si="6"/>
        <v>1570</v>
      </c>
      <c r="N256" s="42">
        <f t="shared" si="15"/>
        <v>0.785</v>
      </c>
      <c r="O256" s="43"/>
      <c r="P256" s="44">
        <f t="shared" si="8"/>
        <v>0</v>
      </c>
      <c r="Q256" s="45">
        <f t="shared" si="9"/>
        <v>0</v>
      </c>
      <c r="R256" s="45">
        <f t="shared" si="13"/>
        <v>0</v>
      </c>
      <c r="S256" s="45">
        <f t="shared" si="14"/>
        <v>0</v>
      </c>
      <c r="T256" s="45">
        <f t="shared" si="10"/>
        <v>0</v>
      </c>
      <c r="U256" s="45">
        <f t="shared" si="11"/>
        <v>0</v>
      </c>
      <c r="V256" s="45">
        <f t="shared" si="12"/>
        <v>0</v>
      </c>
      <c r="W256" s="33"/>
      <c r="X256" s="33"/>
      <c r="Y256" s="33"/>
      <c r="Z256" s="33"/>
    </row>
    <row r="257" ht="14.25" customHeight="1">
      <c r="A257" s="46"/>
      <c r="B257" s="46" t="s">
        <v>372</v>
      </c>
      <c r="C257" s="46"/>
      <c r="D257" s="35">
        <v>30.0</v>
      </c>
      <c r="E257" s="36">
        <v>100.0</v>
      </c>
      <c r="F257" s="37">
        <v>705.0</v>
      </c>
      <c r="G257" s="38">
        <f t="shared" si="1"/>
        <v>375</v>
      </c>
      <c r="H257" s="37"/>
      <c r="I257" s="39">
        <v>2500.0</v>
      </c>
      <c r="J257" s="40">
        <f t="shared" si="3"/>
        <v>125</v>
      </c>
      <c r="K257" s="40">
        <f t="shared" si="4"/>
        <v>412.5</v>
      </c>
      <c r="L257" s="40">
        <f t="shared" si="5"/>
        <v>0</v>
      </c>
      <c r="M257" s="41">
        <f t="shared" si="6"/>
        <v>1962.5</v>
      </c>
      <c r="N257" s="42">
        <f t="shared" si="15"/>
        <v>0.785</v>
      </c>
      <c r="O257" s="43"/>
      <c r="P257" s="44">
        <f t="shared" si="8"/>
        <v>0</v>
      </c>
      <c r="Q257" s="45">
        <f t="shared" si="9"/>
        <v>0</v>
      </c>
      <c r="R257" s="45">
        <f t="shared" si="13"/>
        <v>0</v>
      </c>
      <c r="S257" s="45">
        <f t="shared" si="14"/>
        <v>0</v>
      </c>
      <c r="T257" s="45">
        <f t="shared" si="10"/>
        <v>0</v>
      </c>
      <c r="U257" s="45">
        <f t="shared" si="11"/>
        <v>0</v>
      </c>
      <c r="V257" s="45">
        <f t="shared" si="12"/>
        <v>0</v>
      </c>
      <c r="W257" s="33"/>
      <c r="X257" s="33"/>
      <c r="Y257" s="33"/>
      <c r="Z257" s="33"/>
    </row>
    <row r="258" ht="14.25" customHeight="1">
      <c r="A258" s="46"/>
      <c r="B258" s="46" t="s">
        <v>373</v>
      </c>
      <c r="C258" s="46"/>
      <c r="D258" s="35">
        <v>30.0</v>
      </c>
      <c r="E258" s="36">
        <v>50.0</v>
      </c>
      <c r="F258" s="37">
        <v>352.5</v>
      </c>
      <c r="G258" s="38">
        <f t="shared" si="1"/>
        <v>375</v>
      </c>
      <c r="H258" s="37"/>
      <c r="I258" s="39">
        <v>1800.0</v>
      </c>
      <c r="J258" s="40">
        <f t="shared" si="3"/>
        <v>90</v>
      </c>
      <c r="K258" s="40">
        <f t="shared" si="4"/>
        <v>297</v>
      </c>
      <c r="L258" s="40">
        <f t="shared" si="5"/>
        <v>0</v>
      </c>
      <c r="M258" s="41">
        <f t="shared" si="6"/>
        <v>1413</v>
      </c>
      <c r="N258" s="42">
        <f t="shared" si="15"/>
        <v>0.785</v>
      </c>
      <c r="O258" s="43"/>
      <c r="P258" s="44">
        <f t="shared" si="8"/>
        <v>0</v>
      </c>
      <c r="Q258" s="45">
        <f t="shared" si="9"/>
        <v>0</v>
      </c>
      <c r="R258" s="45">
        <f t="shared" si="13"/>
        <v>0</v>
      </c>
      <c r="S258" s="45">
        <f t="shared" si="14"/>
        <v>0</v>
      </c>
      <c r="T258" s="45">
        <f t="shared" si="10"/>
        <v>0</v>
      </c>
      <c r="U258" s="45">
        <f t="shared" si="11"/>
        <v>0</v>
      </c>
      <c r="V258" s="45">
        <f t="shared" si="12"/>
        <v>0</v>
      </c>
      <c r="W258" s="33"/>
      <c r="X258" s="33"/>
      <c r="Y258" s="33"/>
      <c r="Z258" s="33"/>
    </row>
    <row r="259" ht="14.25" customHeight="1">
      <c r="A259" s="46"/>
      <c r="B259" s="46" t="s">
        <v>374</v>
      </c>
      <c r="C259" s="46"/>
      <c r="D259" s="35">
        <v>30.0</v>
      </c>
      <c r="E259" s="36">
        <v>100.0</v>
      </c>
      <c r="F259" s="37">
        <v>705.0</v>
      </c>
      <c r="G259" s="38">
        <f t="shared" si="1"/>
        <v>375</v>
      </c>
      <c r="H259" s="37"/>
      <c r="I259" s="39">
        <v>3223.0</v>
      </c>
      <c r="J259" s="40">
        <f t="shared" si="3"/>
        <v>161.15</v>
      </c>
      <c r="K259" s="40">
        <f t="shared" si="4"/>
        <v>531.795</v>
      </c>
      <c r="L259" s="40">
        <f t="shared" si="5"/>
        <v>0</v>
      </c>
      <c r="M259" s="41">
        <f t="shared" si="6"/>
        <v>2530.055</v>
      </c>
      <c r="N259" s="42">
        <f t="shared" si="15"/>
        <v>0.785</v>
      </c>
      <c r="O259" s="43"/>
      <c r="P259" s="44">
        <f t="shared" si="8"/>
        <v>0</v>
      </c>
      <c r="Q259" s="45">
        <f t="shared" si="9"/>
        <v>0</v>
      </c>
      <c r="R259" s="45">
        <f t="shared" si="13"/>
        <v>0</v>
      </c>
      <c r="S259" s="45">
        <f t="shared" si="14"/>
        <v>0</v>
      </c>
      <c r="T259" s="45">
        <f t="shared" si="10"/>
        <v>0</v>
      </c>
      <c r="U259" s="45">
        <f t="shared" si="11"/>
        <v>0</v>
      </c>
      <c r="V259" s="45">
        <f t="shared" si="12"/>
        <v>0</v>
      </c>
      <c r="W259" s="33"/>
      <c r="X259" s="33"/>
      <c r="Y259" s="33"/>
      <c r="Z259" s="33"/>
    </row>
    <row r="260" ht="14.25" customHeight="1">
      <c r="A260" s="46"/>
      <c r="B260" s="46" t="s">
        <v>375</v>
      </c>
      <c r="C260" s="46"/>
      <c r="D260" s="35">
        <v>30.0</v>
      </c>
      <c r="E260" s="36">
        <v>150.0</v>
      </c>
      <c r="F260" s="37">
        <v>1057.5</v>
      </c>
      <c r="G260" s="38">
        <f t="shared" si="1"/>
        <v>375</v>
      </c>
      <c r="H260" s="37"/>
      <c r="I260" s="39">
        <v>3223.0</v>
      </c>
      <c r="J260" s="40">
        <f t="shared" si="3"/>
        <v>161.15</v>
      </c>
      <c r="K260" s="40">
        <f t="shared" si="4"/>
        <v>531.795</v>
      </c>
      <c r="L260" s="40">
        <f t="shared" si="5"/>
        <v>0</v>
      </c>
      <c r="M260" s="41">
        <f t="shared" si="6"/>
        <v>2530.055</v>
      </c>
      <c r="N260" s="42">
        <f t="shared" si="15"/>
        <v>0.785</v>
      </c>
      <c r="O260" s="43"/>
      <c r="P260" s="44">
        <f t="shared" si="8"/>
        <v>0</v>
      </c>
      <c r="Q260" s="45">
        <f t="shared" si="9"/>
        <v>0</v>
      </c>
      <c r="R260" s="45">
        <f t="shared" si="13"/>
        <v>0</v>
      </c>
      <c r="S260" s="45">
        <f t="shared" si="14"/>
        <v>0</v>
      </c>
      <c r="T260" s="45">
        <f t="shared" si="10"/>
        <v>0</v>
      </c>
      <c r="U260" s="45">
        <f t="shared" si="11"/>
        <v>0</v>
      </c>
      <c r="V260" s="45">
        <f t="shared" si="12"/>
        <v>0</v>
      </c>
      <c r="W260" s="33"/>
      <c r="X260" s="33"/>
      <c r="Y260" s="33"/>
      <c r="Z260" s="33"/>
    </row>
    <row r="261" ht="14.25" customHeight="1">
      <c r="A261" s="46"/>
      <c r="B261" s="46" t="s">
        <v>376</v>
      </c>
      <c r="C261" s="46"/>
      <c r="D261" s="35">
        <v>30.0</v>
      </c>
      <c r="E261" s="36">
        <v>70.0</v>
      </c>
      <c r="F261" s="37">
        <v>493.5</v>
      </c>
      <c r="G261" s="38">
        <f t="shared" si="1"/>
        <v>375</v>
      </c>
      <c r="H261" s="37"/>
      <c r="I261" s="39">
        <v>2100.0</v>
      </c>
      <c r="J261" s="40">
        <f t="shared" si="3"/>
        <v>105</v>
      </c>
      <c r="K261" s="40">
        <f t="shared" si="4"/>
        <v>346.5</v>
      </c>
      <c r="L261" s="40">
        <f t="shared" si="5"/>
        <v>0</v>
      </c>
      <c r="M261" s="41">
        <f t="shared" si="6"/>
        <v>1648.5</v>
      </c>
      <c r="N261" s="42">
        <f t="shared" si="15"/>
        <v>0.785</v>
      </c>
      <c r="O261" s="43"/>
      <c r="P261" s="44">
        <f t="shared" si="8"/>
        <v>0</v>
      </c>
      <c r="Q261" s="45">
        <f t="shared" si="9"/>
        <v>0</v>
      </c>
      <c r="R261" s="45">
        <f t="shared" si="13"/>
        <v>0</v>
      </c>
      <c r="S261" s="45">
        <f t="shared" si="14"/>
        <v>0</v>
      </c>
      <c r="T261" s="45">
        <f t="shared" si="10"/>
        <v>0</v>
      </c>
      <c r="U261" s="45">
        <f t="shared" si="11"/>
        <v>0</v>
      </c>
      <c r="V261" s="45">
        <f t="shared" si="12"/>
        <v>0</v>
      </c>
      <c r="W261" s="33"/>
      <c r="X261" s="33"/>
      <c r="Y261" s="33"/>
      <c r="Z261" s="33"/>
    </row>
    <row r="262" ht="14.25" customHeight="1">
      <c r="A262" s="46"/>
      <c r="B262" s="46" t="s">
        <v>377</v>
      </c>
      <c r="C262" s="46"/>
      <c r="D262" s="35">
        <v>15.0</v>
      </c>
      <c r="E262" s="36"/>
      <c r="F262" s="37"/>
      <c r="G262" s="38">
        <f t="shared" si="1"/>
        <v>187.5</v>
      </c>
      <c r="H262" s="37"/>
      <c r="I262" s="39">
        <v>800.0</v>
      </c>
      <c r="J262" s="40">
        <f t="shared" si="3"/>
        <v>40</v>
      </c>
      <c r="K262" s="40">
        <f t="shared" si="4"/>
        <v>132</v>
      </c>
      <c r="L262" s="40">
        <f t="shared" si="5"/>
        <v>0</v>
      </c>
      <c r="M262" s="41">
        <f t="shared" si="6"/>
        <v>628</v>
      </c>
      <c r="N262" s="42">
        <f t="shared" si="15"/>
        <v>0.785</v>
      </c>
      <c r="O262" s="43"/>
      <c r="P262" s="44">
        <f t="shared" si="8"/>
        <v>0</v>
      </c>
      <c r="Q262" s="45">
        <f t="shared" si="9"/>
        <v>0</v>
      </c>
      <c r="R262" s="45">
        <f t="shared" si="13"/>
        <v>0</v>
      </c>
      <c r="S262" s="45">
        <f t="shared" si="14"/>
        <v>0</v>
      </c>
      <c r="T262" s="45">
        <f t="shared" si="10"/>
        <v>0</v>
      </c>
      <c r="U262" s="45">
        <f t="shared" si="11"/>
        <v>0</v>
      </c>
      <c r="V262" s="45">
        <f t="shared" si="12"/>
        <v>0</v>
      </c>
      <c r="W262" s="33"/>
      <c r="X262" s="33"/>
      <c r="Y262" s="33"/>
      <c r="Z262" s="33"/>
    </row>
    <row r="263" ht="14.25" customHeight="1">
      <c r="A263" s="46"/>
      <c r="B263" s="46" t="s">
        <v>378</v>
      </c>
      <c r="C263" s="46"/>
      <c r="D263" s="35">
        <v>40.0</v>
      </c>
      <c r="E263" s="36">
        <v>4.0</v>
      </c>
      <c r="F263" s="37">
        <v>28.2</v>
      </c>
      <c r="G263" s="38">
        <f t="shared" si="1"/>
        <v>500</v>
      </c>
      <c r="H263" s="37"/>
      <c r="I263" s="39">
        <v>889.0</v>
      </c>
      <c r="J263" s="40">
        <f t="shared" si="3"/>
        <v>44.45</v>
      </c>
      <c r="K263" s="40">
        <f t="shared" si="4"/>
        <v>146.685</v>
      </c>
      <c r="L263" s="40">
        <f t="shared" si="5"/>
        <v>0</v>
      </c>
      <c r="M263" s="41">
        <f t="shared" si="6"/>
        <v>697.865</v>
      </c>
      <c r="N263" s="42">
        <f t="shared" si="15"/>
        <v>0.785</v>
      </c>
      <c r="O263" s="43"/>
      <c r="P263" s="44">
        <f t="shared" si="8"/>
        <v>0</v>
      </c>
      <c r="Q263" s="45">
        <f t="shared" si="9"/>
        <v>0</v>
      </c>
      <c r="R263" s="45">
        <f t="shared" si="13"/>
        <v>0</v>
      </c>
      <c r="S263" s="45">
        <f t="shared" si="14"/>
        <v>0</v>
      </c>
      <c r="T263" s="45">
        <f t="shared" si="10"/>
        <v>0</v>
      </c>
      <c r="U263" s="45">
        <f t="shared" si="11"/>
        <v>0</v>
      </c>
      <c r="V263" s="45">
        <f t="shared" si="12"/>
        <v>0</v>
      </c>
      <c r="W263" s="33"/>
      <c r="X263" s="33"/>
      <c r="Y263" s="33"/>
      <c r="Z263" s="33"/>
    </row>
    <row r="264" ht="14.25" customHeight="1">
      <c r="A264" s="33"/>
      <c r="B264" s="33"/>
      <c r="C264" s="33"/>
      <c r="D264" s="33"/>
      <c r="E264" s="54"/>
      <c r="F264" s="33"/>
      <c r="G264" s="33"/>
      <c r="H264" s="33"/>
      <c r="I264" s="33"/>
      <c r="J264" s="33"/>
      <c r="K264" s="33"/>
      <c r="L264" s="33"/>
      <c r="M264" s="33"/>
      <c r="N264" s="33"/>
      <c r="O264" s="55"/>
      <c r="P264" s="56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4.25" customHeight="1">
      <c r="A265" s="33"/>
      <c r="B265" s="33"/>
      <c r="C265" s="33"/>
      <c r="D265" s="33"/>
      <c r="E265" s="54"/>
      <c r="F265" s="33"/>
      <c r="G265" s="33"/>
      <c r="H265" s="33"/>
      <c r="I265" s="33"/>
      <c r="J265" s="33"/>
      <c r="K265" s="33"/>
      <c r="L265" s="33"/>
      <c r="M265" s="33"/>
      <c r="N265" s="33"/>
      <c r="O265" s="55"/>
      <c r="P265" s="56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4.25" customHeight="1">
      <c r="A266" s="33"/>
      <c r="B266" s="33"/>
      <c r="C266" s="33"/>
      <c r="D266" s="33"/>
      <c r="E266" s="54"/>
      <c r="F266" s="33"/>
      <c r="G266" s="33"/>
      <c r="H266" s="33"/>
      <c r="I266" s="33"/>
      <c r="J266" s="33"/>
      <c r="K266" s="33"/>
      <c r="L266" s="33"/>
      <c r="M266" s="33"/>
      <c r="N266" s="33"/>
      <c r="O266" s="55"/>
      <c r="P266" s="56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4.25" customHeight="1">
      <c r="A267" s="33"/>
      <c r="B267" s="33"/>
      <c r="C267" s="33"/>
      <c r="D267" s="33"/>
      <c r="E267" s="54"/>
      <c r="F267" s="33"/>
      <c r="G267" s="33"/>
      <c r="H267" s="33"/>
      <c r="I267" s="33"/>
      <c r="J267" s="33"/>
      <c r="K267" s="33"/>
      <c r="L267" s="33"/>
      <c r="M267" s="33"/>
      <c r="N267" s="33"/>
      <c r="O267" s="55"/>
      <c r="P267" s="56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4.25" customHeight="1">
      <c r="A268" s="33"/>
      <c r="B268" s="33"/>
      <c r="C268" s="33"/>
      <c r="D268" s="33"/>
      <c r="E268" s="54"/>
      <c r="F268" s="33"/>
      <c r="G268" s="33"/>
      <c r="H268" s="33"/>
      <c r="I268" s="33"/>
      <c r="J268" s="33"/>
      <c r="K268" s="33"/>
      <c r="L268" s="33"/>
      <c r="M268" s="33"/>
      <c r="N268" s="33"/>
      <c r="O268" s="55"/>
      <c r="P268" s="56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4.25" customHeight="1">
      <c r="A269" s="33"/>
      <c r="B269" s="33"/>
      <c r="C269" s="33"/>
      <c r="D269" s="33"/>
      <c r="E269" s="54"/>
      <c r="F269" s="33"/>
      <c r="G269" s="33"/>
      <c r="H269" s="33"/>
      <c r="I269" s="33"/>
      <c r="J269" s="33"/>
      <c r="K269" s="33"/>
      <c r="L269" s="33"/>
      <c r="M269" s="33"/>
      <c r="N269" s="33"/>
      <c r="O269" s="55"/>
      <c r="P269" s="56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4.25" customHeight="1">
      <c r="A270" s="33"/>
      <c r="B270" s="33"/>
      <c r="C270" s="33"/>
      <c r="D270" s="33"/>
      <c r="E270" s="54"/>
      <c r="F270" s="33"/>
      <c r="G270" s="33"/>
      <c r="H270" s="33"/>
      <c r="I270" s="33"/>
      <c r="J270" s="33"/>
      <c r="K270" s="33"/>
      <c r="L270" s="33"/>
      <c r="M270" s="33"/>
      <c r="N270" s="33"/>
      <c r="O270" s="55"/>
      <c r="P270" s="56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4.25" customHeight="1">
      <c r="A271" s="33"/>
      <c r="B271" s="33"/>
      <c r="C271" s="33"/>
      <c r="D271" s="33"/>
      <c r="E271" s="54"/>
      <c r="F271" s="33"/>
      <c r="G271" s="33"/>
      <c r="H271" s="33"/>
      <c r="I271" s="33"/>
      <c r="J271" s="33"/>
      <c r="K271" s="33"/>
      <c r="L271" s="33"/>
      <c r="M271" s="33"/>
      <c r="N271" s="33"/>
      <c r="O271" s="55"/>
      <c r="P271" s="56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4.25" customHeight="1">
      <c r="A272" s="33"/>
      <c r="B272" s="33"/>
      <c r="C272" s="33"/>
      <c r="D272" s="33"/>
      <c r="E272" s="54"/>
      <c r="F272" s="33"/>
      <c r="G272" s="33"/>
      <c r="H272" s="33"/>
      <c r="I272" s="33"/>
      <c r="J272" s="33"/>
      <c r="K272" s="33"/>
      <c r="L272" s="33"/>
      <c r="M272" s="33"/>
      <c r="N272" s="33"/>
      <c r="O272" s="55"/>
      <c r="P272" s="56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4.25" customHeight="1">
      <c r="A273" s="33"/>
      <c r="B273" s="33"/>
      <c r="C273" s="33"/>
      <c r="D273" s="33"/>
      <c r="E273" s="54"/>
      <c r="F273" s="33"/>
      <c r="G273" s="33"/>
      <c r="H273" s="33"/>
      <c r="I273" s="33"/>
      <c r="J273" s="33"/>
      <c r="K273" s="33"/>
      <c r="L273" s="33"/>
      <c r="M273" s="33"/>
      <c r="N273" s="33"/>
      <c r="O273" s="55"/>
      <c r="P273" s="56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4.25" customHeight="1">
      <c r="A274" s="33"/>
      <c r="B274" s="33"/>
      <c r="C274" s="33"/>
      <c r="D274" s="33"/>
      <c r="E274" s="54"/>
      <c r="F274" s="33"/>
      <c r="G274" s="33"/>
      <c r="H274" s="33"/>
      <c r="I274" s="33"/>
      <c r="J274" s="33"/>
      <c r="K274" s="33"/>
      <c r="L274" s="33"/>
      <c r="M274" s="33"/>
      <c r="N274" s="33"/>
      <c r="O274" s="55"/>
      <c r="P274" s="56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4.25" customHeight="1">
      <c r="A275" s="33"/>
      <c r="B275" s="33"/>
      <c r="C275" s="33"/>
      <c r="D275" s="33"/>
      <c r="E275" s="54"/>
      <c r="F275" s="33"/>
      <c r="G275" s="33"/>
      <c r="H275" s="33"/>
      <c r="I275" s="33"/>
      <c r="J275" s="33"/>
      <c r="K275" s="33"/>
      <c r="L275" s="33"/>
      <c r="M275" s="33"/>
      <c r="N275" s="33"/>
      <c r="O275" s="55"/>
      <c r="P275" s="56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4.25" customHeight="1">
      <c r="A276" s="33"/>
      <c r="B276" s="33"/>
      <c r="C276" s="33"/>
      <c r="D276" s="33"/>
      <c r="E276" s="54"/>
      <c r="F276" s="33"/>
      <c r="G276" s="33"/>
      <c r="H276" s="33"/>
      <c r="I276" s="33"/>
      <c r="J276" s="33"/>
      <c r="K276" s="33"/>
      <c r="L276" s="33"/>
      <c r="M276" s="33"/>
      <c r="N276" s="33"/>
      <c r="O276" s="55"/>
      <c r="P276" s="56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4.25" customHeight="1">
      <c r="A277" s="33"/>
      <c r="B277" s="33"/>
      <c r="C277" s="33"/>
      <c r="D277" s="33"/>
      <c r="E277" s="54"/>
      <c r="F277" s="33"/>
      <c r="G277" s="33"/>
      <c r="H277" s="33"/>
      <c r="I277" s="33"/>
      <c r="J277" s="33"/>
      <c r="K277" s="33"/>
      <c r="L277" s="33"/>
      <c r="M277" s="33"/>
      <c r="N277" s="33"/>
      <c r="O277" s="55"/>
      <c r="P277" s="56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4.25" customHeight="1">
      <c r="A278" s="33"/>
      <c r="B278" s="33"/>
      <c r="C278" s="33"/>
      <c r="D278" s="33"/>
      <c r="E278" s="54"/>
      <c r="F278" s="33"/>
      <c r="G278" s="33"/>
      <c r="H278" s="33"/>
      <c r="I278" s="33"/>
      <c r="J278" s="33"/>
      <c r="K278" s="33"/>
      <c r="L278" s="33"/>
      <c r="M278" s="33"/>
      <c r="N278" s="33"/>
      <c r="O278" s="55"/>
      <c r="P278" s="56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4.25" customHeight="1">
      <c r="A279" s="33"/>
      <c r="B279" s="33"/>
      <c r="C279" s="33"/>
      <c r="D279" s="33"/>
      <c r="E279" s="54"/>
      <c r="F279" s="33"/>
      <c r="G279" s="33"/>
      <c r="H279" s="33"/>
      <c r="I279" s="33"/>
      <c r="J279" s="33"/>
      <c r="K279" s="33"/>
      <c r="L279" s="33"/>
      <c r="M279" s="33"/>
      <c r="N279" s="33"/>
      <c r="O279" s="55"/>
      <c r="P279" s="56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4.25" customHeight="1">
      <c r="A280" s="33"/>
      <c r="B280" s="33"/>
      <c r="C280" s="33"/>
      <c r="D280" s="33"/>
      <c r="E280" s="54"/>
      <c r="F280" s="33"/>
      <c r="G280" s="33"/>
      <c r="H280" s="33"/>
      <c r="I280" s="33"/>
      <c r="J280" s="33"/>
      <c r="K280" s="33"/>
      <c r="L280" s="33"/>
      <c r="M280" s="33"/>
      <c r="N280" s="33"/>
      <c r="O280" s="55"/>
      <c r="P280" s="56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4.25" customHeight="1">
      <c r="A281" s="33"/>
      <c r="B281" s="33"/>
      <c r="C281" s="33"/>
      <c r="D281" s="33"/>
      <c r="E281" s="54"/>
      <c r="F281" s="33"/>
      <c r="G281" s="33"/>
      <c r="H281" s="33"/>
      <c r="I281" s="33"/>
      <c r="J281" s="33"/>
      <c r="K281" s="33"/>
      <c r="L281" s="33"/>
      <c r="M281" s="33"/>
      <c r="N281" s="33"/>
      <c r="O281" s="55"/>
      <c r="P281" s="56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4.25" customHeight="1">
      <c r="A282" s="33"/>
      <c r="B282" s="33"/>
      <c r="C282" s="33"/>
      <c r="D282" s="33"/>
      <c r="E282" s="54"/>
      <c r="F282" s="33"/>
      <c r="G282" s="33"/>
      <c r="H282" s="33"/>
      <c r="I282" s="33"/>
      <c r="J282" s="33"/>
      <c r="K282" s="33"/>
      <c r="L282" s="33"/>
      <c r="M282" s="33"/>
      <c r="N282" s="33"/>
      <c r="O282" s="55"/>
      <c r="P282" s="56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4.25" customHeight="1">
      <c r="A283" s="33"/>
      <c r="B283" s="33"/>
      <c r="C283" s="33"/>
      <c r="D283" s="33"/>
      <c r="E283" s="54"/>
      <c r="F283" s="33"/>
      <c r="G283" s="33"/>
      <c r="H283" s="33"/>
      <c r="I283" s="33"/>
      <c r="J283" s="33"/>
      <c r="K283" s="33"/>
      <c r="L283" s="33"/>
      <c r="M283" s="33"/>
      <c r="N283" s="33"/>
      <c r="O283" s="55"/>
      <c r="P283" s="56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4.25" customHeight="1">
      <c r="A284" s="33"/>
      <c r="B284" s="33"/>
      <c r="C284" s="33"/>
      <c r="D284" s="33"/>
      <c r="E284" s="54"/>
      <c r="F284" s="33"/>
      <c r="G284" s="33"/>
      <c r="H284" s="33"/>
      <c r="I284" s="33"/>
      <c r="J284" s="33"/>
      <c r="K284" s="33"/>
      <c r="L284" s="33"/>
      <c r="M284" s="33"/>
      <c r="N284" s="33"/>
      <c r="O284" s="55"/>
      <c r="P284" s="56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4.25" customHeight="1">
      <c r="A285" s="33"/>
      <c r="B285" s="33"/>
      <c r="C285" s="33"/>
      <c r="D285" s="33"/>
      <c r="E285" s="54"/>
      <c r="F285" s="33"/>
      <c r="G285" s="33"/>
      <c r="H285" s="33"/>
      <c r="I285" s="33"/>
      <c r="J285" s="33"/>
      <c r="K285" s="33"/>
      <c r="L285" s="33"/>
      <c r="M285" s="33"/>
      <c r="N285" s="33"/>
      <c r="O285" s="55"/>
      <c r="P285" s="56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4.25" customHeight="1">
      <c r="A286" s="33"/>
      <c r="B286" s="33"/>
      <c r="C286" s="33"/>
      <c r="D286" s="33"/>
      <c r="E286" s="54"/>
      <c r="F286" s="33"/>
      <c r="G286" s="33"/>
      <c r="H286" s="33"/>
      <c r="I286" s="33"/>
      <c r="J286" s="33"/>
      <c r="K286" s="33"/>
      <c r="L286" s="33"/>
      <c r="M286" s="33"/>
      <c r="N286" s="33"/>
      <c r="O286" s="55"/>
      <c r="P286" s="56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4.25" customHeight="1">
      <c r="A287" s="33"/>
      <c r="B287" s="33"/>
      <c r="C287" s="33"/>
      <c r="D287" s="33"/>
      <c r="E287" s="54"/>
      <c r="F287" s="33"/>
      <c r="G287" s="33"/>
      <c r="H287" s="33"/>
      <c r="I287" s="33"/>
      <c r="J287" s="33"/>
      <c r="K287" s="33"/>
      <c r="L287" s="33"/>
      <c r="M287" s="33"/>
      <c r="N287" s="33"/>
      <c r="O287" s="55"/>
      <c r="P287" s="56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4.25" customHeight="1">
      <c r="A288" s="33"/>
      <c r="B288" s="33"/>
      <c r="C288" s="33"/>
      <c r="D288" s="33"/>
      <c r="E288" s="54"/>
      <c r="F288" s="33"/>
      <c r="G288" s="33"/>
      <c r="H288" s="33"/>
      <c r="I288" s="33"/>
      <c r="J288" s="33"/>
      <c r="K288" s="33"/>
      <c r="L288" s="33"/>
      <c r="M288" s="33"/>
      <c r="N288" s="33"/>
      <c r="O288" s="55"/>
      <c r="P288" s="56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4.25" customHeight="1">
      <c r="A289" s="33"/>
      <c r="B289" s="33"/>
      <c r="C289" s="33"/>
      <c r="D289" s="33"/>
      <c r="E289" s="54"/>
      <c r="F289" s="33"/>
      <c r="G289" s="33"/>
      <c r="H289" s="33"/>
      <c r="I289" s="33"/>
      <c r="J289" s="33"/>
      <c r="K289" s="33"/>
      <c r="L289" s="33"/>
      <c r="M289" s="33"/>
      <c r="N289" s="33"/>
      <c r="O289" s="55"/>
      <c r="P289" s="56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4.25" customHeight="1">
      <c r="A290" s="33"/>
      <c r="B290" s="33"/>
      <c r="C290" s="33"/>
      <c r="D290" s="33"/>
      <c r="E290" s="54"/>
      <c r="F290" s="33"/>
      <c r="G290" s="33"/>
      <c r="H290" s="33"/>
      <c r="I290" s="33"/>
      <c r="J290" s="33"/>
      <c r="K290" s="33"/>
      <c r="L290" s="33"/>
      <c r="M290" s="33"/>
      <c r="N290" s="33"/>
      <c r="O290" s="55"/>
      <c r="P290" s="56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4.25" customHeight="1">
      <c r="A291" s="33"/>
      <c r="B291" s="33"/>
      <c r="C291" s="33"/>
      <c r="D291" s="33"/>
      <c r="E291" s="54"/>
      <c r="F291" s="33"/>
      <c r="G291" s="33"/>
      <c r="H291" s="33"/>
      <c r="I291" s="33"/>
      <c r="J291" s="33"/>
      <c r="K291" s="33"/>
      <c r="L291" s="33"/>
      <c r="M291" s="33"/>
      <c r="N291" s="33"/>
      <c r="O291" s="55"/>
      <c r="P291" s="56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4.25" customHeight="1">
      <c r="A292" s="33"/>
      <c r="B292" s="33"/>
      <c r="C292" s="33"/>
      <c r="D292" s="33"/>
      <c r="E292" s="54"/>
      <c r="F292" s="33"/>
      <c r="G292" s="33"/>
      <c r="H292" s="33"/>
      <c r="I292" s="33"/>
      <c r="J292" s="33"/>
      <c r="K292" s="33"/>
      <c r="L292" s="33"/>
      <c r="M292" s="33"/>
      <c r="N292" s="33"/>
      <c r="O292" s="55"/>
      <c r="P292" s="56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4.25" customHeight="1">
      <c r="A293" s="33"/>
      <c r="B293" s="33"/>
      <c r="C293" s="33"/>
      <c r="D293" s="33"/>
      <c r="E293" s="54"/>
      <c r="F293" s="33"/>
      <c r="G293" s="33"/>
      <c r="H293" s="33"/>
      <c r="I293" s="33"/>
      <c r="J293" s="33"/>
      <c r="K293" s="33"/>
      <c r="L293" s="33"/>
      <c r="M293" s="33"/>
      <c r="N293" s="33"/>
      <c r="O293" s="55"/>
      <c r="P293" s="56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4.25" customHeight="1">
      <c r="A294" s="33"/>
      <c r="B294" s="33"/>
      <c r="C294" s="33"/>
      <c r="D294" s="33"/>
      <c r="E294" s="54"/>
      <c r="F294" s="33"/>
      <c r="G294" s="33"/>
      <c r="H294" s="33"/>
      <c r="I294" s="33"/>
      <c r="J294" s="33"/>
      <c r="K294" s="33"/>
      <c r="L294" s="33"/>
      <c r="M294" s="33"/>
      <c r="N294" s="33"/>
      <c r="O294" s="55"/>
      <c r="P294" s="56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4.25" customHeight="1">
      <c r="A295" s="33"/>
      <c r="B295" s="33"/>
      <c r="C295" s="33"/>
      <c r="D295" s="33"/>
      <c r="E295" s="54"/>
      <c r="F295" s="33"/>
      <c r="G295" s="33"/>
      <c r="H295" s="33"/>
      <c r="I295" s="33"/>
      <c r="J295" s="33"/>
      <c r="K295" s="33"/>
      <c r="L295" s="33"/>
      <c r="M295" s="33"/>
      <c r="N295" s="33"/>
      <c r="O295" s="55"/>
      <c r="P295" s="56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4.25" customHeight="1">
      <c r="A296" s="33"/>
      <c r="B296" s="33"/>
      <c r="C296" s="33"/>
      <c r="D296" s="33"/>
      <c r="E296" s="54"/>
      <c r="F296" s="33"/>
      <c r="G296" s="33"/>
      <c r="H296" s="33"/>
      <c r="I296" s="33"/>
      <c r="J296" s="33"/>
      <c r="K296" s="33"/>
      <c r="L296" s="33"/>
      <c r="M296" s="33"/>
      <c r="N296" s="33"/>
      <c r="O296" s="55"/>
      <c r="P296" s="56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4.25" customHeight="1">
      <c r="A297" s="33"/>
      <c r="B297" s="33"/>
      <c r="C297" s="33"/>
      <c r="D297" s="33"/>
      <c r="E297" s="54"/>
      <c r="F297" s="33"/>
      <c r="G297" s="33"/>
      <c r="H297" s="33"/>
      <c r="I297" s="33"/>
      <c r="J297" s="33"/>
      <c r="K297" s="33"/>
      <c r="L297" s="33"/>
      <c r="M297" s="33"/>
      <c r="N297" s="33"/>
      <c r="O297" s="55"/>
      <c r="P297" s="56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4.25" customHeight="1">
      <c r="A298" s="33"/>
      <c r="B298" s="33"/>
      <c r="C298" s="33"/>
      <c r="D298" s="33"/>
      <c r="E298" s="54"/>
      <c r="F298" s="33"/>
      <c r="G298" s="33"/>
      <c r="H298" s="33"/>
      <c r="I298" s="33"/>
      <c r="J298" s="33"/>
      <c r="K298" s="33"/>
      <c r="L298" s="33"/>
      <c r="M298" s="33"/>
      <c r="N298" s="33"/>
      <c r="O298" s="55"/>
      <c r="P298" s="56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4.25" customHeight="1">
      <c r="A299" s="33"/>
      <c r="B299" s="33"/>
      <c r="C299" s="33"/>
      <c r="D299" s="33"/>
      <c r="E299" s="54"/>
      <c r="F299" s="33"/>
      <c r="G299" s="33"/>
      <c r="H299" s="33"/>
      <c r="I299" s="33"/>
      <c r="J299" s="33"/>
      <c r="K299" s="33"/>
      <c r="L299" s="33"/>
      <c r="M299" s="33"/>
      <c r="N299" s="33"/>
      <c r="O299" s="55"/>
      <c r="P299" s="56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4.25" customHeight="1">
      <c r="A300" s="33"/>
      <c r="B300" s="33"/>
      <c r="C300" s="33"/>
      <c r="D300" s="33"/>
      <c r="E300" s="54"/>
      <c r="F300" s="33"/>
      <c r="G300" s="33"/>
      <c r="H300" s="33"/>
      <c r="I300" s="33"/>
      <c r="J300" s="33"/>
      <c r="K300" s="33"/>
      <c r="L300" s="33"/>
      <c r="M300" s="33"/>
      <c r="N300" s="33"/>
      <c r="O300" s="55"/>
      <c r="P300" s="56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4.25" customHeight="1">
      <c r="A301" s="33"/>
      <c r="B301" s="33"/>
      <c r="C301" s="33"/>
      <c r="D301" s="33"/>
      <c r="E301" s="54"/>
      <c r="F301" s="33"/>
      <c r="G301" s="33"/>
      <c r="H301" s="33"/>
      <c r="I301" s="33"/>
      <c r="J301" s="33"/>
      <c r="K301" s="33"/>
      <c r="L301" s="33"/>
      <c r="M301" s="33"/>
      <c r="N301" s="33"/>
      <c r="O301" s="55"/>
      <c r="P301" s="56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4.25" customHeight="1">
      <c r="A302" s="33"/>
      <c r="B302" s="33"/>
      <c r="C302" s="33"/>
      <c r="D302" s="33"/>
      <c r="E302" s="54"/>
      <c r="F302" s="33"/>
      <c r="G302" s="33"/>
      <c r="H302" s="33"/>
      <c r="I302" s="33"/>
      <c r="J302" s="33"/>
      <c r="K302" s="33"/>
      <c r="L302" s="33"/>
      <c r="M302" s="33"/>
      <c r="N302" s="33"/>
      <c r="O302" s="55"/>
      <c r="P302" s="56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4.25" customHeight="1">
      <c r="A303" s="33"/>
      <c r="B303" s="33"/>
      <c r="C303" s="33"/>
      <c r="D303" s="33"/>
      <c r="E303" s="54"/>
      <c r="F303" s="33"/>
      <c r="G303" s="33"/>
      <c r="H303" s="33"/>
      <c r="I303" s="33"/>
      <c r="J303" s="33"/>
      <c r="K303" s="33"/>
      <c r="L303" s="33"/>
      <c r="M303" s="33"/>
      <c r="N303" s="33"/>
      <c r="O303" s="55"/>
      <c r="P303" s="56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4.25" customHeight="1">
      <c r="A304" s="33"/>
      <c r="B304" s="33"/>
      <c r="C304" s="33"/>
      <c r="D304" s="33"/>
      <c r="E304" s="54"/>
      <c r="F304" s="33"/>
      <c r="G304" s="33"/>
      <c r="H304" s="33"/>
      <c r="I304" s="33"/>
      <c r="J304" s="33"/>
      <c r="K304" s="33"/>
      <c r="L304" s="33"/>
      <c r="M304" s="33"/>
      <c r="N304" s="33"/>
      <c r="O304" s="55"/>
      <c r="P304" s="56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4.25" customHeight="1">
      <c r="A305" s="33"/>
      <c r="B305" s="33"/>
      <c r="C305" s="33"/>
      <c r="D305" s="33"/>
      <c r="E305" s="54"/>
      <c r="F305" s="33"/>
      <c r="G305" s="33"/>
      <c r="H305" s="33"/>
      <c r="I305" s="33"/>
      <c r="J305" s="33"/>
      <c r="K305" s="33"/>
      <c r="L305" s="33"/>
      <c r="M305" s="33"/>
      <c r="N305" s="33"/>
      <c r="O305" s="55"/>
      <c r="P305" s="56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4.25" customHeight="1">
      <c r="A306" s="33"/>
      <c r="B306" s="33"/>
      <c r="C306" s="33"/>
      <c r="D306" s="33"/>
      <c r="E306" s="54"/>
      <c r="F306" s="33"/>
      <c r="G306" s="33"/>
      <c r="H306" s="33"/>
      <c r="I306" s="33"/>
      <c r="J306" s="33"/>
      <c r="K306" s="33"/>
      <c r="L306" s="33"/>
      <c r="M306" s="33"/>
      <c r="N306" s="33"/>
      <c r="O306" s="55"/>
      <c r="P306" s="56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4.25" customHeight="1">
      <c r="A307" s="33"/>
      <c r="B307" s="33"/>
      <c r="C307" s="33"/>
      <c r="D307" s="33"/>
      <c r="E307" s="54"/>
      <c r="F307" s="33"/>
      <c r="G307" s="33"/>
      <c r="H307" s="33"/>
      <c r="I307" s="33"/>
      <c r="J307" s="33"/>
      <c r="K307" s="33"/>
      <c r="L307" s="33"/>
      <c r="M307" s="33"/>
      <c r="N307" s="33"/>
      <c r="O307" s="55"/>
      <c r="P307" s="56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4.25" customHeight="1">
      <c r="A308" s="33"/>
      <c r="B308" s="33"/>
      <c r="C308" s="33"/>
      <c r="D308" s="33"/>
      <c r="E308" s="54"/>
      <c r="F308" s="33"/>
      <c r="G308" s="33"/>
      <c r="H308" s="33"/>
      <c r="I308" s="33"/>
      <c r="J308" s="33"/>
      <c r="K308" s="33"/>
      <c r="L308" s="33"/>
      <c r="M308" s="33"/>
      <c r="N308" s="33"/>
      <c r="O308" s="55"/>
      <c r="P308" s="56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4.25" customHeight="1">
      <c r="A309" s="33"/>
      <c r="B309" s="33"/>
      <c r="C309" s="33"/>
      <c r="D309" s="33"/>
      <c r="E309" s="54"/>
      <c r="F309" s="33"/>
      <c r="G309" s="33"/>
      <c r="H309" s="33"/>
      <c r="I309" s="33"/>
      <c r="J309" s="33"/>
      <c r="K309" s="33"/>
      <c r="L309" s="33"/>
      <c r="M309" s="33"/>
      <c r="N309" s="33"/>
      <c r="O309" s="55"/>
      <c r="P309" s="56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4.25" customHeight="1">
      <c r="A310" s="33"/>
      <c r="B310" s="33"/>
      <c r="C310" s="33"/>
      <c r="D310" s="33"/>
      <c r="E310" s="54"/>
      <c r="F310" s="33"/>
      <c r="G310" s="33"/>
      <c r="H310" s="33"/>
      <c r="I310" s="33"/>
      <c r="J310" s="33"/>
      <c r="K310" s="33"/>
      <c r="L310" s="33"/>
      <c r="M310" s="33"/>
      <c r="N310" s="33"/>
      <c r="O310" s="55"/>
      <c r="P310" s="56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4.25" customHeight="1">
      <c r="A311" s="33"/>
      <c r="B311" s="33"/>
      <c r="C311" s="33"/>
      <c r="D311" s="33"/>
      <c r="E311" s="54"/>
      <c r="F311" s="33"/>
      <c r="G311" s="33"/>
      <c r="H311" s="33"/>
      <c r="I311" s="33"/>
      <c r="J311" s="33"/>
      <c r="K311" s="33"/>
      <c r="L311" s="33"/>
      <c r="M311" s="33"/>
      <c r="N311" s="33"/>
      <c r="O311" s="55"/>
      <c r="P311" s="56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4.25" customHeight="1">
      <c r="A312" s="33"/>
      <c r="B312" s="33"/>
      <c r="C312" s="33"/>
      <c r="D312" s="33"/>
      <c r="E312" s="54"/>
      <c r="F312" s="33"/>
      <c r="G312" s="33"/>
      <c r="H312" s="33"/>
      <c r="I312" s="33"/>
      <c r="J312" s="33"/>
      <c r="K312" s="33"/>
      <c r="L312" s="33"/>
      <c r="M312" s="33"/>
      <c r="N312" s="33"/>
      <c r="O312" s="55"/>
      <c r="P312" s="56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4.25" customHeight="1">
      <c r="A313" s="33"/>
      <c r="B313" s="33"/>
      <c r="C313" s="33"/>
      <c r="D313" s="33"/>
      <c r="E313" s="54"/>
      <c r="F313" s="33"/>
      <c r="G313" s="33"/>
      <c r="H313" s="33"/>
      <c r="I313" s="33"/>
      <c r="J313" s="33"/>
      <c r="K313" s="33"/>
      <c r="L313" s="33"/>
      <c r="M313" s="33"/>
      <c r="N313" s="33"/>
      <c r="O313" s="55"/>
      <c r="P313" s="56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4.25" customHeight="1">
      <c r="A314" s="33"/>
      <c r="B314" s="33"/>
      <c r="C314" s="33"/>
      <c r="D314" s="33"/>
      <c r="E314" s="54"/>
      <c r="F314" s="33"/>
      <c r="G314" s="33"/>
      <c r="H314" s="33"/>
      <c r="I314" s="33"/>
      <c r="J314" s="33"/>
      <c r="K314" s="33"/>
      <c r="L314" s="33"/>
      <c r="M314" s="33"/>
      <c r="N314" s="33"/>
      <c r="O314" s="55"/>
      <c r="P314" s="56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4.25" customHeight="1">
      <c r="A315" s="33"/>
      <c r="B315" s="33"/>
      <c r="C315" s="33"/>
      <c r="D315" s="33"/>
      <c r="E315" s="54"/>
      <c r="F315" s="33"/>
      <c r="G315" s="33"/>
      <c r="H315" s="33"/>
      <c r="I315" s="33"/>
      <c r="J315" s="33"/>
      <c r="K315" s="33"/>
      <c r="L315" s="33"/>
      <c r="M315" s="33"/>
      <c r="N315" s="33"/>
      <c r="O315" s="55"/>
      <c r="P315" s="56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4.25" customHeight="1">
      <c r="A316" s="33"/>
      <c r="B316" s="33"/>
      <c r="C316" s="33"/>
      <c r="D316" s="33"/>
      <c r="E316" s="54"/>
      <c r="F316" s="33"/>
      <c r="G316" s="33"/>
      <c r="H316" s="33"/>
      <c r="I316" s="33"/>
      <c r="J316" s="33"/>
      <c r="K316" s="33"/>
      <c r="L316" s="33"/>
      <c r="M316" s="33"/>
      <c r="N316" s="33"/>
      <c r="O316" s="55"/>
      <c r="P316" s="56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4.25" customHeight="1">
      <c r="A317" s="33"/>
      <c r="B317" s="33"/>
      <c r="C317" s="33"/>
      <c r="D317" s="33"/>
      <c r="E317" s="54"/>
      <c r="F317" s="33"/>
      <c r="G317" s="33"/>
      <c r="H317" s="33"/>
      <c r="I317" s="33"/>
      <c r="J317" s="33"/>
      <c r="K317" s="33"/>
      <c r="L317" s="33"/>
      <c r="M317" s="33"/>
      <c r="N317" s="33"/>
      <c r="O317" s="55"/>
      <c r="P317" s="56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4.25" customHeight="1">
      <c r="A318" s="33"/>
      <c r="B318" s="33"/>
      <c r="C318" s="33"/>
      <c r="D318" s="33"/>
      <c r="E318" s="54"/>
      <c r="F318" s="33"/>
      <c r="G318" s="33"/>
      <c r="H318" s="33"/>
      <c r="I318" s="33"/>
      <c r="J318" s="33"/>
      <c r="K318" s="33"/>
      <c r="L318" s="33"/>
      <c r="M318" s="33"/>
      <c r="N318" s="33"/>
      <c r="O318" s="55"/>
      <c r="P318" s="56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4.25" customHeight="1">
      <c r="A319" s="33"/>
      <c r="B319" s="33"/>
      <c r="C319" s="33"/>
      <c r="D319" s="33"/>
      <c r="E319" s="54"/>
      <c r="F319" s="33"/>
      <c r="G319" s="33"/>
      <c r="H319" s="33"/>
      <c r="I319" s="33"/>
      <c r="J319" s="33"/>
      <c r="K319" s="33"/>
      <c r="L319" s="33"/>
      <c r="M319" s="33"/>
      <c r="N319" s="33"/>
      <c r="O319" s="55"/>
      <c r="P319" s="56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4.25" customHeight="1">
      <c r="A320" s="33"/>
      <c r="B320" s="33"/>
      <c r="C320" s="33"/>
      <c r="D320" s="33"/>
      <c r="E320" s="54"/>
      <c r="F320" s="33"/>
      <c r="G320" s="33"/>
      <c r="H320" s="33"/>
      <c r="I320" s="33"/>
      <c r="J320" s="33"/>
      <c r="K320" s="33"/>
      <c r="L320" s="33"/>
      <c r="M320" s="33"/>
      <c r="N320" s="33"/>
      <c r="O320" s="55"/>
      <c r="P320" s="56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4.25" customHeight="1">
      <c r="A321" s="33"/>
      <c r="B321" s="33"/>
      <c r="C321" s="33"/>
      <c r="D321" s="33"/>
      <c r="E321" s="54"/>
      <c r="F321" s="33"/>
      <c r="G321" s="33"/>
      <c r="H321" s="33"/>
      <c r="I321" s="33"/>
      <c r="J321" s="33"/>
      <c r="K321" s="33"/>
      <c r="L321" s="33"/>
      <c r="M321" s="33"/>
      <c r="N321" s="33"/>
      <c r="O321" s="55"/>
      <c r="P321" s="56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4.25" customHeight="1">
      <c r="A322" s="33"/>
      <c r="B322" s="33"/>
      <c r="C322" s="33"/>
      <c r="D322" s="33"/>
      <c r="E322" s="54"/>
      <c r="F322" s="33"/>
      <c r="G322" s="33"/>
      <c r="H322" s="33"/>
      <c r="I322" s="33"/>
      <c r="J322" s="33"/>
      <c r="K322" s="33"/>
      <c r="L322" s="33"/>
      <c r="M322" s="33"/>
      <c r="N322" s="33"/>
      <c r="O322" s="55"/>
      <c r="P322" s="56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4.25" customHeight="1">
      <c r="A323" s="33"/>
      <c r="B323" s="33"/>
      <c r="C323" s="33"/>
      <c r="D323" s="33"/>
      <c r="E323" s="54"/>
      <c r="F323" s="33"/>
      <c r="G323" s="33"/>
      <c r="H323" s="33"/>
      <c r="I323" s="33"/>
      <c r="J323" s="33"/>
      <c r="K323" s="33"/>
      <c r="L323" s="33"/>
      <c r="M323" s="33"/>
      <c r="N323" s="33"/>
      <c r="O323" s="55"/>
      <c r="P323" s="56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4.25" customHeight="1">
      <c r="A324" s="33"/>
      <c r="B324" s="33"/>
      <c r="C324" s="33"/>
      <c r="D324" s="33"/>
      <c r="E324" s="54"/>
      <c r="F324" s="33"/>
      <c r="G324" s="33"/>
      <c r="H324" s="33"/>
      <c r="I324" s="33"/>
      <c r="J324" s="33"/>
      <c r="K324" s="33"/>
      <c r="L324" s="33"/>
      <c r="M324" s="33"/>
      <c r="N324" s="33"/>
      <c r="O324" s="55"/>
      <c r="P324" s="56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4.25" customHeight="1">
      <c r="A325" s="33"/>
      <c r="B325" s="33"/>
      <c r="C325" s="33"/>
      <c r="D325" s="33"/>
      <c r="E325" s="54"/>
      <c r="F325" s="33"/>
      <c r="G325" s="33"/>
      <c r="H325" s="33"/>
      <c r="I325" s="33"/>
      <c r="J325" s="33"/>
      <c r="K325" s="33"/>
      <c r="L325" s="33"/>
      <c r="M325" s="33"/>
      <c r="N325" s="33"/>
      <c r="O325" s="55"/>
      <c r="P325" s="56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4.25" customHeight="1">
      <c r="A326" s="33"/>
      <c r="B326" s="33"/>
      <c r="C326" s="33"/>
      <c r="D326" s="33"/>
      <c r="E326" s="54"/>
      <c r="F326" s="33"/>
      <c r="G326" s="33"/>
      <c r="H326" s="33"/>
      <c r="I326" s="33"/>
      <c r="J326" s="33"/>
      <c r="K326" s="33"/>
      <c r="L326" s="33"/>
      <c r="M326" s="33"/>
      <c r="N326" s="33"/>
      <c r="O326" s="55"/>
      <c r="P326" s="56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4.25" customHeight="1">
      <c r="A327" s="33"/>
      <c r="B327" s="33"/>
      <c r="C327" s="33"/>
      <c r="D327" s="33"/>
      <c r="E327" s="54"/>
      <c r="F327" s="33"/>
      <c r="G327" s="33"/>
      <c r="H327" s="33"/>
      <c r="I327" s="33"/>
      <c r="J327" s="33"/>
      <c r="K327" s="33"/>
      <c r="L327" s="33"/>
      <c r="M327" s="33"/>
      <c r="N327" s="33"/>
      <c r="O327" s="55"/>
      <c r="P327" s="56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4.25" customHeight="1">
      <c r="A328" s="33"/>
      <c r="B328" s="33"/>
      <c r="C328" s="33"/>
      <c r="D328" s="33"/>
      <c r="E328" s="54"/>
      <c r="F328" s="33"/>
      <c r="G328" s="33"/>
      <c r="H328" s="33"/>
      <c r="I328" s="33"/>
      <c r="J328" s="33"/>
      <c r="K328" s="33"/>
      <c r="L328" s="33"/>
      <c r="M328" s="33"/>
      <c r="N328" s="33"/>
      <c r="O328" s="55"/>
      <c r="P328" s="56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4.25" customHeight="1">
      <c r="A329" s="33"/>
      <c r="B329" s="33"/>
      <c r="C329" s="33"/>
      <c r="D329" s="33"/>
      <c r="E329" s="54"/>
      <c r="F329" s="33"/>
      <c r="G329" s="33"/>
      <c r="H329" s="33"/>
      <c r="I329" s="33"/>
      <c r="J329" s="33"/>
      <c r="K329" s="33"/>
      <c r="L329" s="33"/>
      <c r="M329" s="33"/>
      <c r="N329" s="33"/>
      <c r="O329" s="55"/>
      <c r="P329" s="56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4.25" customHeight="1">
      <c r="A330" s="33"/>
      <c r="B330" s="33"/>
      <c r="C330" s="33"/>
      <c r="D330" s="33"/>
      <c r="E330" s="54"/>
      <c r="F330" s="33"/>
      <c r="G330" s="33"/>
      <c r="H330" s="33"/>
      <c r="I330" s="33"/>
      <c r="J330" s="33"/>
      <c r="K330" s="33"/>
      <c r="L330" s="33"/>
      <c r="M330" s="33"/>
      <c r="N330" s="33"/>
      <c r="O330" s="55"/>
      <c r="P330" s="56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4.25" customHeight="1">
      <c r="A331" s="33"/>
      <c r="B331" s="33"/>
      <c r="C331" s="33"/>
      <c r="D331" s="33"/>
      <c r="E331" s="54"/>
      <c r="F331" s="33"/>
      <c r="G331" s="33"/>
      <c r="H331" s="33"/>
      <c r="I331" s="33"/>
      <c r="J331" s="33"/>
      <c r="K331" s="33"/>
      <c r="L331" s="33"/>
      <c r="M331" s="33"/>
      <c r="N331" s="33"/>
      <c r="O331" s="55"/>
      <c r="P331" s="56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4.25" customHeight="1">
      <c r="A332" s="33"/>
      <c r="B332" s="33"/>
      <c r="C332" s="33"/>
      <c r="D332" s="33"/>
      <c r="E332" s="54"/>
      <c r="F332" s="33"/>
      <c r="G332" s="33"/>
      <c r="H332" s="33"/>
      <c r="I332" s="33"/>
      <c r="J332" s="33"/>
      <c r="K332" s="33"/>
      <c r="L332" s="33"/>
      <c r="M332" s="33"/>
      <c r="N332" s="33"/>
      <c r="O332" s="55"/>
      <c r="P332" s="56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4.25" customHeight="1">
      <c r="A333" s="33"/>
      <c r="B333" s="33"/>
      <c r="C333" s="33"/>
      <c r="D333" s="33"/>
      <c r="E333" s="54"/>
      <c r="F333" s="33"/>
      <c r="G333" s="33"/>
      <c r="H333" s="33"/>
      <c r="I333" s="33"/>
      <c r="J333" s="33"/>
      <c r="K333" s="33"/>
      <c r="L333" s="33"/>
      <c r="M333" s="33"/>
      <c r="N333" s="33"/>
      <c r="O333" s="55"/>
      <c r="P333" s="56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4.25" customHeight="1">
      <c r="A334" s="33"/>
      <c r="B334" s="33"/>
      <c r="C334" s="33"/>
      <c r="D334" s="33"/>
      <c r="E334" s="54"/>
      <c r="F334" s="33"/>
      <c r="G334" s="33"/>
      <c r="H334" s="33"/>
      <c r="I334" s="33"/>
      <c r="J334" s="33"/>
      <c r="K334" s="33"/>
      <c r="L334" s="33"/>
      <c r="M334" s="33"/>
      <c r="N334" s="33"/>
      <c r="O334" s="55"/>
      <c r="P334" s="56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4.25" customHeight="1">
      <c r="A335" s="33"/>
      <c r="B335" s="33"/>
      <c r="C335" s="33"/>
      <c r="D335" s="33"/>
      <c r="E335" s="54"/>
      <c r="F335" s="33"/>
      <c r="G335" s="33"/>
      <c r="H335" s="33"/>
      <c r="I335" s="33"/>
      <c r="J335" s="33"/>
      <c r="K335" s="33"/>
      <c r="L335" s="33"/>
      <c r="M335" s="33"/>
      <c r="N335" s="33"/>
      <c r="O335" s="55"/>
      <c r="P335" s="56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4.25" customHeight="1">
      <c r="A336" s="33"/>
      <c r="B336" s="33"/>
      <c r="C336" s="33"/>
      <c r="D336" s="33"/>
      <c r="E336" s="54"/>
      <c r="F336" s="33"/>
      <c r="G336" s="33"/>
      <c r="H336" s="33"/>
      <c r="I336" s="33"/>
      <c r="J336" s="33"/>
      <c r="K336" s="33"/>
      <c r="L336" s="33"/>
      <c r="M336" s="33"/>
      <c r="N336" s="33"/>
      <c r="O336" s="55"/>
      <c r="P336" s="56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4.25" customHeight="1">
      <c r="A337" s="33"/>
      <c r="B337" s="33"/>
      <c r="C337" s="33"/>
      <c r="D337" s="33"/>
      <c r="E337" s="54"/>
      <c r="F337" s="33"/>
      <c r="G337" s="33"/>
      <c r="H337" s="33"/>
      <c r="I337" s="33"/>
      <c r="J337" s="33"/>
      <c r="K337" s="33"/>
      <c r="L337" s="33"/>
      <c r="M337" s="33"/>
      <c r="N337" s="33"/>
      <c r="O337" s="55"/>
      <c r="P337" s="56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4.25" customHeight="1">
      <c r="A338" s="33"/>
      <c r="B338" s="33"/>
      <c r="C338" s="33"/>
      <c r="D338" s="33"/>
      <c r="E338" s="54"/>
      <c r="F338" s="33"/>
      <c r="G338" s="33"/>
      <c r="H338" s="33"/>
      <c r="I338" s="33"/>
      <c r="J338" s="33"/>
      <c r="K338" s="33"/>
      <c r="L338" s="33"/>
      <c r="M338" s="33"/>
      <c r="N338" s="33"/>
      <c r="O338" s="55"/>
      <c r="P338" s="56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4.25" customHeight="1">
      <c r="A339" s="33"/>
      <c r="B339" s="33"/>
      <c r="C339" s="33"/>
      <c r="D339" s="33"/>
      <c r="E339" s="54"/>
      <c r="F339" s="33"/>
      <c r="G339" s="33"/>
      <c r="H339" s="33"/>
      <c r="I339" s="33"/>
      <c r="J339" s="33"/>
      <c r="K339" s="33"/>
      <c r="L339" s="33"/>
      <c r="M339" s="33"/>
      <c r="N339" s="33"/>
      <c r="O339" s="55"/>
      <c r="P339" s="56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4.25" customHeight="1">
      <c r="A340" s="33"/>
      <c r="B340" s="33"/>
      <c r="C340" s="33"/>
      <c r="D340" s="33"/>
      <c r="E340" s="54"/>
      <c r="F340" s="33"/>
      <c r="G340" s="33"/>
      <c r="H340" s="33"/>
      <c r="I340" s="33"/>
      <c r="J340" s="33"/>
      <c r="K340" s="33"/>
      <c r="L340" s="33"/>
      <c r="M340" s="33"/>
      <c r="N340" s="33"/>
      <c r="O340" s="55"/>
      <c r="P340" s="56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4.25" customHeight="1">
      <c r="A341" s="33"/>
      <c r="B341" s="33"/>
      <c r="C341" s="33"/>
      <c r="D341" s="33"/>
      <c r="E341" s="54"/>
      <c r="F341" s="33"/>
      <c r="G341" s="33"/>
      <c r="H341" s="33"/>
      <c r="I341" s="33"/>
      <c r="J341" s="33"/>
      <c r="K341" s="33"/>
      <c r="L341" s="33"/>
      <c r="M341" s="33"/>
      <c r="N341" s="33"/>
      <c r="O341" s="55"/>
      <c r="P341" s="56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4.25" customHeight="1">
      <c r="A342" s="33"/>
      <c r="B342" s="33"/>
      <c r="C342" s="33"/>
      <c r="D342" s="33"/>
      <c r="E342" s="54"/>
      <c r="F342" s="33"/>
      <c r="G342" s="33"/>
      <c r="H342" s="33"/>
      <c r="I342" s="33"/>
      <c r="J342" s="33"/>
      <c r="K342" s="33"/>
      <c r="L342" s="33"/>
      <c r="M342" s="33"/>
      <c r="N342" s="33"/>
      <c r="O342" s="55"/>
      <c r="P342" s="56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4.25" customHeight="1">
      <c r="A343" s="33"/>
      <c r="B343" s="33"/>
      <c r="C343" s="33"/>
      <c r="D343" s="33"/>
      <c r="E343" s="54"/>
      <c r="F343" s="33"/>
      <c r="G343" s="33"/>
      <c r="H343" s="33"/>
      <c r="I343" s="33"/>
      <c r="J343" s="33"/>
      <c r="K343" s="33"/>
      <c r="L343" s="33"/>
      <c r="M343" s="33"/>
      <c r="N343" s="33"/>
      <c r="O343" s="55"/>
      <c r="P343" s="56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4.25" customHeight="1">
      <c r="A344" s="33"/>
      <c r="B344" s="33"/>
      <c r="C344" s="33"/>
      <c r="D344" s="33"/>
      <c r="E344" s="54"/>
      <c r="F344" s="33"/>
      <c r="G344" s="33"/>
      <c r="H344" s="33"/>
      <c r="I344" s="33"/>
      <c r="J344" s="33"/>
      <c r="K344" s="33"/>
      <c r="L344" s="33"/>
      <c r="M344" s="33"/>
      <c r="N344" s="33"/>
      <c r="O344" s="55"/>
      <c r="P344" s="56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4.25" customHeight="1">
      <c r="A345" s="33"/>
      <c r="B345" s="33"/>
      <c r="C345" s="33"/>
      <c r="D345" s="33"/>
      <c r="E345" s="54"/>
      <c r="F345" s="33"/>
      <c r="G345" s="33"/>
      <c r="H345" s="33"/>
      <c r="I345" s="33"/>
      <c r="J345" s="33"/>
      <c r="K345" s="33"/>
      <c r="L345" s="33"/>
      <c r="M345" s="33"/>
      <c r="N345" s="33"/>
      <c r="O345" s="55"/>
      <c r="P345" s="56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4.25" customHeight="1">
      <c r="A346" s="33"/>
      <c r="B346" s="33"/>
      <c r="C346" s="33"/>
      <c r="D346" s="33"/>
      <c r="E346" s="54"/>
      <c r="F346" s="33"/>
      <c r="G346" s="33"/>
      <c r="H346" s="33"/>
      <c r="I346" s="33"/>
      <c r="J346" s="33"/>
      <c r="K346" s="33"/>
      <c r="L346" s="33"/>
      <c r="M346" s="33"/>
      <c r="N346" s="33"/>
      <c r="O346" s="55"/>
      <c r="P346" s="56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4.25" customHeight="1">
      <c r="A347" s="33"/>
      <c r="B347" s="33"/>
      <c r="C347" s="33"/>
      <c r="D347" s="33"/>
      <c r="E347" s="54"/>
      <c r="F347" s="33"/>
      <c r="G347" s="33"/>
      <c r="H347" s="33"/>
      <c r="I347" s="33"/>
      <c r="J347" s="33"/>
      <c r="K347" s="33"/>
      <c r="L347" s="33"/>
      <c r="M347" s="33"/>
      <c r="N347" s="33"/>
      <c r="O347" s="55"/>
      <c r="P347" s="56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4.25" customHeight="1">
      <c r="A348" s="33"/>
      <c r="B348" s="33"/>
      <c r="C348" s="33"/>
      <c r="D348" s="33"/>
      <c r="E348" s="54"/>
      <c r="F348" s="33"/>
      <c r="G348" s="33"/>
      <c r="H348" s="33"/>
      <c r="I348" s="33"/>
      <c r="J348" s="33"/>
      <c r="K348" s="33"/>
      <c r="L348" s="33"/>
      <c r="M348" s="33"/>
      <c r="N348" s="33"/>
      <c r="O348" s="55"/>
      <c r="P348" s="56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4.25" customHeight="1">
      <c r="A349" s="33"/>
      <c r="B349" s="33"/>
      <c r="C349" s="33"/>
      <c r="D349" s="33"/>
      <c r="E349" s="54"/>
      <c r="F349" s="33"/>
      <c r="G349" s="33"/>
      <c r="H349" s="33"/>
      <c r="I349" s="33"/>
      <c r="J349" s="33"/>
      <c r="K349" s="33"/>
      <c r="L349" s="33"/>
      <c r="M349" s="33"/>
      <c r="N349" s="33"/>
      <c r="O349" s="55"/>
      <c r="P349" s="56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4.25" customHeight="1">
      <c r="A350" s="33"/>
      <c r="B350" s="33"/>
      <c r="C350" s="33"/>
      <c r="D350" s="33"/>
      <c r="E350" s="54"/>
      <c r="F350" s="33"/>
      <c r="G350" s="33"/>
      <c r="H350" s="33"/>
      <c r="I350" s="33"/>
      <c r="J350" s="33"/>
      <c r="K350" s="33"/>
      <c r="L350" s="33"/>
      <c r="M350" s="33"/>
      <c r="N350" s="33"/>
      <c r="O350" s="55"/>
      <c r="P350" s="56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4.25" customHeight="1">
      <c r="A351" s="33"/>
      <c r="B351" s="33"/>
      <c r="C351" s="33"/>
      <c r="D351" s="33"/>
      <c r="E351" s="54"/>
      <c r="F351" s="33"/>
      <c r="G351" s="33"/>
      <c r="H351" s="33"/>
      <c r="I351" s="33"/>
      <c r="J351" s="33"/>
      <c r="K351" s="33"/>
      <c r="L351" s="33"/>
      <c r="M351" s="33"/>
      <c r="N351" s="33"/>
      <c r="O351" s="55"/>
      <c r="P351" s="56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4.25" customHeight="1">
      <c r="A352" s="33"/>
      <c r="B352" s="33"/>
      <c r="C352" s="33"/>
      <c r="D352" s="33"/>
      <c r="E352" s="54"/>
      <c r="F352" s="33"/>
      <c r="G352" s="33"/>
      <c r="H352" s="33"/>
      <c r="I352" s="33"/>
      <c r="J352" s="33"/>
      <c r="K352" s="33"/>
      <c r="L352" s="33"/>
      <c r="M352" s="33"/>
      <c r="N352" s="33"/>
      <c r="O352" s="55"/>
      <c r="P352" s="56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4.25" customHeight="1">
      <c r="A353" s="33"/>
      <c r="B353" s="33"/>
      <c r="C353" s="33"/>
      <c r="D353" s="33"/>
      <c r="E353" s="54"/>
      <c r="F353" s="33"/>
      <c r="G353" s="33"/>
      <c r="H353" s="33"/>
      <c r="I353" s="33"/>
      <c r="J353" s="33"/>
      <c r="K353" s="33"/>
      <c r="L353" s="33"/>
      <c r="M353" s="33"/>
      <c r="N353" s="33"/>
      <c r="O353" s="55"/>
      <c r="P353" s="56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4.25" customHeight="1">
      <c r="A354" s="33"/>
      <c r="B354" s="33"/>
      <c r="C354" s="33"/>
      <c r="D354" s="33"/>
      <c r="E354" s="54"/>
      <c r="F354" s="33"/>
      <c r="G354" s="33"/>
      <c r="H354" s="33"/>
      <c r="I354" s="33"/>
      <c r="J354" s="33"/>
      <c r="K354" s="33"/>
      <c r="L354" s="33"/>
      <c r="M354" s="33"/>
      <c r="N354" s="33"/>
      <c r="O354" s="55"/>
      <c r="P354" s="56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4.25" customHeight="1">
      <c r="A355" s="33"/>
      <c r="B355" s="33"/>
      <c r="C355" s="33"/>
      <c r="D355" s="33"/>
      <c r="E355" s="54"/>
      <c r="F355" s="33"/>
      <c r="G355" s="33"/>
      <c r="H355" s="33"/>
      <c r="I355" s="33"/>
      <c r="J355" s="33"/>
      <c r="K355" s="33"/>
      <c r="L355" s="33"/>
      <c r="M355" s="33"/>
      <c r="N355" s="33"/>
      <c r="O355" s="55"/>
      <c r="P355" s="56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4.25" customHeight="1">
      <c r="A356" s="33"/>
      <c r="B356" s="33"/>
      <c r="C356" s="33"/>
      <c r="D356" s="33"/>
      <c r="E356" s="54"/>
      <c r="F356" s="33"/>
      <c r="G356" s="33"/>
      <c r="H356" s="33"/>
      <c r="I356" s="33"/>
      <c r="J356" s="33"/>
      <c r="K356" s="33"/>
      <c r="L356" s="33"/>
      <c r="M356" s="33"/>
      <c r="N356" s="33"/>
      <c r="O356" s="55"/>
      <c r="P356" s="56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4.25" customHeight="1">
      <c r="A357" s="33"/>
      <c r="B357" s="33"/>
      <c r="C357" s="33"/>
      <c r="D357" s="33"/>
      <c r="E357" s="54"/>
      <c r="F357" s="33"/>
      <c r="G357" s="33"/>
      <c r="H357" s="33"/>
      <c r="I357" s="33"/>
      <c r="J357" s="33"/>
      <c r="K357" s="33"/>
      <c r="L357" s="33"/>
      <c r="M357" s="33"/>
      <c r="N357" s="33"/>
      <c r="O357" s="55"/>
      <c r="P357" s="56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4.25" customHeight="1">
      <c r="A358" s="33"/>
      <c r="B358" s="33"/>
      <c r="C358" s="33"/>
      <c r="D358" s="33"/>
      <c r="E358" s="54"/>
      <c r="F358" s="33"/>
      <c r="G358" s="33"/>
      <c r="H358" s="33"/>
      <c r="I358" s="33"/>
      <c r="J358" s="33"/>
      <c r="K358" s="33"/>
      <c r="L358" s="33"/>
      <c r="M358" s="33"/>
      <c r="N358" s="33"/>
      <c r="O358" s="55"/>
      <c r="P358" s="56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4.25" customHeight="1">
      <c r="A359" s="33"/>
      <c r="B359" s="33"/>
      <c r="C359" s="33"/>
      <c r="D359" s="33"/>
      <c r="E359" s="54"/>
      <c r="F359" s="33"/>
      <c r="G359" s="33"/>
      <c r="H359" s="33"/>
      <c r="I359" s="33"/>
      <c r="J359" s="33"/>
      <c r="K359" s="33"/>
      <c r="L359" s="33"/>
      <c r="M359" s="33"/>
      <c r="N359" s="33"/>
      <c r="O359" s="55"/>
      <c r="P359" s="56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4.25" customHeight="1">
      <c r="A360" s="33"/>
      <c r="B360" s="33"/>
      <c r="C360" s="33"/>
      <c r="D360" s="33"/>
      <c r="E360" s="54"/>
      <c r="F360" s="33"/>
      <c r="G360" s="33"/>
      <c r="H360" s="33"/>
      <c r="I360" s="33"/>
      <c r="J360" s="33"/>
      <c r="K360" s="33"/>
      <c r="L360" s="33"/>
      <c r="M360" s="33"/>
      <c r="N360" s="33"/>
      <c r="O360" s="55"/>
      <c r="P360" s="56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4.25" customHeight="1">
      <c r="A361" s="33"/>
      <c r="B361" s="33"/>
      <c r="C361" s="33"/>
      <c r="D361" s="33"/>
      <c r="E361" s="54"/>
      <c r="F361" s="33"/>
      <c r="G361" s="33"/>
      <c r="H361" s="33"/>
      <c r="I361" s="33"/>
      <c r="J361" s="33"/>
      <c r="K361" s="33"/>
      <c r="L361" s="33"/>
      <c r="M361" s="33"/>
      <c r="N361" s="33"/>
      <c r="O361" s="55"/>
      <c r="P361" s="56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4.25" customHeight="1">
      <c r="A362" s="33"/>
      <c r="B362" s="33"/>
      <c r="C362" s="33"/>
      <c r="D362" s="33"/>
      <c r="E362" s="54"/>
      <c r="F362" s="33"/>
      <c r="G362" s="33"/>
      <c r="H362" s="33"/>
      <c r="I362" s="33"/>
      <c r="J362" s="33"/>
      <c r="K362" s="33"/>
      <c r="L362" s="33"/>
      <c r="M362" s="33"/>
      <c r="N362" s="33"/>
      <c r="O362" s="55"/>
      <c r="P362" s="56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4.25" customHeight="1">
      <c r="A363" s="33"/>
      <c r="B363" s="33"/>
      <c r="C363" s="33"/>
      <c r="D363" s="33"/>
      <c r="E363" s="54"/>
      <c r="F363" s="33"/>
      <c r="G363" s="33"/>
      <c r="H363" s="33"/>
      <c r="I363" s="33"/>
      <c r="J363" s="33"/>
      <c r="K363" s="33"/>
      <c r="L363" s="33"/>
      <c r="M363" s="33"/>
      <c r="N363" s="33"/>
      <c r="O363" s="55"/>
      <c r="P363" s="56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4.25" customHeight="1">
      <c r="A364" s="33"/>
      <c r="B364" s="33"/>
      <c r="C364" s="33"/>
      <c r="D364" s="33"/>
      <c r="E364" s="54"/>
      <c r="F364" s="33"/>
      <c r="G364" s="33"/>
      <c r="H364" s="33"/>
      <c r="I364" s="33"/>
      <c r="J364" s="33"/>
      <c r="K364" s="33"/>
      <c r="L364" s="33"/>
      <c r="M364" s="33"/>
      <c r="N364" s="33"/>
      <c r="O364" s="55"/>
      <c r="P364" s="56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4.25" customHeight="1">
      <c r="A365" s="33"/>
      <c r="B365" s="33"/>
      <c r="C365" s="33"/>
      <c r="D365" s="33"/>
      <c r="E365" s="54"/>
      <c r="F365" s="33"/>
      <c r="G365" s="33"/>
      <c r="H365" s="33"/>
      <c r="I365" s="33"/>
      <c r="J365" s="33"/>
      <c r="K365" s="33"/>
      <c r="L365" s="33"/>
      <c r="M365" s="33"/>
      <c r="N365" s="33"/>
      <c r="O365" s="55"/>
      <c r="P365" s="56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4.25" customHeight="1">
      <c r="A366" s="33"/>
      <c r="B366" s="33"/>
      <c r="C366" s="33"/>
      <c r="D366" s="33"/>
      <c r="E366" s="54"/>
      <c r="F366" s="33"/>
      <c r="G366" s="33"/>
      <c r="H366" s="33"/>
      <c r="I366" s="33"/>
      <c r="J366" s="33"/>
      <c r="K366" s="33"/>
      <c r="L366" s="33"/>
      <c r="M366" s="33"/>
      <c r="N366" s="33"/>
      <c r="O366" s="55"/>
      <c r="P366" s="56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4.25" customHeight="1">
      <c r="A367" s="33"/>
      <c r="B367" s="33"/>
      <c r="C367" s="33"/>
      <c r="D367" s="33"/>
      <c r="E367" s="54"/>
      <c r="F367" s="33"/>
      <c r="G367" s="33"/>
      <c r="H367" s="33"/>
      <c r="I367" s="33"/>
      <c r="J367" s="33"/>
      <c r="K367" s="33"/>
      <c r="L367" s="33"/>
      <c r="M367" s="33"/>
      <c r="N367" s="33"/>
      <c r="O367" s="55"/>
      <c r="P367" s="56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4.25" customHeight="1">
      <c r="A368" s="33"/>
      <c r="B368" s="33"/>
      <c r="C368" s="33"/>
      <c r="D368" s="33"/>
      <c r="E368" s="54"/>
      <c r="F368" s="33"/>
      <c r="G368" s="33"/>
      <c r="H368" s="33"/>
      <c r="I368" s="33"/>
      <c r="J368" s="33"/>
      <c r="K368" s="33"/>
      <c r="L368" s="33"/>
      <c r="M368" s="33"/>
      <c r="N368" s="33"/>
      <c r="O368" s="55"/>
      <c r="P368" s="56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4.25" customHeight="1">
      <c r="A369" s="33"/>
      <c r="B369" s="33"/>
      <c r="C369" s="33"/>
      <c r="D369" s="33"/>
      <c r="E369" s="54"/>
      <c r="F369" s="33"/>
      <c r="G369" s="33"/>
      <c r="H369" s="33"/>
      <c r="I369" s="33"/>
      <c r="J369" s="33"/>
      <c r="K369" s="33"/>
      <c r="L369" s="33"/>
      <c r="M369" s="33"/>
      <c r="N369" s="33"/>
      <c r="O369" s="55"/>
      <c r="P369" s="56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4.25" customHeight="1">
      <c r="A370" s="33"/>
      <c r="B370" s="33"/>
      <c r="C370" s="33"/>
      <c r="D370" s="33"/>
      <c r="E370" s="54"/>
      <c r="F370" s="33"/>
      <c r="G370" s="33"/>
      <c r="H370" s="33"/>
      <c r="I370" s="33"/>
      <c r="J370" s="33"/>
      <c r="K370" s="33"/>
      <c r="L370" s="33"/>
      <c r="M370" s="33"/>
      <c r="N370" s="33"/>
      <c r="O370" s="55"/>
      <c r="P370" s="56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4.25" customHeight="1">
      <c r="A371" s="33"/>
      <c r="B371" s="33"/>
      <c r="C371" s="33"/>
      <c r="D371" s="33"/>
      <c r="E371" s="54"/>
      <c r="F371" s="33"/>
      <c r="G371" s="33"/>
      <c r="H371" s="33"/>
      <c r="I371" s="33"/>
      <c r="J371" s="33"/>
      <c r="K371" s="33"/>
      <c r="L371" s="33"/>
      <c r="M371" s="33"/>
      <c r="N371" s="33"/>
      <c r="O371" s="55"/>
      <c r="P371" s="56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4.25" customHeight="1">
      <c r="A372" s="33"/>
      <c r="B372" s="33"/>
      <c r="C372" s="33"/>
      <c r="D372" s="33"/>
      <c r="E372" s="54"/>
      <c r="F372" s="33"/>
      <c r="G372" s="33"/>
      <c r="H372" s="33"/>
      <c r="I372" s="33"/>
      <c r="J372" s="33"/>
      <c r="K372" s="33"/>
      <c r="L372" s="33"/>
      <c r="M372" s="33"/>
      <c r="N372" s="33"/>
      <c r="O372" s="55"/>
      <c r="P372" s="56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4.25" customHeight="1">
      <c r="A373" s="33"/>
      <c r="B373" s="33"/>
      <c r="C373" s="33"/>
      <c r="D373" s="33"/>
      <c r="E373" s="54"/>
      <c r="F373" s="33"/>
      <c r="G373" s="33"/>
      <c r="H373" s="33"/>
      <c r="I373" s="33"/>
      <c r="J373" s="33"/>
      <c r="K373" s="33"/>
      <c r="L373" s="33"/>
      <c r="M373" s="33"/>
      <c r="N373" s="33"/>
      <c r="O373" s="55"/>
      <c r="P373" s="56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4.25" customHeight="1">
      <c r="A374" s="33"/>
      <c r="B374" s="33"/>
      <c r="C374" s="33"/>
      <c r="D374" s="33"/>
      <c r="E374" s="54"/>
      <c r="F374" s="33"/>
      <c r="G374" s="33"/>
      <c r="H374" s="33"/>
      <c r="I374" s="33"/>
      <c r="J374" s="33"/>
      <c r="K374" s="33"/>
      <c r="L374" s="33"/>
      <c r="M374" s="33"/>
      <c r="N374" s="33"/>
      <c r="O374" s="55"/>
      <c r="P374" s="56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4.25" customHeight="1">
      <c r="A375" s="33"/>
      <c r="B375" s="33"/>
      <c r="C375" s="33"/>
      <c r="D375" s="33"/>
      <c r="E375" s="54"/>
      <c r="F375" s="33"/>
      <c r="G375" s="33"/>
      <c r="H375" s="33"/>
      <c r="I375" s="33"/>
      <c r="J375" s="33"/>
      <c r="K375" s="33"/>
      <c r="L375" s="33"/>
      <c r="M375" s="33"/>
      <c r="N375" s="33"/>
      <c r="O375" s="55"/>
      <c r="P375" s="56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4.25" customHeight="1">
      <c r="A376" s="33"/>
      <c r="B376" s="33"/>
      <c r="C376" s="33"/>
      <c r="D376" s="33"/>
      <c r="E376" s="54"/>
      <c r="F376" s="33"/>
      <c r="G376" s="33"/>
      <c r="H376" s="33"/>
      <c r="I376" s="33"/>
      <c r="J376" s="33"/>
      <c r="K376" s="33"/>
      <c r="L376" s="33"/>
      <c r="M376" s="33"/>
      <c r="N376" s="33"/>
      <c r="O376" s="55"/>
      <c r="P376" s="56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4.25" customHeight="1">
      <c r="A377" s="33"/>
      <c r="B377" s="33"/>
      <c r="C377" s="33"/>
      <c r="D377" s="33"/>
      <c r="E377" s="54"/>
      <c r="F377" s="33"/>
      <c r="G377" s="33"/>
      <c r="H377" s="33"/>
      <c r="I377" s="33"/>
      <c r="J377" s="33"/>
      <c r="K377" s="33"/>
      <c r="L377" s="33"/>
      <c r="M377" s="33"/>
      <c r="N377" s="33"/>
      <c r="O377" s="55"/>
      <c r="P377" s="56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4.25" customHeight="1">
      <c r="A378" s="33"/>
      <c r="B378" s="33"/>
      <c r="C378" s="33"/>
      <c r="D378" s="33"/>
      <c r="E378" s="54"/>
      <c r="F378" s="33"/>
      <c r="G378" s="33"/>
      <c r="H378" s="33"/>
      <c r="I378" s="33"/>
      <c r="J378" s="33"/>
      <c r="K378" s="33"/>
      <c r="L378" s="33"/>
      <c r="M378" s="33"/>
      <c r="N378" s="33"/>
      <c r="O378" s="55"/>
      <c r="P378" s="56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4.25" customHeight="1">
      <c r="A379" s="33"/>
      <c r="B379" s="33"/>
      <c r="C379" s="33"/>
      <c r="D379" s="33"/>
      <c r="E379" s="54"/>
      <c r="F379" s="33"/>
      <c r="G379" s="33"/>
      <c r="H379" s="33"/>
      <c r="I379" s="33"/>
      <c r="J379" s="33"/>
      <c r="K379" s="33"/>
      <c r="L379" s="33"/>
      <c r="M379" s="33"/>
      <c r="N379" s="33"/>
      <c r="O379" s="55"/>
      <c r="P379" s="56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4.25" customHeight="1">
      <c r="A380" s="33"/>
      <c r="B380" s="33"/>
      <c r="C380" s="33"/>
      <c r="D380" s="33"/>
      <c r="E380" s="54"/>
      <c r="F380" s="33"/>
      <c r="G380" s="33"/>
      <c r="H380" s="33"/>
      <c r="I380" s="33"/>
      <c r="J380" s="33"/>
      <c r="K380" s="33"/>
      <c r="L380" s="33"/>
      <c r="M380" s="33"/>
      <c r="N380" s="33"/>
      <c r="O380" s="55"/>
      <c r="P380" s="56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4.25" customHeight="1">
      <c r="A381" s="33"/>
      <c r="B381" s="33"/>
      <c r="C381" s="33"/>
      <c r="D381" s="33"/>
      <c r="E381" s="54"/>
      <c r="F381" s="33"/>
      <c r="G381" s="33"/>
      <c r="H381" s="33"/>
      <c r="I381" s="33"/>
      <c r="J381" s="33"/>
      <c r="K381" s="33"/>
      <c r="L381" s="33"/>
      <c r="M381" s="33"/>
      <c r="N381" s="33"/>
      <c r="O381" s="55"/>
      <c r="P381" s="56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4.25" customHeight="1">
      <c r="A382" s="33"/>
      <c r="B382" s="33"/>
      <c r="C382" s="33"/>
      <c r="D382" s="33"/>
      <c r="E382" s="54"/>
      <c r="F382" s="33"/>
      <c r="G382" s="33"/>
      <c r="H382" s="33"/>
      <c r="I382" s="33"/>
      <c r="J382" s="33"/>
      <c r="K382" s="33"/>
      <c r="L382" s="33"/>
      <c r="M382" s="33"/>
      <c r="N382" s="33"/>
      <c r="O382" s="55"/>
      <c r="P382" s="56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4.25" customHeight="1">
      <c r="A383" s="33"/>
      <c r="B383" s="33"/>
      <c r="C383" s="33"/>
      <c r="D383" s="33"/>
      <c r="E383" s="54"/>
      <c r="F383" s="33"/>
      <c r="G383" s="33"/>
      <c r="H383" s="33"/>
      <c r="I383" s="33"/>
      <c r="J383" s="33"/>
      <c r="K383" s="33"/>
      <c r="L383" s="33"/>
      <c r="M383" s="33"/>
      <c r="N383" s="33"/>
      <c r="O383" s="55"/>
      <c r="P383" s="56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4.25" customHeight="1">
      <c r="A384" s="33"/>
      <c r="B384" s="33"/>
      <c r="C384" s="33"/>
      <c r="D384" s="33"/>
      <c r="E384" s="54"/>
      <c r="F384" s="33"/>
      <c r="G384" s="33"/>
      <c r="H384" s="33"/>
      <c r="I384" s="33"/>
      <c r="J384" s="33"/>
      <c r="K384" s="33"/>
      <c r="L384" s="33"/>
      <c r="M384" s="33"/>
      <c r="N384" s="33"/>
      <c r="O384" s="55"/>
      <c r="P384" s="56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4.25" customHeight="1">
      <c r="A385" s="33"/>
      <c r="B385" s="33"/>
      <c r="C385" s="33"/>
      <c r="D385" s="33"/>
      <c r="E385" s="54"/>
      <c r="F385" s="33"/>
      <c r="G385" s="33"/>
      <c r="H385" s="33"/>
      <c r="I385" s="33"/>
      <c r="J385" s="33"/>
      <c r="K385" s="33"/>
      <c r="L385" s="33"/>
      <c r="M385" s="33"/>
      <c r="N385" s="33"/>
      <c r="O385" s="55"/>
      <c r="P385" s="56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4.25" customHeight="1">
      <c r="A386" s="33"/>
      <c r="B386" s="33"/>
      <c r="C386" s="33"/>
      <c r="D386" s="33"/>
      <c r="E386" s="54"/>
      <c r="F386" s="33"/>
      <c r="G386" s="33"/>
      <c r="H386" s="33"/>
      <c r="I386" s="33"/>
      <c r="J386" s="33"/>
      <c r="K386" s="33"/>
      <c r="L386" s="33"/>
      <c r="M386" s="33"/>
      <c r="N386" s="33"/>
      <c r="O386" s="55"/>
      <c r="P386" s="56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4.25" customHeight="1">
      <c r="A387" s="33"/>
      <c r="B387" s="33"/>
      <c r="C387" s="33"/>
      <c r="D387" s="33"/>
      <c r="E387" s="54"/>
      <c r="F387" s="33"/>
      <c r="G387" s="33"/>
      <c r="H387" s="33"/>
      <c r="I387" s="33"/>
      <c r="J387" s="33"/>
      <c r="K387" s="33"/>
      <c r="L387" s="33"/>
      <c r="M387" s="33"/>
      <c r="N387" s="33"/>
      <c r="O387" s="55"/>
      <c r="P387" s="56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4.25" customHeight="1">
      <c r="A388" s="33"/>
      <c r="B388" s="33"/>
      <c r="C388" s="33"/>
      <c r="D388" s="33"/>
      <c r="E388" s="54"/>
      <c r="F388" s="33"/>
      <c r="G388" s="33"/>
      <c r="H388" s="33"/>
      <c r="I388" s="33"/>
      <c r="J388" s="33"/>
      <c r="K388" s="33"/>
      <c r="L388" s="33"/>
      <c r="M388" s="33"/>
      <c r="N388" s="33"/>
      <c r="O388" s="55"/>
      <c r="P388" s="56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4.25" customHeight="1">
      <c r="A389" s="33"/>
      <c r="B389" s="33"/>
      <c r="C389" s="33"/>
      <c r="D389" s="33"/>
      <c r="E389" s="54"/>
      <c r="F389" s="33"/>
      <c r="G389" s="33"/>
      <c r="H389" s="33"/>
      <c r="I389" s="33"/>
      <c r="J389" s="33"/>
      <c r="K389" s="33"/>
      <c r="L389" s="33"/>
      <c r="M389" s="33"/>
      <c r="N389" s="33"/>
      <c r="O389" s="55"/>
      <c r="P389" s="56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4.25" customHeight="1">
      <c r="A390" s="33"/>
      <c r="B390" s="33"/>
      <c r="C390" s="33"/>
      <c r="D390" s="33"/>
      <c r="E390" s="54"/>
      <c r="F390" s="33"/>
      <c r="G390" s="33"/>
      <c r="H390" s="33"/>
      <c r="I390" s="33"/>
      <c r="J390" s="33"/>
      <c r="K390" s="33"/>
      <c r="L390" s="33"/>
      <c r="M390" s="33"/>
      <c r="N390" s="33"/>
      <c r="O390" s="55"/>
      <c r="P390" s="56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4.25" customHeight="1">
      <c r="A391" s="33"/>
      <c r="B391" s="33"/>
      <c r="C391" s="33"/>
      <c r="D391" s="33"/>
      <c r="E391" s="54"/>
      <c r="F391" s="33"/>
      <c r="G391" s="33"/>
      <c r="H391" s="33"/>
      <c r="I391" s="33"/>
      <c r="J391" s="33"/>
      <c r="K391" s="33"/>
      <c r="L391" s="33"/>
      <c r="M391" s="33"/>
      <c r="N391" s="33"/>
      <c r="O391" s="55"/>
      <c r="P391" s="56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4.25" customHeight="1">
      <c r="A392" s="33"/>
      <c r="B392" s="33"/>
      <c r="C392" s="33"/>
      <c r="D392" s="33"/>
      <c r="E392" s="54"/>
      <c r="F392" s="33"/>
      <c r="G392" s="33"/>
      <c r="H392" s="33"/>
      <c r="I392" s="33"/>
      <c r="J392" s="33"/>
      <c r="K392" s="33"/>
      <c r="L392" s="33"/>
      <c r="M392" s="33"/>
      <c r="N392" s="33"/>
      <c r="O392" s="55"/>
      <c r="P392" s="56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4.25" customHeight="1">
      <c r="A393" s="33"/>
      <c r="B393" s="33"/>
      <c r="C393" s="33"/>
      <c r="D393" s="33"/>
      <c r="E393" s="54"/>
      <c r="F393" s="33"/>
      <c r="G393" s="33"/>
      <c r="H393" s="33"/>
      <c r="I393" s="33"/>
      <c r="J393" s="33"/>
      <c r="K393" s="33"/>
      <c r="L393" s="33"/>
      <c r="M393" s="33"/>
      <c r="N393" s="33"/>
      <c r="O393" s="55"/>
      <c r="P393" s="56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4.25" customHeight="1">
      <c r="A394" s="33"/>
      <c r="B394" s="33"/>
      <c r="C394" s="33"/>
      <c r="D394" s="33"/>
      <c r="E394" s="54"/>
      <c r="F394" s="33"/>
      <c r="G394" s="33"/>
      <c r="H394" s="33"/>
      <c r="I394" s="33"/>
      <c r="J394" s="33"/>
      <c r="K394" s="33"/>
      <c r="L394" s="33"/>
      <c r="M394" s="33"/>
      <c r="N394" s="33"/>
      <c r="O394" s="55"/>
      <c r="P394" s="56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4.25" customHeight="1">
      <c r="A395" s="33"/>
      <c r="B395" s="33"/>
      <c r="C395" s="33"/>
      <c r="D395" s="33"/>
      <c r="E395" s="54"/>
      <c r="F395" s="33"/>
      <c r="G395" s="33"/>
      <c r="H395" s="33"/>
      <c r="I395" s="33"/>
      <c r="J395" s="33"/>
      <c r="K395" s="33"/>
      <c r="L395" s="33"/>
      <c r="M395" s="33"/>
      <c r="N395" s="33"/>
      <c r="O395" s="55"/>
      <c r="P395" s="56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4.25" customHeight="1">
      <c r="A396" s="33"/>
      <c r="B396" s="33"/>
      <c r="C396" s="33"/>
      <c r="D396" s="33"/>
      <c r="E396" s="54"/>
      <c r="F396" s="33"/>
      <c r="G396" s="33"/>
      <c r="H396" s="33"/>
      <c r="I396" s="33"/>
      <c r="J396" s="33"/>
      <c r="K396" s="33"/>
      <c r="L396" s="33"/>
      <c r="M396" s="33"/>
      <c r="N396" s="33"/>
      <c r="O396" s="55"/>
      <c r="P396" s="56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4.25" customHeight="1">
      <c r="A397" s="33"/>
      <c r="B397" s="33"/>
      <c r="C397" s="33"/>
      <c r="D397" s="33"/>
      <c r="E397" s="54"/>
      <c r="F397" s="33"/>
      <c r="G397" s="33"/>
      <c r="H397" s="33"/>
      <c r="I397" s="33"/>
      <c r="J397" s="33"/>
      <c r="K397" s="33"/>
      <c r="L397" s="33"/>
      <c r="M397" s="33"/>
      <c r="N397" s="33"/>
      <c r="O397" s="55"/>
      <c r="P397" s="56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4.25" customHeight="1">
      <c r="A398" s="33"/>
      <c r="B398" s="33"/>
      <c r="C398" s="33"/>
      <c r="D398" s="33"/>
      <c r="E398" s="54"/>
      <c r="F398" s="33"/>
      <c r="G398" s="33"/>
      <c r="H398" s="33"/>
      <c r="I398" s="33"/>
      <c r="J398" s="33"/>
      <c r="K398" s="33"/>
      <c r="L398" s="33"/>
      <c r="M398" s="33"/>
      <c r="N398" s="33"/>
      <c r="O398" s="55"/>
      <c r="P398" s="56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4.25" customHeight="1">
      <c r="A399" s="33"/>
      <c r="B399" s="33"/>
      <c r="C399" s="33"/>
      <c r="D399" s="33"/>
      <c r="E399" s="54"/>
      <c r="F399" s="33"/>
      <c r="G399" s="33"/>
      <c r="H399" s="33"/>
      <c r="I399" s="33"/>
      <c r="J399" s="33"/>
      <c r="K399" s="33"/>
      <c r="L399" s="33"/>
      <c r="M399" s="33"/>
      <c r="N399" s="33"/>
      <c r="O399" s="55"/>
      <c r="P399" s="56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4.25" customHeight="1">
      <c r="A400" s="33"/>
      <c r="B400" s="33"/>
      <c r="C400" s="33"/>
      <c r="D400" s="33"/>
      <c r="E400" s="54"/>
      <c r="F400" s="33"/>
      <c r="G400" s="33"/>
      <c r="H400" s="33"/>
      <c r="I400" s="33"/>
      <c r="J400" s="33"/>
      <c r="K400" s="33"/>
      <c r="L400" s="33"/>
      <c r="M400" s="33"/>
      <c r="N400" s="33"/>
      <c r="O400" s="55"/>
      <c r="P400" s="56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4.25" customHeight="1">
      <c r="A401" s="33"/>
      <c r="B401" s="33"/>
      <c r="C401" s="33"/>
      <c r="D401" s="33"/>
      <c r="E401" s="54"/>
      <c r="F401" s="33"/>
      <c r="G401" s="33"/>
      <c r="H401" s="33"/>
      <c r="I401" s="33"/>
      <c r="J401" s="33"/>
      <c r="K401" s="33"/>
      <c r="L401" s="33"/>
      <c r="M401" s="33"/>
      <c r="N401" s="33"/>
      <c r="O401" s="55"/>
      <c r="P401" s="56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4.25" customHeight="1">
      <c r="A402" s="33"/>
      <c r="B402" s="33"/>
      <c r="C402" s="33"/>
      <c r="D402" s="33"/>
      <c r="E402" s="54"/>
      <c r="F402" s="33"/>
      <c r="G402" s="33"/>
      <c r="H402" s="33"/>
      <c r="I402" s="33"/>
      <c r="J402" s="33"/>
      <c r="K402" s="33"/>
      <c r="L402" s="33"/>
      <c r="M402" s="33"/>
      <c r="N402" s="33"/>
      <c r="O402" s="55"/>
      <c r="P402" s="56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4.25" customHeight="1">
      <c r="A403" s="33"/>
      <c r="B403" s="33"/>
      <c r="C403" s="33"/>
      <c r="D403" s="33"/>
      <c r="E403" s="54"/>
      <c r="F403" s="33"/>
      <c r="G403" s="33"/>
      <c r="H403" s="33"/>
      <c r="I403" s="33"/>
      <c r="J403" s="33"/>
      <c r="K403" s="33"/>
      <c r="L403" s="33"/>
      <c r="M403" s="33"/>
      <c r="N403" s="33"/>
      <c r="O403" s="55"/>
      <c r="P403" s="56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4.25" customHeight="1">
      <c r="A404" s="33"/>
      <c r="B404" s="33"/>
      <c r="C404" s="33"/>
      <c r="D404" s="33"/>
      <c r="E404" s="54"/>
      <c r="F404" s="33"/>
      <c r="G404" s="33"/>
      <c r="H404" s="33"/>
      <c r="I404" s="33"/>
      <c r="J404" s="33"/>
      <c r="K404" s="33"/>
      <c r="L404" s="33"/>
      <c r="M404" s="33"/>
      <c r="N404" s="33"/>
      <c r="O404" s="55"/>
      <c r="P404" s="56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4.25" customHeight="1">
      <c r="A405" s="33"/>
      <c r="B405" s="33"/>
      <c r="C405" s="33"/>
      <c r="D405" s="33"/>
      <c r="E405" s="54"/>
      <c r="F405" s="33"/>
      <c r="G405" s="33"/>
      <c r="H405" s="33"/>
      <c r="I405" s="33"/>
      <c r="J405" s="33"/>
      <c r="K405" s="33"/>
      <c r="L405" s="33"/>
      <c r="M405" s="33"/>
      <c r="N405" s="33"/>
      <c r="O405" s="55"/>
      <c r="P405" s="56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4.25" customHeight="1">
      <c r="A406" s="33"/>
      <c r="B406" s="33"/>
      <c r="C406" s="33"/>
      <c r="D406" s="33"/>
      <c r="E406" s="54"/>
      <c r="F406" s="33"/>
      <c r="G406" s="33"/>
      <c r="H406" s="33"/>
      <c r="I406" s="33"/>
      <c r="J406" s="33"/>
      <c r="K406" s="33"/>
      <c r="L406" s="33"/>
      <c r="M406" s="33"/>
      <c r="N406" s="33"/>
      <c r="O406" s="55"/>
      <c r="P406" s="56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4.25" customHeight="1">
      <c r="A407" s="33"/>
      <c r="B407" s="33"/>
      <c r="C407" s="33"/>
      <c r="D407" s="33"/>
      <c r="E407" s="54"/>
      <c r="F407" s="33"/>
      <c r="G407" s="33"/>
      <c r="H407" s="33"/>
      <c r="I407" s="33"/>
      <c r="J407" s="33"/>
      <c r="K407" s="33"/>
      <c r="L407" s="33"/>
      <c r="M407" s="33"/>
      <c r="N407" s="33"/>
      <c r="O407" s="55"/>
      <c r="P407" s="56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4.25" customHeight="1">
      <c r="A408" s="33"/>
      <c r="B408" s="33"/>
      <c r="C408" s="33"/>
      <c r="D408" s="33"/>
      <c r="E408" s="54"/>
      <c r="F408" s="33"/>
      <c r="G408" s="33"/>
      <c r="H408" s="33"/>
      <c r="I408" s="33"/>
      <c r="J408" s="33"/>
      <c r="K408" s="33"/>
      <c r="L408" s="33"/>
      <c r="M408" s="33"/>
      <c r="N408" s="33"/>
      <c r="O408" s="55"/>
      <c r="P408" s="56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4.25" customHeight="1">
      <c r="A409" s="33"/>
      <c r="B409" s="33"/>
      <c r="C409" s="33"/>
      <c r="D409" s="33"/>
      <c r="E409" s="54"/>
      <c r="F409" s="33"/>
      <c r="G409" s="33"/>
      <c r="H409" s="33"/>
      <c r="I409" s="33"/>
      <c r="J409" s="33"/>
      <c r="K409" s="33"/>
      <c r="L409" s="33"/>
      <c r="M409" s="33"/>
      <c r="N409" s="33"/>
      <c r="O409" s="55"/>
      <c r="P409" s="56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4.25" customHeight="1">
      <c r="A410" s="33"/>
      <c r="B410" s="33"/>
      <c r="C410" s="33"/>
      <c r="D410" s="33"/>
      <c r="E410" s="54"/>
      <c r="F410" s="33"/>
      <c r="G410" s="33"/>
      <c r="H410" s="33"/>
      <c r="I410" s="33"/>
      <c r="J410" s="33"/>
      <c r="K410" s="33"/>
      <c r="L410" s="33"/>
      <c r="M410" s="33"/>
      <c r="N410" s="33"/>
      <c r="O410" s="55"/>
      <c r="P410" s="56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4.25" customHeight="1">
      <c r="A411" s="33"/>
      <c r="B411" s="33"/>
      <c r="C411" s="33"/>
      <c r="D411" s="33"/>
      <c r="E411" s="54"/>
      <c r="F411" s="33"/>
      <c r="G411" s="33"/>
      <c r="H411" s="33"/>
      <c r="I411" s="33"/>
      <c r="J411" s="33"/>
      <c r="K411" s="33"/>
      <c r="L411" s="33"/>
      <c r="M411" s="33"/>
      <c r="N411" s="33"/>
      <c r="O411" s="55"/>
      <c r="P411" s="56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4.25" customHeight="1">
      <c r="A412" s="33"/>
      <c r="B412" s="33"/>
      <c r="C412" s="33"/>
      <c r="D412" s="33"/>
      <c r="E412" s="54"/>
      <c r="F412" s="33"/>
      <c r="G412" s="33"/>
      <c r="H412" s="33"/>
      <c r="I412" s="33"/>
      <c r="J412" s="33"/>
      <c r="K412" s="33"/>
      <c r="L412" s="33"/>
      <c r="M412" s="33"/>
      <c r="N412" s="33"/>
      <c r="O412" s="55"/>
      <c r="P412" s="56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4.25" customHeight="1">
      <c r="A413" s="33"/>
      <c r="B413" s="33"/>
      <c r="C413" s="33"/>
      <c r="D413" s="33"/>
      <c r="E413" s="54"/>
      <c r="F413" s="33"/>
      <c r="G413" s="33"/>
      <c r="H413" s="33"/>
      <c r="I413" s="33"/>
      <c r="J413" s="33"/>
      <c r="K413" s="33"/>
      <c r="L413" s="33"/>
      <c r="M413" s="33"/>
      <c r="N413" s="33"/>
      <c r="O413" s="55"/>
      <c r="P413" s="56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4.25" customHeight="1">
      <c r="A414" s="33"/>
      <c r="B414" s="33"/>
      <c r="C414" s="33"/>
      <c r="D414" s="33"/>
      <c r="E414" s="54"/>
      <c r="F414" s="33"/>
      <c r="G414" s="33"/>
      <c r="H414" s="33"/>
      <c r="I414" s="33"/>
      <c r="J414" s="33"/>
      <c r="K414" s="33"/>
      <c r="L414" s="33"/>
      <c r="M414" s="33"/>
      <c r="N414" s="33"/>
      <c r="O414" s="55"/>
      <c r="P414" s="56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4.25" customHeight="1">
      <c r="A415" s="33"/>
      <c r="B415" s="33"/>
      <c r="C415" s="33"/>
      <c r="D415" s="33"/>
      <c r="E415" s="54"/>
      <c r="F415" s="33"/>
      <c r="G415" s="33"/>
      <c r="H415" s="33"/>
      <c r="I415" s="33"/>
      <c r="J415" s="33"/>
      <c r="K415" s="33"/>
      <c r="L415" s="33"/>
      <c r="M415" s="33"/>
      <c r="N415" s="33"/>
      <c r="O415" s="55"/>
      <c r="P415" s="56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4.25" customHeight="1">
      <c r="A416" s="33"/>
      <c r="B416" s="33"/>
      <c r="C416" s="33"/>
      <c r="D416" s="33"/>
      <c r="E416" s="54"/>
      <c r="F416" s="33"/>
      <c r="G416" s="33"/>
      <c r="H416" s="33"/>
      <c r="I416" s="33"/>
      <c r="J416" s="33"/>
      <c r="K416" s="33"/>
      <c r="L416" s="33"/>
      <c r="M416" s="33"/>
      <c r="N416" s="33"/>
      <c r="O416" s="55"/>
      <c r="P416" s="56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4.25" customHeight="1">
      <c r="A417" s="33"/>
      <c r="B417" s="33"/>
      <c r="C417" s="33"/>
      <c r="D417" s="33"/>
      <c r="E417" s="54"/>
      <c r="F417" s="33"/>
      <c r="G417" s="33"/>
      <c r="H417" s="33"/>
      <c r="I417" s="33"/>
      <c r="J417" s="33"/>
      <c r="K417" s="33"/>
      <c r="L417" s="33"/>
      <c r="M417" s="33"/>
      <c r="N417" s="33"/>
      <c r="O417" s="55"/>
      <c r="P417" s="56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4.25" customHeight="1">
      <c r="A418" s="33"/>
      <c r="B418" s="33"/>
      <c r="C418" s="33"/>
      <c r="D418" s="33"/>
      <c r="E418" s="54"/>
      <c r="F418" s="33"/>
      <c r="G418" s="33"/>
      <c r="H418" s="33"/>
      <c r="I418" s="33"/>
      <c r="J418" s="33"/>
      <c r="K418" s="33"/>
      <c r="L418" s="33"/>
      <c r="M418" s="33"/>
      <c r="N418" s="33"/>
      <c r="O418" s="55"/>
      <c r="P418" s="56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4.25" customHeight="1">
      <c r="A419" s="33"/>
      <c r="B419" s="33"/>
      <c r="C419" s="33"/>
      <c r="D419" s="33"/>
      <c r="E419" s="54"/>
      <c r="F419" s="33"/>
      <c r="G419" s="33"/>
      <c r="H419" s="33"/>
      <c r="I419" s="33"/>
      <c r="J419" s="33"/>
      <c r="K419" s="33"/>
      <c r="L419" s="33"/>
      <c r="M419" s="33"/>
      <c r="N419" s="33"/>
      <c r="O419" s="55"/>
      <c r="P419" s="56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4.25" customHeight="1">
      <c r="A420" s="33"/>
      <c r="B420" s="33"/>
      <c r="C420" s="33"/>
      <c r="D420" s="33"/>
      <c r="E420" s="54"/>
      <c r="F420" s="33"/>
      <c r="G420" s="33"/>
      <c r="H420" s="33"/>
      <c r="I420" s="33"/>
      <c r="J420" s="33"/>
      <c r="K420" s="33"/>
      <c r="L420" s="33"/>
      <c r="M420" s="33"/>
      <c r="N420" s="33"/>
      <c r="O420" s="55"/>
      <c r="P420" s="56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4.25" customHeight="1">
      <c r="A421" s="33"/>
      <c r="B421" s="33"/>
      <c r="C421" s="33"/>
      <c r="D421" s="33"/>
      <c r="E421" s="54"/>
      <c r="F421" s="33"/>
      <c r="G421" s="33"/>
      <c r="H421" s="33"/>
      <c r="I421" s="33"/>
      <c r="J421" s="33"/>
      <c r="K421" s="33"/>
      <c r="L421" s="33"/>
      <c r="M421" s="33"/>
      <c r="N421" s="33"/>
      <c r="O421" s="55"/>
      <c r="P421" s="56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4.25" customHeight="1">
      <c r="A422" s="33"/>
      <c r="B422" s="33"/>
      <c r="C422" s="33"/>
      <c r="D422" s="33"/>
      <c r="E422" s="54"/>
      <c r="F422" s="33"/>
      <c r="G422" s="33"/>
      <c r="H422" s="33"/>
      <c r="I422" s="33"/>
      <c r="J422" s="33"/>
      <c r="K422" s="33"/>
      <c r="L422" s="33"/>
      <c r="M422" s="33"/>
      <c r="N422" s="33"/>
      <c r="O422" s="55"/>
      <c r="P422" s="56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4.25" customHeight="1">
      <c r="A423" s="33"/>
      <c r="B423" s="33"/>
      <c r="C423" s="33"/>
      <c r="D423" s="33"/>
      <c r="E423" s="54"/>
      <c r="F423" s="33"/>
      <c r="G423" s="33"/>
      <c r="H423" s="33"/>
      <c r="I423" s="33"/>
      <c r="J423" s="33"/>
      <c r="K423" s="33"/>
      <c r="L423" s="33"/>
      <c r="M423" s="33"/>
      <c r="N423" s="33"/>
      <c r="O423" s="55"/>
      <c r="P423" s="56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4.25" customHeight="1">
      <c r="A424" s="33"/>
      <c r="B424" s="33"/>
      <c r="C424" s="33"/>
      <c r="D424" s="33"/>
      <c r="E424" s="54"/>
      <c r="F424" s="33"/>
      <c r="G424" s="33"/>
      <c r="H424" s="33"/>
      <c r="I424" s="33"/>
      <c r="J424" s="33"/>
      <c r="K424" s="33"/>
      <c r="L424" s="33"/>
      <c r="M424" s="33"/>
      <c r="N424" s="33"/>
      <c r="O424" s="55"/>
      <c r="P424" s="56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4.25" customHeight="1">
      <c r="A425" s="33"/>
      <c r="B425" s="33"/>
      <c r="C425" s="33"/>
      <c r="D425" s="33"/>
      <c r="E425" s="54"/>
      <c r="F425" s="33"/>
      <c r="G425" s="33"/>
      <c r="H425" s="33"/>
      <c r="I425" s="33"/>
      <c r="J425" s="33"/>
      <c r="K425" s="33"/>
      <c r="L425" s="33"/>
      <c r="M425" s="33"/>
      <c r="N425" s="33"/>
      <c r="O425" s="55"/>
      <c r="P425" s="56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4.25" customHeight="1">
      <c r="A426" s="33"/>
      <c r="B426" s="33"/>
      <c r="C426" s="33"/>
      <c r="D426" s="33"/>
      <c r="E426" s="54"/>
      <c r="F426" s="33"/>
      <c r="G426" s="33"/>
      <c r="H426" s="33"/>
      <c r="I426" s="33"/>
      <c r="J426" s="33"/>
      <c r="K426" s="33"/>
      <c r="L426" s="33"/>
      <c r="M426" s="33"/>
      <c r="N426" s="33"/>
      <c r="O426" s="55"/>
      <c r="P426" s="56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4.25" customHeight="1">
      <c r="A427" s="33"/>
      <c r="B427" s="33"/>
      <c r="C427" s="33"/>
      <c r="D427" s="33"/>
      <c r="E427" s="54"/>
      <c r="F427" s="33"/>
      <c r="G427" s="33"/>
      <c r="H427" s="33"/>
      <c r="I427" s="33"/>
      <c r="J427" s="33"/>
      <c r="K427" s="33"/>
      <c r="L427" s="33"/>
      <c r="M427" s="33"/>
      <c r="N427" s="33"/>
      <c r="O427" s="55"/>
      <c r="P427" s="56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4.25" customHeight="1">
      <c r="A428" s="33"/>
      <c r="B428" s="33"/>
      <c r="C428" s="33"/>
      <c r="D428" s="33"/>
      <c r="E428" s="54"/>
      <c r="F428" s="33"/>
      <c r="G428" s="33"/>
      <c r="H428" s="33"/>
      <c r="I428" s="33"/>
      <c r="J428" s="33"/>
      <c r="K428" s="33"/>
      <c r="L428" s="33"/>
      <c r="M428" s="33"/>
      <c r="N428" s="33"/>
      <c r="O428" s="55"/>
      <c r="P428" s="56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4.25" customHeight="1">
      <c r="A429" s="33"/>
      <c r="B429" s="33"/>
      <c r="C429" s="33"/>
      <c r="D429" s="33"/>
      <c r="E429" s="54"/>
      <c r="F429" s="33"/>
      <c r="G429" s="33"/>
      <c r="H429" s="33"/>
      <c r="I429" s="33"/>
      <c r="J429" s="33"/>
      <c r="K429" s="33"/>
      <c r="L429" s="33"/>
      <c r="M429" s="33"/>
      <c r="N429" s="33"/>
      <c r="O429" s="55"/>
      <c r="P429" s="56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4.25" customHeight="1">
      <c r="A430" s="33"/>
      <c r="B430" s="33"/>
      <c r="C430" s="33"/>
      <c r="D430" s="33"/>
      <c r="E430" s="54"/>
      <c r="F430" s="33"/>
      <c r="G430" s="33"/>
      <c r="H430" s="33"/>
      <c r="I430" s="33"/>
      <c r="J430" s="33"/>
      <c r="K430" s="33"/>
      <c r="L430" s="33"/>
      <c r="M430" s="33"/>
      <c r="N430" s="33"/>
      <c r="O430" s="55"/>
      <c r="P430" s="56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4.25" customHeight="1">
      <c r="A431" s="33"/>
      <c r="B431" s="33"/>
      <c r="C431" s="33"/>
      <c r="D431" s="33"/>
      <c r="E431" s="54"/>
      <c r="F431" s="33"/>
      <c r="G431" s="33"/>
      <c r="H431" s="33"/>
      <c r="I431" s="33"/>
      <c r="J431" s="33"/>
      <c r="K431" s="33"/>
      <c r="L431" s="33"/>
      <c r="M431" s="33"/>
      <c r="N431" s="33"/>
      <c r="O431" s="55"/>
      <c r="P431" s="56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4.25" customHeight="1">
      <c r="A432" s="33"/>
      <c r="B432" s="33"/>
      <c r="C432" s="33"/>
      <c r="D432" s="33"/>
      <c r="E432" s="54"/>
      <c r="F432" s="33"/>
      <c r="G432" s="33"/>
      <c r="H432" s="33"/>
      <c r="I432" s="33"/>
      <c r="J432" s="33"/>
      <c r="K432" s="33"/>
      <c r="L432" s="33"/>
      <c r="M432" s="33"/>
      <c r="N432" s="33"/>
      <c r="O432" s="55"/>
      <c r="P432" s="56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4.25" customHeight="1">
      <c r="A433" s="33"/>
      <c r="B433" s="33"/>
      <c r="C433" s="33"/>
      <c r="D433" s="33"/>
      <c r="E433" s="54"/>
      <c r="F433" s="33"/>
      <c r="G433" s="33"/>
      <c r="H433" s="33"/>
      <c r="I433" s="33"/>
      <c r="J433" s="33"/>
      <c r="K433" s="33"/>
      <c r="L433" s="33"/>
      <c r="M433" s="33"/>
      <c r="N433" s="33"/>
      <c r="O433" s="55"/>
      <c r="P433" s="56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4.25" customHeight="1">
      <c r="A434" s="33"/>
      <c r="B434" s="33"/>
      <c r="C434" s="33"/>
      <c r="D434" s="33"/>
      <c r="E434" s="54"/>
      <c r="F434" s="33"/>
      <c r="G434" s="33"/>
      <c r="H434" s="33"/>
      <c r="I434" s="33"/>
      <c r="J434" s="33"/>
      <c r="K434" s="33"/>
      <c r="L434" s="33"/>
      <c r="M434" s="33"/>
      <c r="N434" s="33"/>
      <c r="O434" s="55"/>
      <c r="P434" s="56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4.25" customHeight="1">
      <c r="A435" s="33"/>
      <c r="B435" s="33"/>
      <c r="C435" s="33"/>
      <c r="D435" s="33"/>
      <c r="E435" s="54"/>
      <c r="F435" s="33"/>
      <c r="G435" s="33"/>
      <c r="H435" s="33"/>
      <c r="I435" s="33"/>
      <c r="J435" s="33"/>
      <c r="K435" s="33"/>
      <c r="L435" s="33"/>
      <c r="M435" s="33"/>
      <c r="N435" s="33"/>
      <c r="O435" s="55"/>
      <c r="P435" s="56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4.25" customHeight="1">
      <c r="A436" s="33"/>
      <c r="B436" s="33"/>
      <c r="C436" s="33"/>
      <c r="D436" s="33"/>
      <c r="E436" s="54"/>
      <c r="F436" s="33"/>
      <c r="G436" s="33"/>
      <c r="H436" s="33"/>
      <c r="I436" s="33"/>
      <c r="J436" s="33"/>
      <c r="K436" s="33"/>
      <c r="L436" s="33"/>
      <c r="M436" s="33"/>
      <c r="N436" s="33"/>
      <c r="O436" s="55"/>
      <c r="P436" s="56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4.25" customHeight="1">
      <c r="A437" s="33"/>
      <c r="B437" s="33"/>
      <c r="C437" s="33"/>
      <c r="D437" s="33"/>
      <c r="E437" s="54"/>
      <c r="F437" s="33"/>
      <c r="G437" s="33"/>
      <c r="H437" s="33"/>
      <c r="I437" s="33"/>
      <c r="J437" s="33"/>
      <c r="K437" s="33"/>
      <c r="L437" s="33"/>
      <c r="M437" s="33"/>
      <c r="N437" s="33"/>
      <c r="O437" s="55"/>
      <c r="P437" s="56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4.25" customHeight="1">
      <c r="A438" s="33"/>
      <c r="B438" s="33"/>
      <c r="C438" s="33"/>
      <c r="D438" s="33"/>
      <c r="E438" s="54"/>
      <c r="F438" s="33"/>
      <c r="G438" s="33"/>
      <c r="H438" s="33"/>
      <c r="I438" s="33"/>
      <c r="J438" s="33"/>
      <c r="K438" s="33"/>
      <c r="L438" s="33"/>
      <c r="M438" s="33"/>
      <c r="N438" s="33"/>
      <c r="O438" s="55"/>
      <c r="P438" s="56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4.25" customHeight="1">
      <c r="A439" s="33"/>
      <c r="B439" s="33"/>
      <c r="C439" s="33"/>
      <c r="D439" s="33"/>
      <c r="E439" s="54"/>
      <c r="F439" s="33"/>
      <c r="G439" s="33"/>
      <c r="H439" s="33"/>
      <c r="I439" s="33"/>
      <c r="J439" s="33"/>
      <c r="K439" s="33"/>
      <c r="L439" s="33"/>
      <c r="M439" s="33"/>
      <c r="N439" s="33"/>
      <c r="O439" s="55"/>
      <c r="P439" s="56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4.25" customHeight="1">
      <c r="A440" s="33"/>
      <c r="B440" s="33"/>
      <c r="C440" s="33"/>
      <c r="D440" s="33"/>
      <c r="E440" s="54"/>
      <c r="F440" s="33"/>
      <c r="G440" s="33"/>
      <c r="H440" s="33"/>
      <c r="I440" s="33"/>
      <c r="J440" s="33"/>
      <c r="K440" s="33"/>
      <c r="L440" s="33"/>
      <c r="M440" s="33"/>
      <c r="N440" s="33"/>
      <c r="O440" s="55"/>
      <c r="P440" s="56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4.25" customHeight="1">
      <c r="A441" s="33"/>
      <c r="B441" s="33"/>
      <c r="C441" s="33"/>
      <c r="D441" s="33"/>
      <c r="E441" s="54"/>
      <c r="F441" s="33"/>
      <c r="G441" s="33"/>
      <c r="H441" s="33"/>
      <c r="I441" s="33"/>
      <c r="J441" s="33"/>
      <c r="K441" s="33"/>
      <c r="L441" s="33"/>
      <c r="M441" s="33"/>
      <c r="N441" s="33"/>
      <c r="O441" s="55"/>
      <c r="P441" s="56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4.25" customHeight="1">
      <c r="A442" s="33"/>
      <c r="B442" s="33"/>
      <c r="C442" s="33"/>
      <c r="D442" s="33"/>
      <c r="E442" s="54"/>
      <c r="F442" s="33"/>
      <c r="G442" s="33"/>
      <c r="H442" s="33"/>
      <c r="I442" s="33"/>
      <c r="J442" s="33"/>
      <c r="K442" s="33"/>
      <c r="L442" s="33"/>
      <c r="M442" s="33"/>
      <c r="N442" s="33"/>
      <c r="O442" s="55"/>
      <c r="P442" s="56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4.25" customHeight="1">
      <c r="A443" s="33"/>
      <c r="B443" s="33"/>
      <c r="C443" s="33"/>
      <c r="D443" s="33"/>
      <c r="E443" s="54"/>
      <c r="F443" s="33"/>
      <c r="G443" s="33"/>
      <c r="H443" s="33"/>
      <c r="I443" s="33"/>
      <c r="J443" s="33"/>
      <c r="K443" s="33"/>
      <c r="L443" s="33"/>
      <c r="M443" s="33"/>
      <c r="N443" s="33"/>
      <c r="O443" s="55"/>
      <c r="P443" s="56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4.25" customHeight="1">
      <c r="A444" s="33"/>
      <c r="B444" s="33"/>
      <c r="C444" s="33"/>
      <c r="D444" s="33"/>
      <c r="E444" s="54"/>
      <c r="F444" s="33"/>
      <c r="G444" s="33"/>
      <c r="H444" s="33"/>
      <c r="I444" s="33"/>
      <c r="J444" s="33"/>
      <c r="K444" s="33"/>
      <c r="L444" s="33"/>
      <c r="M444" s="33"/>
      <c r="N444" s="33"/>
      <c r="O444" s="55"/>
      <c r="P444" s="56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4.25" customHeight="1">
      <c r="A445" s="33"/>
      <c r="B445" s="33"/>
      <c r="C445" s="33"/>
      <c r="D445" s="33"/>
      <c r="E445" s="54"/>
      <c r="F445" s="33"/>
      <c r="G445" s="33"/>
      <c r="H445" s="33"/>
      <c r="I445" s="33"/>
      <c r="J445" s="33"/>
      <c r="K445" s="33"/>
      <c r="L445" s="33"/>
      <c r="M445" s="33"/>
      <c r="N445" s="33"/>
      <c r="O445" s="55"/>
      <c r="P445" s="56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4.25" customHeight="1">
      <c r="A446" s="33"/>
      <c r="B446" s="33"/>
      <c r="C446" s="33"/>
      <c r="D446" s="33"/>
      <c r="E446" s="54"/>
      <c r="F446" s="33"/>
      <c r="G446" s="33"/>
      <c r="H446" s="33"/>
      <c r="I446" s="33"/>
      <c r="J446" s="33"/>
      <c r="K446" s="33"/>
      <c r="L446" s="33"/>
      <c r="M446" s="33"/>
      <c r="N446" s="33"/>
      <c r="O446" s="55"/>
      <c r="P446" s="56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4.25" customHeight="1">
      <c r="A447" s="33"/>
      <c r="B447" s="33"/>
      <c r="C447" s="33"/>
      <c r="D447" s="33"/>
      <c r="E447" s="54"/>
      <c r="F447" s="33"/>
      <c r="G447" s="33"/>
      <c r="H447" s="33"/>
      <c r="I447" s="33"/>
      <c r="J447" s="33"/>
      <c r="K447" s="33"/>
      <c r="L447" s="33"/>
      <c r="M447" s="33"/>
      <c r="N447" s="33"/>
      <c r="O447" s="55"/>
      <c r="P447" s="56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4.25" customHeight="1">
      <c r="A448" s="33"/>
      <c r="B448" s="33"/>
      <c r="C448" s="33"/>
      <c r="D448" s="33"/>
      <c r="E448" s="54"/>
      <c r="F448" s="33"/>
      <c r="G448" s="33"/>
      <c r="H448" s="33"/>
      <c r="I448" s="33"/>
      <c r="J448" s="33"/>
      <c r="K448" s="33"/>
      <c r="L448" s="33"/>
      <c r="M448" s="33"/>
      <c r="N448" s="33"/>
      <c r="O448" s="55"/>
      <c r="P448" s="56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4.25" customHeight="1">
      <c r="A449" s="33"/>
      <c r="B449" s="33"/>
      <c r="C449" s="33"/>
      <c r="D449" s="33"/>
      <c r="E449" s="54"/>
      <c r="F449" s="33"/>
      <c r="G449" s="33"/>
      <c r="H449" s="33"/>
      <c r="I449" s="33"/>
      <c r="J449" s="33"/>
      <c r="K449" s="33"/>
      <c r="L449" s="33"/>
      <c r="M449" s="33"/>
      <c r="N449" s="33"/>
      <c r="O449" s="55"/>
      <c r="P449" s="56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4.25" customHeight="1">
      <c r="A450" s="33"/>
      <c r="B450" s="33"/>
      <c r="C450" s="33"/>
      <c r="D450" s="33"/>
      <c r="E450" s="54"/>
      <c r="F450" s="33"/>
      <c r="G450" s="33"/>
      <c r="H450" s="33"/>
      <c r="I450" s="33"/>
      <c r="J450" s="33"/>
      <c r="K450" s="33"/>
      <c r="L450" s="33"/>
      <c r="M450" s="33"/>
      <c r="N450" s="33"/>
      <c r="O450" s="55"/>
      <c r="P450" s="56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4.25" customHeight="1">
      <c r="A451" s="33"/>
      <c r="B451" s="33"/>
      <c r="C451" s="33"/>
      <c r="D451" s="33"/>
      <c r="E451" s="54"/>
      <c r="F451" s="33"/>
      <c r="G451" s="33"/>
      <c r="H451" s="33"/>
      <c r="I451" s="33"/>
      <c r="J451" s="33"/>
      <c r="K451" s="33"/>
      <c r="L451" s="33"/>
      <c r="M451" s="33"/>
      <c r="N451" s="33"/>
      <c r="O451" s="55"/>
      <c r="P451" s="56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4.25" customHeight="1">
      <c r="A452" s="33"/>
      <c r="B452" s="33"/>
      <c r="C452" s="33"/>
      <c r="D452" s="33"/>
      <c r="E452" s="54"/>
      <c r="F452" s="33"/>
      <c r="G452" s="33"/>
      <c r="H452" s="33"/>
      <c r="I452" s="33"/>
      <c r="J452" s="33"/>
      <c r="K452" s="33"/>
      <c r="L452" s="33"/>
      <c r="M452" s="33"/>
      <c r="N452" s="33"/>
      <c r="O452" s="55"/>
      <c r="P452" s="56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4.25" customHeight="1">
      <c r="A453" s="33"/>
      <c r="B453" s="33"/>
      <c r="C453" s="33"/>
      <c r="D453" s="33"/>
      <c r="E453" s="54"/>
      <c r="F453" s="33"/>
      <c r="G453" s="33"/>
      <c r="H453" s="33"/>
      <c r="I453" s="33"/>
      <c r="J453" s="33"/>
      <c r="K453" s="33"/>
      <c r="L453" s="33"/>
      <c r="M453" s="33"/>
      <c r="N453" s="33"/>
      <c r="O453" s="55"/>
      <c r="P453" s="56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4.25" customHeight="1">
      <c r="A454" s="33"/>
      <c r="B454" s="33"/>
      <c r="C454" s="33"/>
      <c r="D454" s="33"/>
      <c r="E454" s="54"/>
      <c r="F454" s="33"/>
      <c r="G454" s="33"/>
      <c r="H454" s="33"/>
      <c r="I454" s="33"/>
      <c r="J454" s="33"/>
      <c r="K454" s="33"/>
      <c r="L454" s="33"/>
      <c r="M454" s="33"/>
      <c r="N454" s="33"/>
      <c r="O454" s="55"/>
      <c r="P454" s="56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4.25" customHeight="1">
      <c r="A455" s="33"/>
      <c r="B455" s="33"/>
      <c r="C455" s="33"/>
      <c r="D455" s="33"/>
      <c r="E455" s="54"/>
      <c r="F455" s="33"/>
      <c r="G455" s="33"/>
      <c r="H455" s="33"/>
      <c r="I455" s="33"/>
      <c r="J455" s="33"/>
      <c r="K455" s="33"/>
      <c r="L455" s="33"/>
      <c r="M455" s="33"/>
      <c r="N455" s="33"/>
      <c r="O455" s="55"/>
      <c r="P455" s="56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4.25" customHeight="1">
      <c r="A456" s="33"/>
      <c r="B456" s="33"/>
      <c r="C456" s="33"/>
      <c r="D456" s="33"/>
      <c r="E456" s="54"/>
      <c r="F456" s="33"/>
      <c r="G456" s="33"/>
      <c r="H456" s="33"/>
      <c r="I456" s="33"/>
      <c r="J456" s="33"/>
      <c r="K456" s="33"/>
      <c r="L456" s="33"/>
      <c r="M456" s="33"/>
      <c r="N456" s="33"/>
      <c r="O456" s="55"/>
      <c r="P456" s="56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4.25" customHeight="1">
      <c r="A457" s="33"/>
      <c r="B457" s="33"/>
      <c r="C457" s="33"/>
      <c r="D457" s="33"/>
      <c r="E457" s="54"/>
      <c r="F457" s="33"/>
      <c r="G457" s="33"/>
      <c r="H457" s="33"/>
      <c r="I457" s="33"/>
      <c r="J457" s="33"/>
      <c r="K457" s="33"/>
      <c r="L457" s="33"/>
      <c r="M457" s="33"/>
      <c r="N457" s="33"/>
      <c r="O457" s="55"/>
      <c r="P457" s="56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4.25" customHeight="1">
      <c r="A458" s="33"/>
      <c r="B458" s="33"/>
      <c r="C458" s="33"/>
      <c r="D458" s="33"/>
      <c r="E458" s="54"/>
      <c r="F458" s="33"/>
      <c r="G458" s="33"/>
      <c r="H458" s="33"/>
      <c r="I458" s="33"/>
      <c r="J458" s="33"/>
      <c r="K458" s="33"/>
      <c r="L458" s="33"/>
      <c r="M458" s="33"/>
      <c r="N458" s="33"/>
      <c r="O458" s="55"/>
      <c r="P458" s="56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4.25" customHeight="1">
      <c r="A459" s="33"/>
      <c r="B459" s="33"/>
      <c r="C459" s="33"/>
      <c r="D459" s="33"/>
      <c r="E459" s="54"/>
      <c r="F459" s="33"/>
      <c r="G459" s="33"/>
      <c r="H459" s="33"/>
      <c r="I459" s="33"/>
      <c r="J459" s="33"/>
      <c r="K459" s="33"/>
      <c r="L459" s="33"/>
      <c r="M459" s="33"/>
      <c r="N459" s="33"/>
      <c r="O459" s="55"/>
      <c r="P459" s="56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4.25" customHeight="1">
      <c r="A460" s="33"/>
      <c r="B460" s="33"/>
      <c r="C460" s="33"/>
      <c r="D460" s="33"/>
      <c r="E460" s="54"/>
      <c r="F460" s="33"/>
      <c r="G460" s="33"/>
      <c r="H460" s="33"/>
      <c r="I460" s="33"/>
      <c r="J460" s="33"/>
      <c r="K460" s="33"/>
      <c r="L460" s="33"/>
      <c r="M460" s="33"/>
      <c r="N460" s="33"/>
      <c r="O460" s="55"/>
      <c r="P460" s="56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4.25" customHeight="1">
      <c r="A461" s="33"/>
      <c r="B461" s="33"/>
      <c r="C461" s="33"/>
      <c r="D461" s="33"/>
      <c r="E461" s="54"/>
      <c r="F461" s="33"/>
      <c r="G461" s="33"/>
      <c r="H461" s="33"/>
      <c r="I461" s="33"/>
      <c r="J461" s="33"/>
      <c r="K461" s="33"/>
      <c r="L461" s="33"/>
      <c r="M461" s="33"/>
      <c r="N461" s="33"/>
      <c r="O461" s="55"/>
      <c r="P461" s="56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4.25" customHeight="1">
      <c r="A462" s="33"/>
      <c r="B462" s="33"/>
      <c r="C462" s="33"/>
      <c r="D462" s="33"/>
      <c r="E462" s="54"/>
      <c r="F462" s="33"/>
      <c r="G462" s="33"/>
      <c r="H462" s="33"/>
      <c r="I462" s="33"/>
      <c r="J462" s="33"/>
      <c r="K462" s="33"/>
      <c r="L462" s="33"/>
      <c r="M462" s="33"/>
      <c r="N462" s="33"/>
      <c r="O462" s="55"/>
      <c r="P462" s="56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4.25" customHeight="1">
      <c r="A463" s="33"/>
      <c r="B463" s="33"/>
      <c r="C463" s="33"/>
      <c r="D463" s="33"/>
      <c r="E463" s="54"/>
      <c r="F463" s="33"/>
      <c r="G463" s="33"/>
      <c r="H463" s="33"/>
      <c r="I463" s="33"/>
      <c r="J463" s="33"/>
      <c r="K463" s="33"/>
      <c r="L463" s="33"/>
      <c r="M463" s="33"/>
      <c r="N463" s="33"/>
      <c r="O463" s="55"/>
      <c r="P463" s="56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M1:N1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78"/>
    <col customWidth="1" min="2" max="2" width="19.56"/>
    <col customWidth="1" min="3" max="3" width="24.22"/>
    <col customWidth="1" min="4" max="4" width="14.11"/>
    <col customWidth="1" min="5" max="5" width="26.44"/>
    <col customWidth="1" min="6" max="6" width="12.89"/>
    <col customWidth="1" min="7" max="7" width="11.78"/>
    <col customWidth="1" min="8" max="8" width="20.0"/>
    <col customWidth="1" min="9" max="9" width="15.44"/>
    <col customWidth="1" min="10" max="10" width="24.44"/>
    <col customWidth="1" min="11" max="11" width="14.89"/>
    <col customWidth="1" min="12" max="12" width="15.11"/>
    <col customWidth="1" min="13" max="13" width="20.0"/>
    <col customWidth="1" min="14" max="14" width="21.33"/>
    <col customWidth="1" min="15" max="15" width="22.22"/>
    <col customWidth="1" min="16" max="16" width="18.89"/>
    <col customWidth="1" min="17" max="17" width="15.78"/>
    <col customWidth="1" min="18" max="18" width="20.56"/>
    <col customWidth="1" min="19" max="19" width="15.0"/>
    <col customWidth="1" min="20" max="20" width="21.0"/>
    <col customWidth="1" min="21" max="21" width="15.22"/>
    <col customWidth="1" min="22" max="22" width="17.22"/>
    <col customWidth="1" min="23" max="23" width="9.0"/>
    <col customWidth="1" min="24" max="24" width="18.56"/>
    <col customWidth="1" min="25" max="25" width="9.78"/>
    <col customWidth="1" min="26" max="26" width="13.44"/>
    <col customWidth="1" min="27" max="27" width="13.11"/>
  </cols>
  <sheetData>
    <row r="1" ht="22.5" customHeight="1">
      <c r="A1" s="57" t="s">
        <v>379</v>
      </c>
      <c r="B1" s="58" t="s">
        <v>380</v>
      </c>
      <c r="C1" s="58" t="s">
        <v>381</v>
      </c>
      <c r="D1" s="58" t="s">
        <v>382</v>
      </c>
      <c r="E1" s="58" t="s">
        <v>383</v>
      </c>
      <c r="F1" s="58" t="s">
        <v>384</v>
      </c>
      <c r="G1" s="58" t="s">
        <v>92</v>
      </c>
      <c r="H1" s="59" t="s">
        <v>385</v>
      </c>
      <c r="I1" s="58" t="s">
        <v>386</v>
      </c>
      <c r="J1" s="58" t="s">
        <v>387</v>
      </c>
      <c r="K1" s="58" t="s">
        <v>388</v>
      </c>
      <c r="L1" s="58" t="s">
        <v>389</v>
      </c>
      <c r="M1" s="58" t="s">
        <v>390</v>
      </c>
      <c r="N1" s="58" t="s">
        <v>391</v>
      </c>
      <c r="O1" s="58" t="s">
        <v>392</v>
      </c>
      <c r="P1" s="58" t="s">
        <v>393</v>
      </c>
      <c r="Q1" s="58" t="s">
        <v>94</v>
      </c>
      <c r="R1" s="58" t="s">
        <v>394</v>
      </c>
      <c r="S1" s="58" t="s">
        <v>99</v>
      </c>
      <c r="T1" s="58" t="s">
        <v>395</v>
      </c>
      <c r="U1" s="58" t="s">
        <v>100</v>
      </c>
      <c r="V1" s="58" t="s">
        <v>396</v>
      </c>
      <c r="W1" s="58" t="s">
        <v>347</v>
      </c>
      <c r="X1" s="58" t="s">
        <v>397</v>
      </c>
      <c r="Y1" s="58" t="s">
        <v>398</v>
      </c>
      <c r="Z1" s="58" t="s">
        <v>399</v>
      </c>
      <c r="AA1" s="58" t="s">
        <v>400</v>
      </c>
    </row>
    <row r="2" ht="22.5" customHeight="1">
      <c r="A2" s="60">
        <v>45967.0</v>
      </c>
      <c r="B2" s="61" t="s">
        <v>401</v>
      </c>
      <c r="C2" s="61" t="s">
        <v>402</v>
      </c>
      <c r="D2" s="62">
        <v>1.0</v>
      </c>
      <c r="E2" s="63" t="s">
        <v>403</v>
      </c>
      <c r="F2" s="64" t="str">
        <f t="array" ref="F2">IFERROR(INDEX(PROCEDIMENTOS!$A$2:$A$48,MATCH('PRECIFICAÇÃO '!$E2,PROCEDIMENTOS!$B$2:$B$48,0)),"")</f>
        <v>PROCEDIMENTO</v>
      </c>
      <c r="G2" s="65">
        <f t="array" ref="G2">IFERROR(INDEX(PROCEDIMENTOS!$C$2:$C$48,MATCH('PRECIFICAÇÃO '!$E2,PROCEDIMENTOS!$B$2:$B$48,0)),"")</f>
        <v>45</v>
      </c>
      <c r="H2" s="66">
        <v>500.0</v>
      </c>
      <c r="I2" s="67"/>
      <c r="J2" s="63" t="s">
        <v>404</v>
      </c>
      <c r="K2" s="68"/>
      <c r="L2" s="69">
        <f>IFERROR(VLOOKUP('PRECIFICAÇÃO '!$J2,TAXA!$A$2:$C$18,2,FALSE),"")</f>
        <v>0</v>
      </c>
      <c r="M2" s="70">
        <f t="shared" ref="M2:M100" si="1">IFERROR(L2*H2,0)</f>
        <v>0</v>
      </c>
      <c r="N2" s="69">
        <f>IFERROR(VLOOKUP('PRECIFICAÇÃO '!$J2,TAXA!$A$2:$C$18,3,FALSE),"")</f>
        <v>0</v>
      </c>
      <c r="O2" s="70">
        <f t="shared" ref="O2:O100" si="2">IFERROR(N2*H2,0)</f>
        <v>0</v>
      </c>
      <c r="P2" s="70">
        <f>IFERROR('PRECIFICAÇÃO '!$H2-'PRECIFICAÇÃO '!$M2-'PRECIFICAÇÃO '!$O2,0)</f>
        <v>500</v>
      </c>
      <c r="Q2" s="71">
        <f t="array" ref="Q2">IFERROR(INDEX(PROCEDIMENTOS!$D$2:$D$48,MATCH('PRECIFICAÇÃO '!$E2,PROCEDIMENTOS!$B$2:$B$48,0)),"")</f>
        <v>7.8</v>
      </c>
      <c r="R2" s="70">
        <f t="shared" ref="R2:R100" si="3">G2*3.12</f>
        <v>140.4</v>
      </c>
      <c r="S2" s="72">
        <f t="shared" ref="S2:S8" si="4">IFERROR(H2*16.5%,0)</f>
        <v>82.5</v>
      </c>
      <c r="T2" s="72"/>
      <c r="U2" s="72">
        <f t="shared" ref="U2:U8" si="5">IFERROR(H2*3%,0)</f>
        <v>15</v>
      </c>
      <c r="V2" s="73">
        <f>'PRECIFICAÇÃO '!$Q2+'PRECIFICAÇÃO '!$R2+'PRECIFICAÇÃO '!$S2+'PRECIFICAÇÃO '!$T2+'PRECIFICAÇÃO '!$U2</f>
        <v>245.7</v>
      </c>
      <c r="W2" s="74">
        <f t="shared" ref="W2:W100" si="6">IFERROR(V2/H2,0)</f>
        <v>0.4914</v>
      </c>
      <c r="X2" s="73">
        <f t="shared" ref="X2:X100" si="7">IFERROR(P2-V2,0)</f>
        <v>254.3</v>
      </c>
      <c r="Y2" s="75">
        <f t="shared" ref="Y2:Y100" si="8">IFERROR(X2/H2,0)</f>
        <v>0.5086</v>
      </c>
      <c r="Z2" s="73">
        <f t="shared" ref="Z2:Z100" si="9">IFERROR(X2*20%,0)</f>
        <v>50.86</v>
      </c>
      <c r="AA2" s="73">
        <f t="shared" ref="AA2:AA100" si="10">IFERROR(X2*80%,0)</f>
        <v>203.44</v>
      </c>
    </row>
    <row r="3" ht="22.5" customHeight="1">
      <c r="A3" s="60">
        <v>45973.0</v>
      </c>
      <c r="B3" s="61" t="s">
        <v>401</v>
      </c>
      <c r="C3" s="76" t="s">
        <v>405</v>
      </c>
      <c r="D3" s="77">
        <v>1.0</v>
      </c>
      <c r="E3" s="63" t="s">
        <v>406</v>
      </c>
      <c r="F3" s="64" t="str">
        <f t="array" ref="F3">IFERROR(INDEX(PROCEDIMENTOS!$A$2:$A$48,MATCH('PRECIFICAÇÃO '!$E3,PROCEDIMENTOS!$B$2:$B$48,0)),"")</f>
        <v>PROCEDIMENTO</v>
      </c>
      <c r="G3" s="65">
        <f t="array" ref="G3">IFERROR(INDEX(PROCEDIMENTOS!$C$2:$C$48,MATCH('PRECIFICAÇÃO '!$E3,PROCEDIMENTOS!$B$2:$B$48,0)),"")</f>
        <v>30</v>
      </c>
      <c r="H3" s="66">
        <v>1250.0</v>
      </c>
      <c r="I3" s="66"/>
      <c r="J3" s="63" t="s">
        <v>404</v>
      </c>
      <c r="K3" s="68"/>
      <c r="L3" s="69">
        <f>IFERROR(VLOOKUP('PRECIFICAÇÃO '!$J3,TAXA!$A$2:$C$18,2,FALSE),"")</f>
        <v>0</v>
      </c>
      <c r="M3" s="70">
        <f t="shared" si="1"/>
        <v>0</v>
      </c>
      <c r="N3" s="69">
        <f>IFERROR(VLOOKUP('PRECIFICAÇÃO '!$J3,TAXA!$A$2:$C$18,3,FALSE),"")</f>
        <v>0</v>
      </c>
      <c r="O3" s="70">
        <f t="shared" si="2"/>
        <v>0</v>
      </c>
      <c r="P3" s="70">
        <f>IFERROR('PRECIFICAÇÃO '!$H3-'PRECIFICAÇÃO '!$M3-'PRECIFICAÇÃO '!$O3,0)</f>
        <v>1250</v>
      </c>
      <c r="Q3" s="71">
        <f t="array" ref="Q3">IFERROR(INDEX(PROCEDIMENTOS!$D$2:$D$48,MATCH('PRECIFICAÇÃO '!$E3,PROCEDIMENTOS!$B$2:$B$48,0)),"")</f>
        <v>566.4</v>
      </c>
      <c r="R3" s="70">
        <f t="shared" si="3"/>
        <v>93.6</v>
      </c>
      <c r="S3" s="72">
        <f t="shared" si="4"/>
        <v>206.25</v>
      </c>
      <c r="T3" s="72"/>
      <c r="U3" s="72">
        <f t="shared" si="5"/>
        <v>37.5</v>
      </c>
      <c r="V3" s="73">
        <f>'PRECIFICAÇÃO '!$Q3+'PRECIFICAÇÃO '!$R3+'PRECIFICAÇÃO '!$S3+'PRECIFICAÇÃO '!$T3+'PRECIFICAÇÃO '!$U3</f>
        <v>903.75</v>
      </c>
      <c r="W3" s="74">
        <f t="shared" si="6"/>
        <v>0.723</v>
      </c>
      <c r="X3" s="73">
        <f t="shared" si="7"/>
        <v>346.25</v>
      </c>
      <c r="Y3" s="75">
        <f t="shared" si="8"/>
        <v>0.277</v>
      </c>
      <c r="Z3" s="73">
        <f t="shared" si="9"/>
        <v>69.25</v>
      </c>
      <c r="AA3" s="73">
        <f t="shared" si="10"/>
        <v>277</v>
      </c>
    </row>
    <row r="4" ht="22.5" customHeight="1">
      <c r="A4" s="60">
        <v>45974.0</v>
      </c>
      <c r="B4" s="61" t="s">
        <v>401</v>
      </c>
      <c r="C4" s="61" t="s">
        <v>407</v>
      </c>
      <c r="D4" s="62">
        <v>1.0</v>
      </c>
      <c r="E4" s="63" t="s">
        <v>408</v>
      </c>
      <c r="F4" s="64" t="str">
        <f t="array" ref="F4">IFERROR(INDEX(PROCEDIMENTOS!$A$2:$A$48,MATCH('PRECIFICAÇÃO '!$E4,PROCEDIMENTOS!$B$2:$B$48,0)),"")</f>
        <v>PROCEDIMENTO</v>
      </c>
      <c r="G4" s="62">
        <v>0.0</v>
      </c>
      <c r="H4" s="66">
        <v>1700.0</v>
      </c>
      <c r="I4" s="67"/>
      <c r="J4" s="63" t="s">
        <v>404</v>
      </c>
      <c r="K4" s="68"/>
      <c r="L4" s="69">
        <f>IFERROR(VLOOKUP('PRECIFICAÇÃO '!$J4,TAXA!$A$2:$C$18,2,FALSE),"")</f>
        <v>0</v>
      </c>
      <c r="M4" s="70">
        <f t="shared" si="1"/>
        <v>0</v>
      </c>
      <c r="N4" s="69">
        <f>IFERROR(VLOOKUP('PRECIFICAÇÃO '!$J4,TAXA!$A$2:$C$18,3,FALSE),"")</f>
        <v>0</v>
      </c>
      <c r="O4" s="70">
        <f t="shared" si="2"/>
        <v>0</v>
      </c>
      <c r="P4" s="70">
        <f>IFERROR('PRECIFICAÇÃO '!$H4-'PRECIFICAÇÃO '!$M4-'PRECIFICAÇÃO '!$O4,0)</f>
        <v>1700</v>
      </c>
      <c r="Q4" s="71">
        <f t="array" ref="Q4">IFERROR(INDEX(PROCEDIMENTOS!$D$2:$D$48,MATCH('PRECIFICAÇÃO '!$E4,PROCEDIMENTOS!$B$2:$B$48,0)),"")</f>
        <v>1575</v>
      </c>
      <c r="R4" s="70">
        <f t="shared" si="3"/>
        <v>0</v>
      </c>
      <c r="S4" s="72">
        <f t="shared" si="4"/>
        <v>280.5</v>
      </c>
      <c r="T4" s="72"/>
      <c r="U4" s="72">
        <f t="shared" si="5"/>
        <v>51</v>
      </c>
      <c r="V4" s="73">
        <f>'PRECIFICAÇÃO '!$Q4+'PRECIFICAÇÃO '!$R4+'PRECIFICAÇÃO '!$S4+'PRECIFICAÇÃO '!$T4+'PRECIFICAÇÃO '!$U4</f>
        <v>1906.5</v>
      </c>
      <c r="W4" s="74">
        <f t="shared" si="6"/>
        <v>1.121470588</v>
      </c>
      <c r="X4" s="73">
        <f t="shared" si="7"/>
        <v>-206.5</v>
      </c>
      <c r="Y4" s="75">
        <f t="shared" si="8"/>
        <v>-0.1214705882</v>
      </c>
      <c r="Z4" s="73">
        <f t="shared" si="9"/>
        <v>-41.3</v>
      </c>
      <c r="AA4" s="73">
        <f t="shared" si="10"/>
        <v>-165.2</v>
      </c>
    </row>
    <row r="5" ht="22.5" customHeight="1">
      <c r="A5" s="60">
        <v>45975.0</v>
      </c>
      <c r="B5" s="61" t="s">
        <v>401</v>
      </c>
      <c r="C5" s="61" t="s">
        <v>409</v>
      </c>
      <c r="D5" s="62">
        <v>1.0</v>
      </c>
      <c r="E5" s="63" t="s">
        <v>410</v>
      </c>
      <c r="F5" s="64" t="str">
        <f t="array" ref="F5">IFERROR(INDEX(PROCEDIMENTOS!$A$2:$A$48,MATCH('PRECIFICAÇÃO '!$E5,PROCEDIMENTOS!$B$2:$B$48,0)),"")</f>
        <v>CONSULTA</v>
      </c>
      <c r="G5" s="65">
        <f t="array" ref="G5">IFERROR(INDEX(PROCEDIMENTOS!$C$2:$C$48,MATCH('PRECIFICAÇÃO '!$E5,PROCEDIMENTOS!$B$2:$B$48,0)),"")</f>
        <v>90</v>
      </c>
      <c r="H5" s="66">
        <v>800.0</v>
      </c>
      <c r="I5" s="67"/>
      <c r="J5" s="63" t="s">
        <v>404</v>
      </c>
      <c r="K5" s="68"/>
      <c r="L5" s="69">
        <f>IFERROR(VLOOKUP('PRECIFICAÇÃO '!$J5,TAXA!$A$2:$C$18,2,FALSE),"")</f>
        <v>0</v>
      </c>
      <c r="M5" s="70">
        <f t="shared" si="1"/>
        <v>0</v>
      </c>
      <c r="N5" s="69">
        <f>IFERROR(VLOOKUP('PRECIFICAÇÃO '!$J5,TAXA!$A$2:$C$18,3,FALSE),"")</f>
        <v>0</v>
      </c>
      <c r="O5" s="70">
        <f t="shared" si="2"/>
        <v>0</v>
      </c>
      <c r="P5" s="70">
        <f>IFERROR('PRECIFICAÇÃO '!$H5-'PRECIFICAÇÃO '!$M5-'PRECIFICAÇÃO '!$O5,0)</f>
        <v>800</v>
      </c>
      <c r="Q5" s="71">
        <f t="array" ref="Q5">IFERROR(INDEX(PROCEDIMENTOS!$D$2:$D$48,MATCH('PRECIFICAÇÃO '!$E5,PROCEDIMENTOS!$B$2:$B$48,0)),"")</f>
        <v>0</v>
      </c>
      <c r="R5" s="70">
        <f t="shared" si="3"/>
        <v>280.8</v>
      </c>
      <c r="S5" s="72">
        <f t="shared" si="4"/>
        <v>132</v>
      </c>
      <c r="T5" s="72"/>
      <c r="U5" s="72">
        <f t="shared" si="5"/>
        <v>24</v>
      </c>
      <c r="V5" s="73">
        <f>'PRECIFICAÇÃO '!$Q5+'PRECIFICAÇÃO '!$R5+'PRECIFICAÇÃO '!$S5+'PRECIFICAÇÃO '!$T5+'PRECIFICAÇÃO '!$U5</f>
        <v>436.8</v>
      </c>
      <c r="W5" s="74">
        <f t="shared" si="6"/>
        <v>0.546</v>
      </c>
      <c r="X5" s="73">
        <f t="shared" si="7"/>
        <v>363.2</v>
      </c>
      <c r="Y5" s="75">
        <f t="shared" si="8"/>
        <v>0.454</v>
      </c>
      <c r="Z5" s="73">
        <f t="shared" si="9"/>
        <v>72.64</v>
      </c>
      <c r="AA5" s="73">
        <f t="shared" si="10"/>
        <v>290.56</v>
      </c>
    </row>
    <row r="6" ht="22.5" customHeight="1">
      <c r="A6" s="60">
        <v>45979.0</v>
      </c>
      <c r="B6" s="61" t="s">
        <v>401</v>
      </c>
      <c r="C6" s="61" t="s">
        <v>411</v>
      </c>
      <c r="D6" s="62">
        <v>1.0</v>
      </c>
      <c r="E6" s="63" t="s">
        <v>406</v>
      </c>
      <c r="F6" s="64" t="str">
        <f t="array" ref="F6">IFERROR(INDEX(PROCEDIMENTOS!$A$2:$A$48,MATCH('PRECIFICAÇÃO '!$E6,PROCEDIMENTOS!$B$2:$B$48,0)),"")</f>
        <v>PROCEDIMENTO</v>
      </c>
      <c r="G6" s="65">
        <f t="array" ref="G6">IFERROR(INDEX(PROCEDIMENTOS!$C$2:$C$48,MATCH('PRECIFICAÇÃO '!$E6,PROCEDIMENTOS!$B$2:$B$48,0)),"")</f>
        <v>30</v>
      </c>
      <c r="H6" s="66">
        <v>1425.0</v>
      </c>
      <c r="I6" s="67"/>
      <c r="J6" s="63" t="s">
        <v>404</v>
      </c>
      <c r="K6" s="68"/>
      <c r="L6" s="69">
        <f>IFERROR(VLOOKUP('PRECIFICAÇÃO '!$J6,TAXA!$A$2:$C$18,2,FALSE),"")</f>
        <v>0</v>
      </c>
      <c r="M6" s="70">
        <f t="shared" si="1"/>
        <v>0</v>
      </c>
      <c r="N6" s="69">
        <f>IFERROR(VLOOKUP('PRECIFICAÇÃO '!$J6,TAXA!$A$2:$C$18,3,FALSE),"")</f>
        <v>0</v>
      </c>
      <c r="O6" s="70">
        <f t="shared" si="2"/>
        <v>0</v>
      </c>
      <c r="P6" s="70">
        <f>IFERROR('PRECIFICAÇÃO '!$H6-'PRECIFICAÇÃO '!$M6-'PRECIFICAÇÃO '!$O6,0)</f>
        <v>1425</v>
      </c>
      <c r="Q6" s="71">
        <f t="array" ref="Q6">IFERROR(INDEX(PROCEDIMENTOS!$D$2:$D$48,MATCH('PRECIFICAÇÃO '!$E6,PROCEDIMENTOS!$B$2:$B$48,0)),"")</f>
        <v>566.4</v>
      </c>
      <c r="R6" s="70">
        <f t="shared" si="3"/>
        <v>93.6</v>
      </c>
      <c r="S6" s="72">
        <f t="shared" si="4"/>
        <v>235.125</v>
      </c>
      <c r="T6" s="72"/>
      <c r="U6" s="72">
        <f t="shared" si="5"/>
        <v>42.75</v>
      </c>
      <c r="V6" s="73">
        <f>'PRECIFICAÇÃO '!$Q6+'PRECIFICAÇÃO '!$R6+'PRECIFICAÇÃO '!$S6+'PRECIFICAÇÃO '!$T6+'PRECIFICAÇÃO '!$U6</f>
        <v>937.875</v>
      </c>
      <c r="W6" s="74">
        <f t="shared" si="6"/>
        <v>0.6581578947</v>
      </c>
      <c r="X6" s="73">
        <f t="shared" si="7"/>
        <v>487.125</v>
      </c>
      <c r="Y6" s="75">
        <f t="shared" si="8"/>
        <v>0.3418421053</v>
      </c>
      <c r="Z6" s="73">
        <f t="shared" si="9"/>
        <v>97.425</v>
      </c>
      <c r="AA6" s="73">
        <f t="shared" si="10"/>
        <v>389.7</v>
      </c>
    </row>
    <row r="7" ht="22.5" customHeight="1">
      <c r="A7" s="60">
        <v>45985.0</v>
      </c>
      <c r="B7" s="61" t="s">
        <v>401</v>
      </c>
      <c r="C7" s="61" t="s">
        <v>412</v>
      </c>
      <c r="D7" s="62">
        <v>1.0</v>
      </c>
      <c r="E7" s="63" t="s">
        <v>413</v>
      </c>
      <c r="F7" s="64" t="str">
        <f t="array" ref="F7">IFERROR(INDEX(PROCEDIMENTOS!$A$2:$A$48,MATCH('PRECIFICAÇÃO '!$E7,PROCEDIMENTOS!$B$2:$B$48,0)),"")</f>
        <v>PROCEDIMENTO</v>
      </c>
      <c r="G7" s="65">
        <f t="array" ref="G7">IFERROR(INDEX(PROCEDIMENTOS!$C$2:$C$48,MATCH('PRECIFICAÇÃO '!$E7,PROCEDIMENTOS!$B$2:$B$48,0)),"")</f>
        <v>270</v>
      </c>
      <c r="H7" s="66">
        <v>4500.0</v>
      </c>
      <c r="I7" s="67"/>
      <c r="J7" s="63" t="s">
        <v>414</v>
      </c>
      <c r="K7" s="68"/>
      <c r="L7" s="69">
        <f>IFERROR(VLOOKUP('PRECIFICAÇÃO '!$J7,TAXA!$A$2:$C$18,2,FALSE),"")</f>
        <v>0.0313</v>
      </c>
      <c r="M7" s="70">
        <f t="shared" si="1"/>
        <v>140.85</v>
      </c>
      <c r="N7" s="69">
        <f>IFERROR(VLOOKUP('PRECIFICAÇÃO '!$J7,TAXA!$A$2:$C$18,3,FALSE),"")</f>
        <v>0</v>
      </c>
      <c r="O7" s="70">
        <f t="shared" si="2"/>
        <v>0</v>
      </c>
      <c r="P7" s="70">
        <f>IFERROR('PRECIFICAÇÃO '!$H7-'PRECIFICAÇÃO '!$M7-'PRECIFICAÇÃO '!$O7,0)</f>
        <v>4359.15</v>
      </c>
      <c r="Q7" s="71">
        <f t="array" ref="Q7">IFERROR(INDEX(PROCEDIMENTOS!$D$2:$D$48,MATCH('PRECIFICAÇÃO '!$E7,PROCEDIMENTOS!$B$2:$B$48,0)),"")</f>
        <v>46.8</v>
      </c>
      <c r="R7" s="70">
        <f t="shared" si="3"/>
        <v>842.4</v>
      </c>
      <c r="S7" s="72">
        <f t="shared" si="4"/>
        <v>742.5</v>
      </c>
      <c r="T7" s="72"/>
      <c r="U7" s="72">
        <f t="shared" si="5"/>
        <v>135</v>
      </c>
      <c r="V7" s="73">
        <f>'PRECIFICAÇÃO '!$Q7+'PRECIFICAÇÃO '!$R7+'PRECIFICAÇÃO '!$S7+'PRECIFICAÇÃO '!$T7+'PRECIFICAÇÃO '!$U7</f>
        <v>1766.7</v>
      </c>
      <c r="W7" s="74">
        <f t="shared" si="6"/>
        <v>0.3926</v>
      </c>
      <c r="X7" s="73">
        <f t="shared" si="7"/>
        <v>2592.45</v>
      </c>
      <c r="Y7" s="75">
        <f t="shared" si="8"/>
        <v>0.5761</v>
      </c>
      <c r="Z7" s="73">
        <f t="shared" si="9"/>
        <v>518.49</v>
      </c>
      <c r="AA7" s="73">
        <f t="shared" si="10"/>
        <v>2073.96</v>
      </c>
    </row>
    <row r="8" ht="22.5" customHeight="1">
      <c r="A8" s="60">
        <v>45992.0</v>
      </c>
      <c r="B8" s="61" t="s">
        <v>415</v>
      </c>
      <c r="C8" s="61" t="s">
        <v>416</v>
      </c>
      <c r="D8" s="62">
        <v>1.0</v>
      </c>
      <c r="E8" s="63" t="s">
        <v>410</v>
      </c>
      <c r="F8" s="64" t="str">
        <f t="array" ref="F8">IFERROR(INDEX(PROCEDIMENTOS!$A$2:$A$48,MATCH('PRECIFICAÇÃO '!$E8,PROCEDIMENTOS!$B$2:$B$48,0)),"")</f>
        <v>CONSULTA</v>
      </c>
      <c r="G8" s="65">
        <f t="array" ref="G8">IFERROR(INDEX(PROCEDIMENTOS!$C$2:$C$48,MATCH('PRECIFICAÇÃO '!$E8,PROCEDIMENTOS!$B$2:$B$48,0)),"")</f>
        <v>90</v>
      </c>
      <c r="H8" s="66">
        <v>800.0</v>
      </c>
      <c r="I8" s="67"/>
      <c r="J8" s="63" t="s">
        <v>417</v>
      </c>
      <c r="K8" s="68"/>
      <c r="L8" s="69">
        <f>IFERROR(VLOOKUP('PRECIFICAÇÃO '!$J8,TAXA!$A$2:$C$18,2,FALSE),"")</f>
        <v>0.0283</v>
      </c>
      <c r="M8" s="70">
        <f t="shared" si="1"/>
        <v>22.64</v>
      </c>
      <c r="N8" s="69">
        <f>IFERROR(VLOOKUP('PRECIFICAÇÃO '!$J8,TAXA!$A$2:$C$18,3,FALSE),"")</f>
        <v>0</v>
      </c>
      <c r="O8" s="70">
        <f t="shared" si="2"/>
        <v>0</v>
      </c>
      <c r="P8" s="70">
        <f>IFERROR('PRECIFICAÇÃO '!$H8-'PRECIFICAÇÃO '!$M8-'PRECIFICAÇÃO '!$O8,0)</f>
        <v>777.36</v>
      </c>
      <c r="Q8" s="71">
        <f t="array" ref="Q8">IFERROR(INDEX(PROCEDIMENTOS!$D$2:$D$48,MATCH('PRECIFICAÇÃO '!$E8,PROCEDIMENTOS!$B$2:$B$48,0)),"")</f>
        <v>0</v>
      </c>
      <c r="R8" s="70">
        <f t="shared" si="3"/>
        <v>280.8</v>
      </c>
      <c r="S8" s="72">
        <f t="shared" si="4"/>
        <v>132</v>
      </c>
      <c r="T8" s="72"/>
      <c r="U8" s="72">
        <f t="shared" si="5"/>
        <v>24</v>
      </c>
      <c r="V8" s="73">
        <f>'PRECIFICAÇÃO '!$Q8+'PRECIFICAÇÃO '!$R8+'PRECIFICAÇÃO '!$S8+'PRECIFICAÇÃO '!$T8+'PRECIFICAÇÃO '!$U8</f>
        <v>436.8</v>
      </c>
      <c r="W8" s="74">
        <f t="shared" si="6"/>
        <v>0.546</v>
      </c>
      <c r="X8" s="73">
        <f t="shared" si="7"/>
        <v>340.56</v>
      </c>
      <c r="Y8" s="75">
        <f t="shared" si="8"/>
        <v>0.4257</v>
      </c>
      <c r="Z8" s="73">
        <f t="shared" si="9"/>
        <v>68.112</v>
      </c>
      <c r="AA8" s="73">
        <f t="shared" si="10"/>
        <v>272.448</v>
      </c>
    </row>
    <row r="9" ht="22.5" customHeight="1">
      <c r="A9" s="60">
        <v>46000.0</v>
      </c>
      <c r="B9" s="61" t="s">
        <v>418</v>
      </c>
      <c r="C9" s="61" t="s">
        <v>419</v>
      </c>
      <c r="D9" s="62">
        <v>1.0</v>
      </c>
      <c r="E9" s="63" t="s">
        <v>420</v>
      </c>
      <c r="F9" s="76" t="s">
        <v>421</v>
      </c>
      <c r="G9" s="62">
        <v>30.0</v>
      </c>
      <c r="H9" s="66">
        <v>2800.0</v>
      </c>
      <c r="I9" s="67"/>
      <c r="J9" s="63" t="s">
        <v>414</v>
      </c>
      <c r="K9" s="68"/>
      <c r="L9" s="69">
        <f>IFERROR(VLOOKUP('PRECIFICAÇÃO '!$J9,TAXA!$A$2:$C$18,2,FALSE),"")</f>
        <v>0.0313</v>
      </c>
      <c r="M9" s="70">
        <f t="shared" si="1"/>
        <v>87.64</v>
      </c>
      <c r="N9" s="69">
        <f>IFERROR(VLOOKUP('PRECIFICAÇÃO '!$J9,TAXA!$A$2:$C$18,3,FALSE),"")</f>
        <v>0</v>
      </c>
      <c r="O9" s="70">
        <f t="shared" si="2"/>
        <v>0</v>
      </c>
      <c r="P9" s="70">
        <f>IFERROR('PRECIFICAÇÃO '!$H9-'PRECIFICAÇÃO '!$M9-'PRECIFICAÇÃO '!$O9,0)</f>
        <v>2712.36</v>
      </c>
      <c r="Q9" s="71">
        <f t="array" ref="Q9">IFERROR(INDEX(PROCEDIMENTOS!$D$2:$D$48,MATCH('PRECIFICAÇÃO '!$E9,PROCEDIMENTOS!$B$2:$B$48,0)),"")</f>
        <v>566.67</v>
      </c>
      <c r="R9" s="70">
        <f t="shared" si="3"/>
        <v>93.6</v>
      </c>
      <c r="S9" s="72">
        <f t="shared" ref="S9:S11" si="11">IFERROR(H9*14.33%,0)</f>
        <v>401.24</v>
      </c>
      <c r="T9" s="72"/>
      <c r="U9" s="72"/>
      <c r="V9" s="73">
        <f>'PRECIFICAÇÃO '!$Q9+'PRECIFICAÇÃO '!$R9+'PRECIFICAÇÃO '!$S9+'PRECIFICAÇÃO '!$T9+'PRECIFICAÇÃO '!$U9</f>
        <v>1061.51</v>
      </c>
      <c r="W9" s="74">
        <f t="shared" si="6"/>
        <v>0.3791107143</v>
      </c>
      <c r="X9" s="73">
        <f t="shared" si="7"/>
        <v>1650.85</v>
      </c>
      <c r="Y9" s="75">
        <f t="shared" si="8"/>
        <v>0.5895892857</v>
      </c>
      <c r="Z9" s="73">
        <f t="shared" si="9"/>
        <v>330.17</v>
      </c>
      <c r="AA9" s="73">
        <f t="shared" si="10"/>
        <v>1320.68</v>
      </c>
    </row>
    <row r="10" ht="22.5" customHeight="1">
      <c r="A10" s="60">
        <v>46000.0</v>
      </c>
      <c r="B10" s="61" t="s">
        <v>418</v>
      </c>
      <c r="C10" s="61" t="s">
        <v>402</v>
      </c>
      <c r="D10" s="62">
        <v>1.0</v>
      </c>
      <c r="E10" s="63" t="s">
        <v>420</v>
      </c>
      <c r="F10" s="76" t="s">
        <v>421</v>
      </c>
      <c r="G10" s="62">
        <v>30.0</v>
      </c>
      <c r="H10" s="66">
        <v>2800.0</v>
      </c>
      <c r="I10" s="67"/>
      <c r="J10" s="63" t="s">
        <v>414</v>
      </c>
      <c r="K10" s="68"/>
      <c r="L10" s="69">
        <f>IFERROR(VLOOKUP('PRECIFICAÇÃO '!$J10,TAXA!$A$2:$C$18,2,FALSE),"")</f>
        <v>0.0313</v>
      </c>
      <c r="M10" s="70">
        <f t="shared" si="1"/>
        <v>87.64</v>
      </c>
      <c r="N10" s="69">
        <f>IFERROR(VLOOKUP('PRECIFICAÇÃO '!$J10,TAXA!$A$2:$C$18,3,FALSE),"")</f>
        <v>0</v>
      </c>
      <c r="O10" s="70">
        <f t="shared" si="2"/>
        <v>0</v>
      </c>
      <c r="P10" s="70">
        <f>IFERROR('PRECIFICAÇÃO '!$H10-'PRECIFICAÇÃO '!$M10-'PRECIFICAÇÃO '!$O10,0)</f>
        <v>2712.36</v>
      </c>
      <c r="Q10" s="71">
        <f t="array" ref="Q10">IFERROR(INDEX(PROCEDIMENTOS!$D$2:$D$48,MATCH('PRECIFICAÇÃO '!$E10,PROCEDIMENTOS!$B$2:$B$48,0)),"")</f>
        <v>566.67</v>
      </c>
      <c r="R10" s="70">
        <f t="shared" si="3"/>
        <v>93.6</v>
      </c>
      <c r="S10" s="72">
        <f t="shared" si="11"/>
        <v>401.24</v>
      </c>
      <c r="T10" s="72"/>
      <c r="U10" s="72"/>
      <c r="V10" s="73">
        <f>'PRECIFICAÇÃO '!$Q10+'PRECIFICAÇÃO '!$R10+'PRECIFICAÇÃO '!$S10+'PRECIFICAÇÃO '!$T10+'PRECIFICAÇÃO '!$U10</f>
        <v>1061.51</v>
      </c>
      <c r="W10" s="74">
        <f t="shared" si="6"/>
        <v>0.3791107143</v>
      </c>
      <c r="X10" s="73">
        <f t="shared" si="7"/>
        <v>1650.85</v>
      </c>
      <c r="Y10" s="75">
        <f t="shared" si="8"/>
        <v>0.5895892857</v>
      </c>
      <c r="Z10" s="73">
        <f t="shared" si="9"/>
        <v>330.17</v>
      </c>
      <c r="AA10" s="73">
        <f t="shared" si="10"/>
        <v>1320.68</v>
      </c>
    </row>
    <row r="11" ht="22.5" customHeight="1">
      <c r="A11" s="60">
        <v>46000.0</v>
      </c>
      <c r="B11" s="61" t="s">
        <v>418</v>
      </c>
      <c r="C11" s="61" t="s">
        <v>422</v>
      </c>
      <c r="D11" s="62">
        <v>1.0</v>
      </c>
      <c r="E11" s="63" t="s">
        <v>420</v>
      </c>
      <c r="F11" s="76" t="s">
        <v>421</v>
      </c>
      <c r="G11" s="62">
        <v>30.0</v>
      </c>
      <c r="H11" s="66">
        <v>3000.0</v>
      </c>
      <c r="I11" s="67"/>
      <c r="J11" s="63" t="s">
        <v>414</v>
      </c>
      <c r="K11" s="68"/>
      <c r="L11" s="69">
        <f>IFERROR(VLOOKUP('PRECIFICAÇÃO '!$J11,TAXA!$A$2:$C$18,2,FALSE),"")</f>
        <v>0.0313</v>
      </c>
      <c r="M11" s="70">
        <f t="shared" si="1"/>
        <v>93.9</v>
      </c>
      <c r="N11" s="69">
        <f>IFERROR(VLOOKUP('PRECIFICAÇÃO '!$J11,TAXA!$A$2:$C$18,3,FALSE),"")</f>
        <v>0</v>
      </c>
      <c r="O11" s="70">
        <f t="shared" si="2"/>
        <v>0</v>
      </c>
      <c r="P11" s="70">
        <f>IFERROR('PRECIFICAÇÃO '!$H11-'PRECIFICAÇÃO '!$M11-'PRECIFICAÇÃO '!$O11,0)</f>
        <v>2906.1</v>
      </c>
      <c r="Q11" s="71">
        <f t="array" ref="Q11">IFERROR(INDEX(PROCEDIMENTOS!$D$2:$D$48,MATCH('PRECIFICAÇÃO '!$E11,PROCEDIMENTOS!$B$2:$B$48,0)),"")</f>
        <v>566.67</v>
      </c>
      <c r="R11" s="70">
        <f t="shared" si="3"/>
        <v>93.6</v>
      </c>
      <c r="S11" s="72">
        <f t="shared" si="11"/>
        <v>429.9</v>
      </c>
      <c r="T11" s="72"/>
      <c r="U11" s="72"/>
      <c r="V11" s="73">
        <f>'PRECIFICAÇÃO '!$Q11+'PRECIFICAÇÃO '!$R11+'PRECIFICAÇÃO '!$S11+'PRECIFICAÇÃO '!$T11+'PRECIFICAÇÃO '!$U11</f>
        <v>1090.17</v>
      </c>
      <c r="W11" s="74">
        <f t="shared" si="6"/>
        <v>0.36339</v>
      </c>
      <c r="X11" s="73">
        <f t="shared" si="7"/>
        <v>1815.93</v>
      </c>
      <c r="Y11" s="75">
        <f t="shared" si="8"/>
        <v>0.60531</v>
      </c>
      <c r="Z11" s="73">
        <f t="shared" si="9"/>
        <v>363.186</v>
      </c>
      <c r="AA11" s="73">
        <f t="shared" si="10"/>
        <v>1452.744</v>
      </c>
    </row>
    <row r="12" ht="22.5" customHeight="1">
      <c r="A12" s="60">
        <v>46001.0</v>
      </c>
      <c r="B12" s="61" t="s">
        <v>415</v>
      </c>
      <c r="C12" s="61" t="s">
        <v>423</v>
      </c>
      <c r="D12" s="62">
        <v>1.0</v>
      </c>
      <c r="E12" s="63" t="s">
        <v>406</v>
      </c>
      <c r="F12" s="64" t="str">
        <f t="array" ref="F12">IFERROR(INDEX(PROCEDIMENTOS!$A$2:$A$48,MATCH('PRECIFICAÇÃO '!$E12,PROCEDIMENTOS!$B$2:$B$48,0)),"")</f>
        <v>PROCEDIMENTO</v>
      </c>
      <c r="G12" s="65">
        <f t="array" ref="G12">IFERROR(INDEX(PROCEDIMENTOS!$C$2:$C$48,MATCH('PRECIFICAÇÃO '!$E12,PROCEDIMENTOS!$B$2:$B$48,0)),"")</f>
        <v>30</v>
      </c>
      <c r="H12" s="66">
        <v>1280.0</v>
      </c>
      <c r="I12" s="67"/>
      <c r="J12" s="63" t="s">
        <v>404</v>
      </c>
      <c r="K12" s="68"/>
      <c r="L12" s="69">
        <f>IFERROR(VLOOKUP('PRECIFICAÇÃO '!$J12,TAXA!$A$2:$C$18,2,FALSE),"")</f>
        <v>0</v>
      </c>
      <c r="M12" s="70">
        <f t="shared" si="1"/>
        <v>0</v>
      </c>
      <c r="N12" s="69">
        <f>IFERROR(VLOOKUP('PRECIFICAÇÃO '!$J12,TAXA!$A$2:$C$18,3,FALSE),"")</f>
        <v>0</v>
      </c>
      <c r="O12" s="70">
        <f t="shared" si="2"/>
        <v>0</v>
      </c>
      <c r="P12" s="70">
        <f>IFERROR('PRECIFICAÇÃO '!$H12-'PRECIFICAÇÃO '!$M12-'PRECIFICAÇÃO '!$O12,0)</f>
        <v>1280</v>
      </c>
      <c r="Q12" s="71">
        <f t="array" ref="Q12">IFERROR(INDEX(PROCEDIMENTOS!$D$2:$D$48,MATCH('PRECIFICAÇÃO '!$E12,PROCEDIMENTOS!$B$2:$B$48,0)),"")</f>
        <v>566.4</v>
      </c>
      <c r="R12" s="70">
        <f t="shared" si="3"/>
        <v>93.6</v>
      </c>
      <c r="S12" s="72">
        <f t="shared" ref="S12:S100" si="12">IFERROR(H12*16.5%,0)</f>
        <v>211.2</v>
      </c>
      <c r="T12" s="72"/>
      <c r="U12" s="72">
        <f t="shared" ref="U12:U100" si="13">IFERROR(H12*3%,0)</f>
        <v>38.4</v>
      </c>
      <c r="V12" s="73">
        <f>'PRECIFICAÇÃO '!$Q12+'PRECIFICAÇÃO '!$R12+'PRECIFICAÇÃO '!$S12+'PRECIFICAÇÃO '!$T12+'PRECIFICAÇÃO '!$U12</f>
        <v>909.6</v>
      </c>
      <c r="W12" s="74">
        <f t="shared" si="6"/>
        <v>0.710625</v>
      </c>
      <c r="X12" s="73">
        <f t="shared" si="7"/>
        <v>370.4</v>
      </c>
      <c r="Y12" s="75">
        <f t="shared" si="8"/>
        <v>0.289375</v>
      </c>
      <c r="Z12" s="73">
        <f t="shared" si="9"/>
        <v>74.08</v>
      </c>
      <c r="AA12" s="73">
        <f t="shared" si="10"/>
        <v>296.32</v>
      </c>
    </row>
    <row r="13" ht="22.5" customHeight="1">
      <c r="A13" s="60">
        <v>46001.0</v>
      </c>
      <c r="B13" s="61" t="s">
        <v>415</v>
      </c>
      <c r="C13" s="61" t="s">
        <v>409</v>
      </c>
      <c r="D13" s="62">
        <v>1.0</v>
      </c>
      <c r="E13" s="63" t="s">
        <v>406</v>
      </c>
      <c r="F13" s="64" t="str">
        <f t="array" ref="F13">IFERROR(INDEX(PROCEDIMENTOS!$A$2:$A$48,MATCH('PRECIFICAÇÃO '!$E13,PROCEDIMENTOS!$B$2:$B$48,0)),"")</f>
        <v>PROCEDIMENTO</v>
      </c>
      <c r="G13" s="65">
        <f t="array" ref="G13">IFERROR(INDEX(PROCEDIMENTOS!$C$2:$C$48,MATCH('PRECIFICAÇÃO '!$E13,PROCEDIMENTOS!$B$2:$B$48,0)),"")</f>
        <v>30</v>
      </c>
      <c r="H13" s="66">
        <v>1280.0</v>
      </c>
      <c r="I13" s="67"/>
      <c r="J13" s="63" t="s">
        <v>414</v>
      </c>
      <c r="K13" s="68"/>
      <c r="L13" s="69">
        <f>IFERROR(VLOOKUP('PRECIFICAÇÃO '!$J13,TAXA!$A$2:$C$18,2,FALSE),"")</f>
        <v>0.0313</v>
      </c>
      <c r="M13" s="70">
        <f t="shared" si="1"/>
        <v>40.064</v>
      </c>
      <c r="N13" s="69">
        <f>IFERROR(VLOOKUP('PRECIFICAÇÃO '!$J13,TAXA!$A$2:$C$18,3,FALSE),"")</f>
        <v>0</v>
      </c>
      <c r="O13" s="70">
        <f t="shared" si="2"/>
        <v>0</v>
      </c>
      <c r="P13" s="70">
        <f>IFERROR('PRECIFICAÇÃO '!$H13-'PRECIFICAÇÃO '!$M13-'PRECIFICAÇÃO '!$O13,0)</f>
        <v>1239.936</v>
      </c>
      <c r="Q13" s="71">
        <f t="array" ref="Q13">IFERROR(INDEX(PROCEDIMENTOS!$D$2:$D$48,MATCH('PRECIFICAÇÃO '!$E13,PROCEDIMENTOS!$B$2:$B$48,0)),"")</f>
        <v>566.4</v>
      </c>
      <c r="R13" s="70">
        <f t="shared" si="3"/>
        <v>93.6</v>
      </c>
      <c r="S13" s="72">
        <f t="shared" si="12"/>
        <v>211.2</v>
      </c>
      <c r="T13" s="72"/>
      <c r="U13" s="72">
        <f t="shared" si="13"/>
        <v>38.4</v>
      </c>
      <c r="V13" s="73">
        <f>'PRECIFICAÇÃO '!$Q13+'PRECIFICAÇÃO '!$R13+'PRECIFICAÇÃO '!$S13+'PRECIFICAÇÃO '!$T13+'PRECIFICAÇÃO '!$U13</f>
        <v>909.6</v>
      </c>
      <c r="W13" s="74">
        <f t="shared" si="6"/>
        <v>0.710625</v>
      </c>
      <c r="X13" s="73">
        <f t="shared" si="7"/>
        <v>330.336</v>
      </c>
      <c r="Y13" s="75">
        <f t="shared" si="8"/>
        <v>0.258075</v>
      </c>
      <c r="Z13" s="73">
        <f t="shared" si="9"/>
        <v>66.0672</v>
      </c>
      <c r="AA13" s="73">
        <f t="shared" si="10"/>
        <v>264.2688</v>
      </c>
    </row>
    <row r="14" ht="22.5" customHeight="1">
      <c r="A14" s="60">
        <v>46001.0</v>
      </c>
      <c r="B14" s="61" t="s">
        <v>415</v>
      </c>
      <c r="C14" s="61" t="s">
        <v>409</v>
      </c>
      <c r="D14" s="62">
        <v>1.0</v>
      </c>
      <c r="E14" s="63" t="s">
        <v>424</v>
      </c>
      <c r="F14" s="64" t="str">
        <f t="array" ref="F14">IFERROR(INDEX(PROCEDIMENTOS!$A$2:$A$48,MATCH('PRECIFICAÇÃO '!$E14,PROCEDIMENTOS!$B$2:$B$48,0)),"")</f>
        <v>PROCEDIMENTO</v>
      </c>
      <c r="G14" s="65">
        <f t="array" ref="G14">IFERROR(INDEX(PROCEDIMENTOS!$C$2:$C$48,MATCH('PRECIFICAÇÃO '!$E14,PROCEDIMENTOS!$B$2:$B$48,0)),"")</f>
        <v>60</v>
      </c>
      <c r="H14" s="66">
        <v>1800.0</v>
      </c>
      <c r="I14" s="67"/>
      <c r="J14" s="63" t="s">
        <v>414</v>
      </c>
      <c r="K14" s="68"/>
      <c r="L14" s="69">
        <f>IFERROR(VLOOKUP('PRECIFICAÇÃO '!$J14,TAXA!$A$2:$C$18,2,FALSE),"")</f>
        <v>0.0313</v>
      </c>
      <c r="M14" s="70">
        <f t="shared" si="1"/>
        <v>56.34</v>
      </c>
      <c r="N14" s="69">
        <f>IFERROR(VLOOKUP('PRECIFICAÇÃO '!$J14,TAXA!$A$2:$C$18,3,FALSE),"")</f>
        <v>0</v>
      </c>
      <c r="O14" s="70">
        <f t="shared" si="2"/>
        <v>0</v>
      </c>
      <c r="P14" s="70">
        <f>IFERROR('PRECIFICAÇÃO '!$H14-'PRECIFICAÇÃO '!$M14-'PRECIFICAÇÃO '!$O14,0)</f>
        <v>1743.66</v>
      </c>
      <c r="Q14" s="71">
        <f t="array" ref="Q14">IFERROR(INDEX(PROCEDIMENTOS!$D$2:$D$48,MATCH('PRECIFICAÇÃO '!$E14,PROCEDIMENTOS!$B$2:$B$48,0)),"")</f>
        <v>411.54</v>
      </c>
      <c r="R14" s="70">
        <f t="shared" si="3"/>
        <v>187.2</v>
      </c>
      <c r="S14" s="72">
        <f t="shared" si="12"/>
        <v>297</v>
      </c>
      <c r="T14" s="72"/>
      <c r="U14" s="72">
        <f t="shared" si="13"/>
        <v>54</v>
      </c>
      <c r="V14" s="73">
        <f>'PRECIFICAÇÃO '!$Q14+'PRECIFICAÇÃO '!$R14+'PRECIFICAÇÃO '!$S14+'PRECIFICAÇÃO '!$T14+'PRECIFICAÇÃO '!$U14</f>
        <v>949.74</v>
      </c>
      <c r="W14" s="74">
        <f t="shared" si="6"/>
        <v>0.5276333333</v>
      </c>
      <c r="X14" s="73">
        <f t="shared" si="7"/>
        <v>793.92</v>
      </c>
      <c r="Y14" s="75">
        <f t="shared" si="8"/>
        <v>0.4410666667</v>
      </c>
      <c r="Z14" s="73">
        <f t="shared" si="9"/>
        <v>158.784</v>
      </c>
      <c r="AA14" s="73">
        <f t="shared" si="10"/>
        <v>635.136</v>
      </c>
    </row>
    <row r="15" ht="22.5" customHeight="1">
      <c r="A15" s="60">
        <v>46001.0</v>
      </c>
      <c r="B15" s="61" t="s">
        <v>415</v>
      </c>
      <c r="C15" s="61" t="s">
        <v>409</v>
      </c>
      <c r="D15" s="62">
        <v>1.0</v>
      </c>
      <c r="E15" s="63" t="s">
        <v>425</v>
      </c>
      <c r="F15" s="64" t="str">
        <f t="array" ref="F15">IFERROR(INDEX(PROCEDIMENTOS!$A$2:$A$48,MATCH('PRECIFICAÇÃO '!$E15,PROCEDIMENTOS!$B$2:$B$48,0)),"")</f>
        <v>PROCEDIMENTO</v>
      </c>
      <c r="G15" s="65">
        <f t="array" ref="G15">IFERROR(INDEX(PROCEDIMENTOS!$C$2:$C$48,MATCH('PRECIFICAÇÃO '!$E15,PROCEDIMENTOS!$B$2:$B$48,0)),"")</f>
        <v>60</v>
      </c>
      <c r="H15" s="66">
        <v>1800.0</v>
      </c>
      <c r="I15" s="67"/>
      <c r="J15" s="63" t="s">
        <v>414</v>
      </c>
      <c r="K15" s="68"/>
      <c r="L15" s="69">
        <f>IFERROR(VLOOKUP('PRECIFICAÇÃO '!$J15,TAXA!$A$2:$C$18,2,FALSE),"")</f>
        <v>0.0313</v>
      </c>
      <c r="M15" s="70">
        <f t="shared" si="1"/>
        <v>56.34</v>
      </c>
      <c r="N15" s="69">
        <f>IFERROR(VLOOKUP('PRECIFICAÇÃO '!$J15,TAXA!$A$2:$C$18,3,FALSE),"")</f>
        <v>0</v>
      </c>
      <c r="O15" s="70">
        <f t="shared" si="2"/>
        <v>0</v>
      </c>
      <c r="P15" s="70">
        <f>IFERROR('PRECIFICAÇÃO '!$H15-'PRECIFICAÇÃO '!$M15-'PRECIFICAÇÃO '!$O15,0)</f>
        <v>1743.66</v>
      </c>
      <c r="Q15" s="71">
        <f t="array" ref="Q15">IFERROR(INDEX(PROCEDIMENTOS!$D$2:$D$48,MATCH('PRECIFICAÇÃO '!$E15,PROCEDIMENTOS!$B$2:$B$48,0)),"")</f>
        <v>240.64</v>
      </c>
      <c r="R15" s="70">
        <f t="shared" si="3"/>
        <v>187.2</v>
      </c>
      <c r="S15" s="72">
        <f t="shared" si="12"/>
        <v>297</v>
      </c>
      <c r="T15" s="72"/>
      <c r="U15" s="72">
        <f t="shared" si="13"/>
        <v>54</v>
      </c>
      <c r="V15" s="73">
        <f>'PRECIFICAÇÃO '!$Q15+'PRECIFICAÇÃO '!$R15+'PRECIFICAÇÃO '!$S15+'PRECIFICAÇÃO '!$T15+'PRECIFICAÇÃO '!$U15</f>
        <v>778.84</v>
      </c>
      <c r="W15" s="74">
        <f t="shared" si="6"/>
        <v>0.4326888889</v>
      </c>
      <c r="X15" s="73">
        <f t="shared" si="7"/>
        <v>964.82</v>
      </c>
      <c r="Y15" s="75">
        <f t="shared" si="8"/>
        <v>0.5360111111</v>
      </c>
      <c r="Z15" s="73">
        <f t="shared" si="9"/>
        <v>192.964</v>
      </c>
      <c r="AA15" s="73">
        <f t="shared" si="10"/>
        <v>771.856</v>
      </c>
    </row>
    <row r="16" ht="22.5" customHeight="1">
      <c r="A16" s="60">
        <v>46006.0</v>
      </c>
      <c r="B16" s="61" t="s">
        <v>415</v>
      </c>
      <c r="C16" s="61" t="s">
        <v>426</v>
      </c>
      <c r="D16" s="62">
        <v>1.0</v>
      </c>
      <c r="E16" s="63" t="s">
        <v>413</v>
      </c>
      <c r="F16" s="64" t="str">
        <f t="array" ref="F16">IFERROR(INDEX(PROCEDIMENTOS!$A$2:$A$48,MATCH('PRECIFICAÇÃO '!$E16,PROCEDIMENTOS!$B$2:$B$48,0)),"")</f>
        <v>PROCEDIMENTO</v>
      </c>
      <c r="G16" s="65">
        <f t="array" ref="G16">IFERROR(INDEX(PROCEDIMENTOS!$C$2:$C$48,MATCH('PRECIFICAÇÃO '!$E16,PROCEDIMENTOS!$B$2:$B$48,0)),"")</f>
        <v>270</v>
      </c>
      <c r="H16" s="66">
        <v>4000.0</v>
      </c>
      <c r="I16" s="67"/>
      <c r="J16" s="63" t="s">
        <v>404</v>
      </c>
      <c r="K16" s="68"/>
      <c r="L16" s="69">
        <f>IFERROR(VLOOKUP('PRECIFICAÇÃO '!$J16,TAXA!$A$2:$C$18,2,FALSE),"")</f>
        <v>0</v>
      </c>
      <c r="M16" s="70">
        <f t="shared" si="1"/>
        <v>0</v>
      </c>
      <c r="N16" s="69">
        <f>IFERROR(VLOOKUP('PRECIFICAÇÃO '!$J16,TAXA!$A$2:$C$18,3,FALSE),"")</f>
        <v>0</v>
      </c>
      <c r="O16" s="70">
        <f t="shared" si="2"/>
        <v>0</v>
      </c>
      <c r="P16" s="70">
        <f>IFERROR('PRECIFICAÇÃO '!$H16-'PRECIFICAÇÃO '!$M16-'PRECIFICAÇÃO '!$O16,0)</f>
        <v>4000</v>
      </c>
      <c r="Q16" s="71">
        <f t="array" ref="Q16">IFERROR(INDEX(PROCEDIMENTOS!$D$2:$D$48,MATCH('PRECIFICAÇÃO '!$E16,PROCEDIMENTOS!$B$2:$B$48,0)),"")</f>
        <v>46.8</v>
      </c>
      <c r="R16" s="70">
        <f t="shared" si="3"/>
        <v>842.4</v>
      </c>
      <c r="S16" s="72">
        <f t="shared" si="12"/>
        <v>660</v>
      </c>
      <c r="T16" s="72"/>
      <c r="U16" s="72">
        <f t="shared" si="13"/>
        <v>120</v>
      </c>
      <c r="V16" s="73">
        <f>'PRECIFICAÇÃO '!$Q16+'PRECIFICAÇÃO '!$R16+'PRECIFICAÇÃO '!$S16+'PRECIFICAÇÃO '!$T16+'PRECIFICAÇÃO '!$U16</f>
        <v>1669.2</v>
      </c>
      <c r="W16" s="74">
        <f t="shared" si="6"/>
        <v>0.4173</v>
      </c>
      <c r="X16" s="73">
        <f t="shared" si="7"/>
        <v>2330.8</v>
      </c>
      <c r="Y16" s="75">
        <f t="shared" si="8"/>
        <v>0.5827</v>
      </c>
      <c r="Z16" s="73">
        <f t="shared" si="9"/>
        <v>466.16</v>
      </c>
      <c r="AA16" s="73">
        <f t="shared" si="10"/>
        <v>1864.64</v>
      </c>
    </row>
    <row r="17" ht="22.5" customHeight="1">
      <c r="A17" s="60">
        <v>46006.0</v>
      </c>
      <c r="B17" s="61" t="s">
        <v>415</v>
      </c>
      <c r="C17" s="61" t="s">
        <v>427</v>
      </c>
      <c r="D17" s="62">
        <v>1.0</v>
      </c>
      <c r="E17" s="63" t="s">
        <v>428</v>
      </c>
      <c r="F17" s="64" t="str">
        <f t="array" ref="F17">IFERROR(INDEX(PROCEDIMENTOS!$A$2:$A$48,MATCH('PRECIFICAÇÃO '!$E17,PROCEDIMENTOS!$B$2:$B$48,0)),"")</f>
        <v>PROCEDIMENTO</v>
      </c>
      <c r="G17" s="65">
        <f t="array" ref="G17">IFERROR(INDEX(PROCEDIMENTOS!$C$2:$C$48,MATCH('PRECIFICAÇÃO '!$E17,PROCEDIMENTOS!$B$2:$B$48,0)),"")</f>
        <v>270</v>
      </c>
      <c r="H17" s="66">
        <v>4000.0</v>
      </c>
      <c r="I17" s="67"/>
      <c r="J17" s="63" t="s">
        <v>404</v>
      </c>
      <c r="K17" s="68"/>
      <c r="L17" s="69">
        <f>IFERROR(VLOOKUP('PRECIFICAÇÃO '!$J17,TAXA!$A$2:$C$18,2,FALSE),"")</f>
        <v>0</v>
      </c>
      <c r="M17" s="70">
        <f t="shared" si="1"/>
        <v>0</v>
      </c>
      <c r="N17" s="69">
        <f>IFERROR(VLOOKUP('PRECIFICAÇÃO '!$J17,TAXA!$A$2:$C$18,3,FALSE),"")</f>
        <v>0</v>
      </c>
      <c r="O17" s="70">
        <f t="shared" si="2"/>
        <v>0</v>
      </c>
      <c r="P17" s="70">
        <f>IFERROR('PRECIFICAÇÃO '!$H17-'PRECIFICAÇÃO '!$M17-'PRECIFICAÇÃO '!$O17,0)</f>
        <v>4000</v>
      </c>
      <c r="Q17" s="71">
        <f t="array" ref="Q17">IFERROR(INDEX(PROCEDIMENTOS!$D$2:$D$48,MATCH('PRECIFICAÇÃO '!$E17,PROCEDIMENTOS!$B$2:$B$48,0)),"")</f>
        <v>46.8</v>
      </c>
      <c r="R17" s="70">
        <f t="shared" si="3"/>
        <v>842.4</v>
      </c>
      <c r="S17" s="72">
        <f t="shared" si="12"/>
        <v>660</v>
      </c>
      <c r="T17" s="72"/>
      <c r="U17" s="72">
        <f t="shared" si="13"/>
        <v>120</v>
      </c>
      <c r="V17" s="73">
        <f>'PRECIFICAÇÃO '!$Q17+'PRECIFICAÇÃO '!$R17+'PRECIFICAÇÃO '!$S17+'PRECIFICAÇÃO '!$T17+'PRECIFICAÇÃO '!$U17</f>
        <v>1669.2</v>
      </c>
      <c r="W17" s="74">
        <f t="shared" si="6"/>
        <v>0.4173</v>
      </c>
      <c r="X17" s="73">
        <f t="shared" si="7"/>
        <v>2330.8</v>
      </c>
      <c r="Y17" s="75">
        <f t="shared" si="8"/>
        <v>0.5827</v>
      </c>
      <c r="Z17" s="73">
        <f t="shared" si="9"/>
        <v>466.16</v>
      </c>
      <c r="AA17" s="73">
        <f t="shared" si="10"/>
        <v>1864.64</v>
      </c>
    </row>
    <row r="18" ht="22.5" customHeight="1">
      <c r="A18" s="60">
        <v>46008.0</v>
      </c>
      <c r="B18" s="61" t="s">
        <v>415</v>
      </c>
      <c r="C18" s="76" t="s">
        <v>422</v>
      </c>
      <c r="D18" s="77">
        <v>1.0</v>
      </c>
      <c r="E18" s="63" t="s">
        <v>429</v>
      </c>
      <c r="F18" s="64" t="str">
        <f t="array" ref="F18">IFERROR(INDEX(PROCEDIMENTOS!$A$2:$A$48,MATCH('PRECIFICAÇÃO '!$E18,PROCEDIMENTOS!$B$2:$B$48,0)),"")</f>
        <v>PROCEDIMENTO</v>
      </c>
      <c r="G18" s="62">
        <v>90.0</v>
      </c>
      <c r="H18" s="66">
        <v>3360.0</v>
      </c>
      <c r="I18" s="67"/>
      <c r="J18" s="63" t="s">
        <v>430</v>
      </c>
      <c r="K18" s="68"/>
      <c r="L18" s="69">
        <f>IFERROR(VLOOKUP('PRECIFICAÇÃO '!$J18,TAXA!$A$2:$C$18,2,FALSE),"")</f>
        <v>0.0313</v>
      </c>
      <c r="M18" s="70">
        <f t="shared" si="1"/>
        <v>105.168</v>
      </c>
      <c r="N18" s="69">
        <f>IFERROR(VLOOKUP('PRECIFICAÇÃO '!$J18,TAXA!$A$2:$C$18,3,FALSE),"")</f>
        <v>0</v>
      </c>
      <c r="O18" s="70">
        <f t="shared" si="2"/>
        <v>0</v>
      </c>
      <c r="P18" s="70">
        <f>IFERROR('PRECIFICAÇÃO '!$H18-'PRECIFICAÇÃO '!$M18-'PRECIFICAÇÃO '!$O18,0)</f>
        <v>3254.832</v>
      </c>
      <c r="Q18" s="71">
        <f t="array" ref="Q18">IFERROR(INDEX(PROCEDIMENTOS!$D$2:$D$48,MATCH('PRECIFICAÇÃO '!$E18,PROCEDIMENTOS!$B$2:$B$48,0)),"")</f>
        <v>1699.2</v>
      </c>
      <c r="R18" s="70">
        <f t="shared" si="3"/>
        <v>280.8</v>
      </c>
      <c r="S18" s="72">
        <f t="shared" si="12"/>
        <v>554.4</v>
      </c>
      <c r="T18" s="72"/>
      <c r="U18" s="72">
        <f t="shared" si="13"/>
        <v>100.8</v>
      </c>
      <c r="V18" s="73">
        <f>'PRECIFICAÇÃO '!$Q18+'PRECIFICAÇÃO '!$R18+'PRECIFICAÇÃO '!$S18+'PRECIFICAÇÃO '!$T18+'PRECIFICAÇÃO '!$U18</f>
        <v>2635.2</v>
      </c>
      <c r="W18" s="74">
        <f t="shared" si="6"/>
        <v>0.7842857143</v>
      </c>
      <c r="X18" s="73">
        <f t="shared" si="7"/>
        <v>619.632</v>
      </c>
      <c r="Y18" s="75">
        <f t="shared" si="8"/>
        <v>0.1844142857</v>
      </c>
      <c r="Z18" s="73">
        <f t="shared" si="9"/>
        <v>123.9264</v>
      </c>
      <c r="AA18" s="73">
        <f t="shared" si="10"/>
        <v>495.7056</v>
      </c>
    </row>
    <row r="19" ht="22.5" customHeight="1">
      <c r="A19" s="60">
        <v>46017.0</v>
      </c>
      <c r="B19" s="61" t="s">
        <v>415</v>
      </c>
      <c r="C19" s="61" t="s">
        <v>431</v>
      </c>
      <c r="D19" s="62">
        <v>1.0</v>
      </c>
      <c r="E19" s="63" t="s">
        <v>408</v>
      </c>
      <c r="F19" s="64" t="str">
        <f t="array" ref="F19">IFERROR(INDEX(PROCEDIMENTOS!$A$2:$A$48,MATCH('PRECIFICAÇÃO '!$E19,PROCEDIMENTOS!$B$2:$B$48,0)),"")</f>
        <v>PROCEDIMENTO</v>
      </c>
      <c r="G19" s="62">
        <v>0.0</v>
      </c>
      <c r="H19" s="66">
        <v>1700.0</v>
      </c>
      <c r="I19" s="67"/>
      <c r="J19" s="63" t="s">
        <v>404</v>
      </c>
      <c r="K19" s="68"/>
      <c r="L19" s="69">
        <f>IFERROR(VLOOKUP('PRECIFICAÇÃO '!$J19,TAXA!$A$2:$C$18,2,FALSE),"")</f>
        <v>0</v>
      </c>
      <c r="M19" s="70">
        <f t="shared" si="1"/>
        <v>0</v>
      </c>
      <c r="N19" s="69">
        <f>IFERROR(VLOOKUP('PRECIFICAÇÃO '!$J19,TAXA!$A$2:$C$18,3,FALSE),"")</f>
        <v>0</v>
      </c>
      <c r="O19" s="70">
        <f t="shared" si="2"/>
        <v>0</v>
      </c>
      <c r="P19" s="70">
        <f>IFERROR('PRECIFICAÇÃO '!$H19-'PRECIFICAÇÃO '!$M19-'PRECIFICAÇÃO '!$O19,0)</f>
        <v>1700</v>
      </c>
      <c r="Q19" s="71">
        <f t="array" ref="Q19">IFERROR(INDEX(PROCEDIMENTOS!$D$2:$D$48,MATCH('PRECIFICAÇÃO '!$E19,PROCEDIMENTOS!$B$2:$B$48,0)),"")</f>
        <v>1575</v>
      </c>
      <c r="R19" s="70">
        <f t="shared" si="3"/>
        <v>0</v>
      </c>
      <c r="S19" s="72">
        <f t="shared" si="12"/>
        <v>280.5</v>
      </c>
      <c r="T19" s="72"/>
      <c r="U19" s="72">
        <f t="shared" si="13"/>
        <v>51</v>
      </c>
      <c r="V19" s="73">
        <f>'PRECIFICAÇÃO '!$Q19+'PRECIFICAÇÃO '!$R19+'PRECIFICAÇÃO '!$S19+'PRECIFICAÇÃO '!$T19+'PRECIFICAÇÃO '!$U19</f>
        <v>1906.5</v>
      </c>
      <c r="W19" s="74">
        <f t="shared" si="6"/>
        <v>1.121470588</v>
      </c>
      <c r="X19" s="73">
        <f t="shared" si="7"/>
        <v>-206.5</v>
      </c>
      <c r="Y19" s="75">
        <f t="shared" si="8"/>
        <v>-0.1214705882</v>
      </c>
      <c r="Z19" s="73">
        <f t="shared" si="9"/>
        <v>-41.3</v>
      </c>
      <c r="AA19" s="73">
        <f t="shared" si="10"/>
        <v>-165.2</v>
      </c>
    </row>
    <row r="20" ht="22.5" customHeight="1">
      <c r="A20" s="60">
        <v>46019.0</v>
      </c>
      <c r="B20" s="61" t="s">
        <v>415</v>
      </c>
      <c r="C20" s="61" t="s">
        <v>432</v>
      </c>
      <c r="D20" s="62">
        <v>1.0</v>
      </c>
      <c r="E20" s="63" t="s">
        <v>406</v>
      </c>
      <c r="F20" s="64" t="str">
        <f t="array" ref="F20">IFERROR(INDEX(PROCEDIMENTOS!$A$2:$A$48,MATCH('PRECIFICAÇÃO '!$E20,PROCEDIMENTOS!$B$2:$B$48,0)),"")</f>
        <v>PROCEDIMENTO</v>
      </c>
      <c r="G20" s="65">
        <f t="array" ref="G20">IFERROR(INDEX(PROCEDIMENTOS!$C$2:$C$48,MATCH('PRECIFICAÇÃO '!$E20,PROCEDIMENTOS!$B$2:$B$48,0)),"")</f>
        <v>30</v>
      </c>
      <c r="H20" s="66">
        <v>999.0</v>
      </c>
      <c r="I20" s="67"/>
      <c r="J20" s="63" t="s">
        <v>404</v>
      </c>
      <c r="K20" s="68"/>
      <c r="L20" s="69">
        <f>IFERROR(VLOOKUP('PRECIFICAÇÃO '!$J20,TAXA!$A$2:$C$18,2,FALSE),"")</f>
        <v>0</v>
      </c>
      <c r="M20" s="70">
        <f t="shared" si="1"/>
        <v>0</v>
      </c>
      <c r="N20" s="69">
        <f>IFERROR(VLOOKUP('PRECIFICAÇÃO '!$J20,TAXA!$A$2:$C$18,3,FALSE),"")</f>
        <v>0</v>
      </c>
      <c r="O20" s="70">
        <f t="shared" si="2"/>
        <v>0</v>
      </c>
      <c r="P20" s="70">
        <f>IFERROR('PRECIFICAÇÃO '!$H20-'PRECIFICAÇÃO '!$M20-'PRECIFICAÇÃO '!$O20,0)</f>
        <v>999</v>
      </c>
      <c r="Q20" s="71">
        <f t="array" ref="Q20">IFERROR(INDEX(PROCEDIMENTOS!$D$2:$D$48,MATCH('PRECIFICAÇÃO '!$E20,PROCEDIMENTOS!$B$2:$B$48,0)),"")</f>
        <v>566.4</v>
      </c>
      <c r="R20" s="70">
        <f t="shared" si="3"/>
        <v>93.6</v>
      </c>
      <c r="S20" s="72">
        <f t="shared" si="12"/>
        <v>164.835</v>
      </c>
      <c r="T20" s="72"/>
      <c r="U20" s="72">
        <f t="shared" si="13"/>
        <v>29.97</v>
      </c>
      <c r="V20" s="73">
        <f>'PRECIFICAÇÃO '!$Q20+'PRECIFICAÇÃO '!$R20+'PRECIFICAÇÃO '!$S20+'PRECIFICAÇÃO '!$T20+'PRECIFICAÇÃO '!$U20</f>
        <v>854.805</v>
      </c>
      <c r="W20" s="74">
        <f t="shared" si="6"/>
        <v>0.8556606607</v>
      </c>
      <c r="X20" s="73">
        <f t="shared" si="7"/>
        <v>144.195</v>
      </c>
      <c r="Y20" s="75">
        <f t="shared" si="8"/>
        <v>0.1443393393</v>
      </c>
      <c r="Z20" s="73">
        <f t="shared" si="9"/>
        <v>28.839</v>
      </c>
      <c r="AA20" s="73">
        <f t="shared" si="10"/>
        <v>115.356</v>
      </c>
    </row>
    <row r="21" ht="15.75" customHeight="1">
      <c r="A21" s="60">
        <v>46021.0</v>
      </c>
      <c r="B21" s="61" t="s">
        <v>415</v>
      </c>
      <c r="C21" s="61" t="s">
        <v>433</v>
      </c>
      <c r="D21" s="62">
        <v>1.0</v>
      </c>
      <c r="E21" s="63" t="s">
        <v>428</v>
      </c>
      <c r="F21" s="64" t="str">
        <f t="array" ref="F21">IFERROR(INDEX(PROCEDIMENTOS!$A$2:$A$48,MATCH('PRECIFICAÇÃO '!$E21,PROCEDIMENTOS!$B$2:$B$48,0)),"")</f>
        <v>PROCEDIMENTO</v>
      </c>
      <c r="G21" s="65">
        <f t="array" ref="G21">IFERROR(INDEX(PROCEDIMENTOS!$C$2:$C$48,MATCH('PRECIFICAÇÃO '!$E21,PROCEDIMENTOS!$B$2:$B$48,0)),"")</f>
        <v>270</v>
      </c>
      <c r="H21" s="66">
        <v>1900.0</v>
      </c>
      <c r="I21" s="67"/>
      <c r="J21" s="63" t="s">
        <v>434</v>
      </c>
      <c r="K21" s="68"/>
      <c r="L21" s="69">
        <f>IFERROR(VLOOKUP('PRECIFICAÇÃO '!$J21,TAXA!$A$2:$C$18,2,FALSE),"")</f>
        <v>0</v>
      </c>
      <c r="M21" s="70">
        <f t="shared" si="1"/>
        <v>0</v>
      </c>
      <c r="N21" s="69">
        <f>IFERROR(VLOOKUP('PRECIFICAÇÃO '!$J21,TAXA!$A$2:$C$18,3,FALSE),"")</f>
        <v>0</v>
      </c>
      <c r="O21" s="70">
        <f t="shared" si="2"/>
        <v>0</v>
      </c>
      <c r="P21" s="70">
        <f>IFERROR('PRECIFICAÇÃO '!$H21-'PRECIFICAÇÃO '!$M21-'PRECIFICAÇÃO '!$O21,0)</f>
        <v>1900</v>
      </c>
      <c r="Q21" s="71">
        <f t="array" ref="Q21">IFERROR(INDEX(PROCEDIMENTOS!$D$2:$D$48,MATCH('PRECIFICAÇÃO '!$E21,PROCEDIMENTOS!$B$2:$B$48,0)),"")</f>
        <v>46.8</v>
      </c>
      <c r="R21" s="70">
        <f t="shared" si="3"/>
        <v>842.4</v>
      </c>
      <c r="S21" s="72">
        <f t="shared" si="12"/>
        <v>313.5</v>
      </c>
      <c r="T21" s="72"/>
      <c r="U21" s="72">
        <f t="shared" si="13"/>
        <v>57</v>
      </c>
      <c r="V21" s="73">
        <f>'PRECIFICAÇÃO '!$Q21+'PRECIFICAÇÃO '!$R21+'PRECIFICAÇÃO '!$S21+'PRECIFICAÇÃO '!$T21+'PRECIFICAÇÃO '!$U21</f>
        <v>1259.7</v>
      </c>
      <c r="W21" s="74">
        <f t="shared" si="6"/>
        <v>0.663</v>
      </c>
      <c r="X21" s="73">
        <f t="shared" si="7"/>
        <v>640.3</v>
      </c>
      <c r="Y21" s="75">
        <f t="shared" si="8"/>
        <v>0.337</v>
      </c>
      <c r="Z21" s="73">
        <f t="shared" si="9"/>
        <v>128.06</v>
      </c>
      <c r="AA21" s="73">
        <f t="shared" si="10"/>
        <v>512.24</v>
      </c>
    </row>
    <row r="22" ht="15.75" customHeight="1">
      <c r="A22" s="60">
        <v>46021.0</v>
      </c>
      <c r="B22" s="61" t="s">
        <v>415</v>
      </c>
      <c r="C22" s="61" t="s">
        <v>435</v>
      </c>
      <c r="D22" s="62">
        <v>1.0</v>
      </c>
      <c r="E22" s="63" t="s">
        <v>413</v>
      </c>
      <c r="F22" s="64" t="str">
        <f t="array" ref="F22">IFERROR(INDEX(PROCEDIMENTOS!$A$2:$A$48,MATCH('PRECIFICAÇÃO '!$E22,PROCEDIMENTOS!$B$2:$B$48,0)),"")</f>
        <v>PROCEDIMENTO</v>
      </c>
      <c r="G22" s="65">
        <f t="array" ref="G22">IFERROR(INDEX(PROCEDIMENTOS!$C$2:$C$48,MATCH('PRECIFICAÇÃO '!$E22,PROCEDIMENTOS!$B$2:$B$48,0)),"")</f>
        <v>270</v>
      </c>
      <c r="H22" s="66">
        <v>2250.0</v>
      </c>
      <c r="I22" s="67"/>
      <c r="J22" s="63" t="s">
        <v>414</v>
      </c>
      <c r="K22" s="68"/>
      <c r="L22" s="69">
        <f>IFERROR(VLOOKUP('PRECIFICAÇÃO '!$J22,TAXA!$A$2:$C$18,2,FALSE),"")</f>
        <v>0.0313</v>
      </c>
      <c r="M22" s="70">
        <f t="shared" si="1"/>
        <v>70.425</v>
      </c>
      <c r="N22" s="69">
        <f>IFERROR(VLOOKUP('PRECIFICAÇÃO '!$J22,TAXA!$A$2:$C$18,3,FALSE),"")</f>
        <v>0</v>
      </c>
      <c r="O22" s="70">
        <f t="shared" si="2"/>
        <v>0</v>
      </c>
      <c r="P22" s="70">
        <f>IFERROR('PRECIFICAÇÃO '!$H22-'PRECIFICAÇÃO '!$M22-'PRECIFICAÇÃO '!$O22,0)</f>
        <v>2179.575</v>
      </c>
      <c r="Q22" s="71">
        <f t="array" ref="Q22">IFERROR(INDEX(PROCEDIMENTOS!$D$2:$D$48,MATCH('PRECIFICAÇÃO '!$E22,PROCEDIMENTOS!$B$2:$B$48,0)),"")</f>
        <v>46.8</v>
      </c>
      <c r="R22" s="70">
        <f t="shared" si="3"/>
        <v>842.4</v>
      </c>
      <c r="S22" s="72">
        <f t="shared" si="12"/>
        <v>371.25</v>
      </c>
      <c r="T22" s="72"/>
      <c r="U22" s="72">
        <f t="shared" si="13"/>
        <v>67.5</v>
      </c>
      <c r="V22" s="73">
        <f>'PRECIFICAÇÃO '!$Q22+'PRECIFICAÇÃO '!$R22+'PRECIFICAÇÃO '!$S22+'PRECIFICAÇÃO '!$T22+'PRECIFICAÇÃO '!$U22</f>
        <v>1327.95</v>
      </c>
      <c r="W22" s="74">
        <f t="shared" si="6"/>
        <v>0.5902</v>
      </c>
      <c r="X22" s="73">
        <f t="shared" si="7"/>
        <v>851.625</v>
      </c>
      <c r="Y22" s="75">
        <f t="shared" si="8"/>
        <v>0.3785</v>
      </c>
      <c r="Z22" s="73">
        <f t="shared" si="9"/>
        <v>170.325</v>
      </c>
      <c r="AA22" s="73">
        <f t="shared" si="10"/>
        <v>681.3</v>
      </c>
    </row>
    <row r="23" ht="15.75" customHeight="1">
      <c r="A23" s="60">
        <v>46021.0</v>
      </c>
      <c r="B23" s="61" t="s">
        <v>415</v>
      </c>
      <c r="C23" s="61" t="s">
        <v>435</v>
      </c>
      <c r="D23" s="62">
        <v>1.0</v>
      </c>
      <c r="E23" s="63" t="s">
        <v>429</v>
      </c>
      <c r="F23" s="64" t="str">
        <f t="array" ref="F23">IFERROR(INDEX(PROCEDIMENTOS!$A$2:$A$48,MATCH('PRECIFICAÇÃO '!$E23,PROCEDIMENTOS!$B$2:$B$48,0)),"")</f>
        <v>PROCEDIMENTO</v>
      </c>
      <c r="G23" s="65">
        <f t="array" ref="G23">IFERROR(INDEX(PROCEDIMENTOS!$C$2:$C$48,MATCH('PRECIFICAÇÃO '!$E23,PROCEDIMENTOS!$B$2:$B$48,0)),"")</f>
        <v>90</v>
      </c>
      <c r="H23" s="66">
        <v>3600.0</v>
      </c>
      <c r="I23" s="67"/>
      <c r="J23" s="63" t="s">
        <v>414</v>
      </c>
      <c r="K23" s="68"/>
      <c r="L23" s="69">
        <f>IFERROR(VLOOKUP('PRECIFICAÇÃO '!$J23,TAXA!$A$2:$C$18,2,FALSE),"")</f>
        <v>0.0313</v>
      </c>
      <c r="M23" s="70">
        <f t="shared" si="1"/>
        <v>112.68</v>
      </c>
      <c r="N23" s="69">
        <f>IFERROR(VLOOKUP('PRECIFICAÇÃO '!$J23,TAXA!$A$2:$C$18,3,FALSE),"")</f>
        <v>0</v>
      </c>
      <c r="O23" s="70">
        <f t="shared" si="2"/>
        <v>0</v>
      </c>
      <c r="P23" s="70">
        <f>IFERROR('PRECIFICAÇÃO '!$H23-'PRECIFICAÇÃO '!$M23-'PRECIFICAÇÃO '!$O23,0)</f>
        <v>3487.32</v>
      </c>
      <c r="Q23" s="71"/>
      <c r="R23" s="70">
        <f t="shared" si="3"/>
        <v>280.8</v>
      </c>
      <c r="S23" s="72">
        <f t="shared" si="12"/>
        <v>594</v>
      </c>
      <c r="T23" s="72"/>
      <c r="U23" s="72">
        <f t="shared" si="13"/>
        <v>108</v>
      </c>
      <c r="V23" s="73">
        <f>'PRECIFICAÇÃO '!$Q23+'PRECIFICAÇÃO '!$R23+'PRECIFICAÇÃO '!$S23+'PRECIFICAÇÃO '!$T23+'PRECIFICAÇÃO '!$U23</f>
        <v>982.8</v>
      </c>
      <c r="W23" s="74">
        <f t="shared" si="6"/>
        <v>0.273</v>
      </c>
      <c r="X23" s="73">
        <f t="shared" si="7"/>
        <v>2504.52</v>
      </c>
      <c r="Y23" s="75">
        <f t="shared" si="8"/>
        <v>0.6957</v>
      </c>
      <c r="Z23" s="73">
        <f t="shared" si="9"/>
        <v>500.904</v>
      </c>
      <c r="AA23" s="73">
        <f t="shared" si="10"/>
        <v>2003.616</v>
      </c>
    </row>
    <row r="24" ht="15.75" customHeight="1">
      <c r="A24" s="60">
        <v>46028.0</v>
      </c>
      <c r="B24" s="61" t="s">
        <v>415</v>
      </c>
      <c r="C24" s="61" t="s">
        <v>436</v>
      </c>
      <c r="D24" s="62">
        <v>1.0</v>
      </c>
      <c r="E24" s="63" t="s">
        <v>406</v>
      </c>
      <c r="F24" s="64" t="str">
        <f t="array" ref="F24">IFERROR(INDEX(PROCEDIMENTOS!$A$2:$A$48,MATCH('PRECIFICAÇÃO '!$E24,PROCEDIMENTOS!$B$2:$B$48,0)),"")</f>
        <v>PROCEDIMENTO</v>
      </c>
      <c r="G24" s="65">
        <f t="array" ref="G24">IFERROR(INDEX(PROCEDIMENTOS!$C$2:$C$48,MATCH('PRECIFICAÇÃO '!$E24,PROCEDIMENTOS!$B$2:$B$48,0)),"")</f>
        <v>30</v>
      </c>
      <c r="H24" s="66">
        <v>1600.0</v>
      </c>
      <c r="I24" s="67"/>
      <c r="J24" s="63" t="s">
        <v>437</v>
      </c>
      <c r="K24" s="68"/>
      <c r="L24" s="69">
        <f>IFERROR(VLOOKUP('PRECIFICAÇÃO '!$J24,TAXA!$A$2:$C$18,2,FALSE),"")</f>
        <v>0.0313</v>
      </c>
      <c r="M24" s="70">
        <f t="shared" si="1"/>
        <v>50.08</v>
      </c>
      <c r="N24" s="69">
        <f>IFERROR(VLOOKUP('PRECIFICAÇÃO '!$J24,TAXA!$A$2:$C$18,3,FALSE),"")</f>
        <v>0</v>
      </c>
      <c r="O24" s="70">
        <f t="shared" si="2"/>
        <v>0</v>
      </c>
      <c r="P24" s="70">
        <f>IFERROR('PRECIFICAÇÃO '!$H24-'PRECIFICAÇÃO '!$M24-'PRECIFICAÇÃO '!$O24,0)</f>
        <v>1549.92</v>
      </c>
      <c r="Q24" s="71"/>
      <c r="R24" s="70">
        <f t="shared" si="3"/>
        <v>93.6</v>
      </c>
      <c r="S24" s="72">
        <f t="shared" si="12"/>
        <v>264</v>
      </c>
      <c r="T24" s="72"/>
      <c r="U24" s="72">
        <f t="shared" si="13"/>
        <v>48</v>
      </c>
      <c r="V24" s="73">
        <f>'PRECIFICAÇÃO '!$Q24+'PRECIFICAÇÃO '!$R24+'PRECIFICAÇÃO '!$S24+'PRECIFICAÇÃO '!$T24+'PRECIFICAÇÃO '!$U24</f>
        <v>405.6</v>
      </c>
      <c r="W24" s="74">
        <f t="shared" si="6"/>
        <v>0.2535</v>
      </c>
      <c r="X24" s="73">
        <f t="shared" si="7"/>
        <v>1144.32</v>
      </c>
      <c r="Y24" s="75">
        <f t="shared" si="8"/>
        <v>0.7152</v>
      </c>
      <c r="Z24" s="73">
        <f t="shared" si="9"/>
        <v>228.864</v>
      </c>
      <c r="AA24" s="73">
        <f t="shared" si="10"/>
        <v>915.456</v>
      </c>
    </row>
    <row r="25" ht="15.75" customHeight="1">
      <c r="A25" s="60">
        <v>46034.0</v>
      </c>
      <c r="B25" s="61" t="s">
        <v>415</v>
      </c>
      <c r="C25" s="61" t="s">
        <v>438</v>
      </c>
      <c r="D25" s="62">
        <v>1.0</v>
      </c>
      <c r="E25" s="63" t="s">
        <v>410</v>
      </c>
      <c r="F25" s="64" t="str">
        <f t="array" ref="F25">IFERROR(INDEX(PROCEDIMENTOS!$A$2:$A$48,MATCH('PRECIFICAÇÃO '!$E25,PROCEDIMENTOS!$B$2:$B$48,0)),"")</f>
        <v>CONSULTA</v>
      </c>
      <c r="G25" s="65">
        <f t="array" ref="G25">IFERROR(INDEX(PROCEDIMENTOS!$C$2:$C$48,MATCH('PRECIFICAÇÃO '!$E25,PROCEDIMENTOS!$B$2:$B$48,0)),"")</f>
        <v>90</v>
      </c>
      <c r="H25" s="66">
        <v>800.0</v>
      </c>
      <c r="I25" s="67"/>
      <c r="J25" s="63" t="s">
        <v>404</v>
      </c>
      <c r="K25" s="68"/>
      <c r="L25" s="69">
        <f>IFERROR(VLOOKUP('PRECIFICAÇÃO '!$J25,TAXA!$A$2:$C$18,2,FALSE),"")</f>
        <v>0</v>
      </c>
      <c r="M25" s="70">
        <f t="shared" si="1"/>
        <v>0</v>
      </c>
      <c r="N25" s="69">
        <f>IFERROR(VLOOKUP('PRECIFICAÇÃO '!$J25,TAXA!$A$2:$C$18,3,FALSE),"")</f>
        <v>0</v>
      </c>
      <c r="O25" s="70">
        <f t="shared" si="2"/>
        <v>0</v>
      </c>
      <c r="P25" s="70">
        <f>IFERROR('PRECIFICAÇÃO '!$H25-'PRECIFICAÇÃO '!$M25-'PRECIFICAÇÃO '!$O25,0)</f>
        <v>800</v>
      </c>
      <c r="Q25" s="71"/>
      <c r="R25" s="70">
        <f t="shared" si="3"/>
        <v>280.8</v>
      </c>
      <c r="S25" s="72">
        <f t="shared" si="12"/>
        <v>132</v>
      </c>
      <c r="T25" s="72"/>
      <c r="U25" s="72">
        <f t="shared" si="13"/>
        <v>24</v>
      </c>
      <c r="V25" s="73">
        <f>'PRECIFICAÇÃO '!$Q25+'PRECIFICAÇÃO '!$R25+'PRECIFICAÇÃO '!$S25+'PRECIFICAÇÃO '!$T25+'PRECIFICAÇÃO '!$U25</f>
        <v>436.8</v>
      </c>
      <c r="W25" s="74">
        <f t="shared" si="6"/>
        <v>0.546</v>
      </c>
      <c r="X25" s="73">
        <f t="shared" si="7"/>
        <v>363.2</v>
      </c>
      <c r="Y25" s="75">
        <f t="shared" si="8"/>
        <v>0.454</v>
      </c>
      <c r="Z25" s="73">
        <f t="shared" si="9"/>
        <v>72.64</v>
      </c>
      <c r="AA25" s="73">
        <f t="shared" si="10"/>
        <v>290.56</v>
      </c>
    </row>
    <row r="26" ht="15.75" customHeight="1">
      <c r="A26" s="60">
        <v>46059.0</v>
      </c>
      <c r="B26" s="61" t="s">
        <v>415</v>
      </c>
      <c r="C26" s="61" t="s">
        <v>439</v>
      </c>
      <c r="D26" s="62">
        <v>1.0</v>
      </c>
      <c r="E26" s="63" t="s">
        <v>429</v>
      </c>
      <c r="F26" s="64" t="str">
        <f t="array" ref="F26">IFERROR(INDEX(PROCEDIMENTOS!$A$2:$A$48,MATCH('PRECIFICAÇÃO '!$E26,PROCEDIMENTOS!$B$2:$B$48,0)),"")</f>
        <v>PROCEDIMENTO</v>
      </c>
      <c r="G26" s="65">
        <f t="array" ref="G26">IFERROR(INDEX(PROCEDIMENTOS!$C$2:$C$48,MATCH('PRECIFICAÇÃO '!$E26,PROCEDIMENTOS!$B$2:$B$48,0)),"")</f>
        <v>90</v>
      </c>
      <c r="H26" s="66">
        <v>3360.0</v>
      </c>
      <c r="I26" s="67"/>
      <c r="J26" s="63" t="s">
        <v>430</v>
      </c>
      <c r="K26" s="68"/>
      <c r="L26" s="69">
        <f>IFERROR(VLOOKUP('PRECIFICAÇÃO '!$J26,TAXA!$A$2:$C$18,2,FALSE),"")</f>
        <v>0.0313</v>
      </c>
      <c r="M26" s="70">
        <f t="shared" si="1"/>
        <v>105.168</v>
      </c>
      <c r="N26" s="69">
        <f>IFERROR(VLOOKUP('PRECIFICAÇÃO '!$J26,TAXA!$A$2:$C$18,3,FALSE),"")</f>
        <v>0</v>
      </c>
      <c r="O26" s="70">
        <f t="shared" si="2"/>
        <v>0</v>
      </c>
      <c r="P26" s="70">
        <f>IFERROR('PRECIFICAÇÃO '!$H26-'PRECIFICAÇÃO '!$M26-'PRECIFICAÇÃO '!$O26,0)</f>
        <v>3254.832</v>
      </c>
      <c r="Q26" s="71">
        <f t="array" ref="Q26">IFERROR(INDEX(PROCEDIMENTOS!$D$2:$D$48,MATCH('PRECIFICAÇÃO '!$E26,PROCEDIMENTOS!$B$2:$B$48,0)),"")</f>
        <v>1699.2</v>
      </c>
      <c r="R26" s="70">
        <f t="shared" si="3"/>
        <v>280.8</v>
      </c>
      <c r="S26" s="72">
        <f t="shared" si="12"/>
        <v>554.4</v>
      </c>
      <c r="T26" s="72"/>
      <c r="U26" s="72">
        <f t="shared" si="13"/>
        <v>100.8</v>
      </c>
      <c r="V26" s="73">
        <f>'PRECIFICAÇÃO '!$Q26+'PRECIFICAÇÃO '!$R26+'PRECIFICAÇÃO '!$S26+'PRECIFICAÇÃO '!$T26+'PRECIFICAÇÃO '!$U26</f>
        <v>2635.2</v>
      </c>
      <c r="W26" s="74">
        <f t="shared" si="6"/>
        <v>0.7842857143</v>
      </c>
      <c r="X26" s="73">
        <f t="shared" si="7"/>
        <v>619.632</v>
      </c>
      <c r="Y26" s="75">
        <f t="shared" si="8"/>
        <v>0.1844142857</v>
      </c>
      <c r="Z26" s="73">
        <f t="shared" si="9"/>
        <v>123.9264</v>
      </c>
      <c r="AA26" s="73">
        <f t="shared" si="10"/>
        <v>495.7056</v>
      </c>
    </row>
    <row r="27" ht="15.75" customHeight="1">
      <c r="A27" s="60">
        <v>46065.0</v>
      </c>
      <c r="B27" s="61" t="s">
        <v>415</v>
      </c>
      <c r="C27" s="61" t="s">
        <v>440</v>
      </c>
      <c r="D27" s="62">
        <v>1.0</v>
      </c>
      <c r="E27" s="63" t="s">
        <v>410</v>
      </c>
      <c r="F27" s="64" t="str">
        <f t="array" ref="F27">IFERROR(INDEX(PROCEDIMENTOS!$A$2:$A$48,MATCH('PRECIFICAÇÃO '!$E27,PROCEDIMENTOS!$B$2:$B$48,0)),"")</f>
        <v>CONSULTA</v>
      </c>
      <c r="G27" s="65">
        <f t="array" ref="G27">IFERROR(INDEX(PROCEDIMENTOS!$C$2:$C$48,MATCH('PRECIFICAÇÃO '!$E27,PROCEDIMENTOS!$B$2:$B$48,0)),"")</f>
        <v>90</v>
      </c>
      <c r="H27" s="66">
        <v>800.0</v>
      </c>
      <c r="I27" s="67"/>
      <c r="J27" s="63" t="s">
        <v>441</v>
      </c>
      <c r="K27" s="68"/>
      <c r="L27" s="69">
        <f>IFERROR(VLOOKUP('PRECIFICAÇÃO '!$J27,TAXA!$A$2:$C$18,2,FALSE),"")</f>
        <v>0.0313</v>
      </c>
      <c r="M27" s="70">
        <f t="shared" si="1"/>
        <v>25.04</v>
      </c>
      <c r="N27" s="69">
        <f>IFERROR(VLOOKUP('PRECIFICAÇÃO '!$J27,TAXA!$A$2:$C$18,3,FALSE),"")</f>
        <v>0</v>
      </c>
      <c r="O27" s="70">
        <f t="shared" si="2"/>
        <v>0</v>
      </c>
      <c r="P27" s="70">
        <f>IFERROR('PRECIFICAÇÃO '!$H27-'PRECIFICAÇÃO '!$M27-'PRECIFICAÇÃO '!$O27,0)</f>
        <v>774.96</v>
      </c>
      <c r="Q27" s="71">
        <f t="array" ref="Q27">IFERROR(INDEX(PROCEDIMENTOS!$D$2:$D$48,MATCH('PRECIFICAÇÃO '!$E27,PROCEDIMENTOS!$B$2:$B$48,0)),"")</f>
        <v>0</v>
      </c>
      <c r="R27" s="70">
        <f t="shared" si="3"/>
        <v>280.8</v>
      </c>
      <c r="S27" s="72">
        <f t="shared" si="12"/>
        <v>132</v>
      </c>
      <c r="T27" s="72"/>
      <c r="U27" s="72">
        <f t="shared" si="13"/>
        <v>24</v>
      </c>
      <c r="V27" s="73">
        <f>'PRECIFICAÇÃO '!$Q27+'PRECIFICAÇÃO '!$R27+'PRECIFICAÇÃO '!$S27+'PRECIFICAÇÃO '!$T27+'PRECIFICAÇÃO '!$U27</f>
        <v>436.8</v>
      </c>
      <c r="W27" s="74">
        <f t="shared" si="6"/>
        <v>0.546</v>
      </c>
      <c r="X27" s="73">
        <f t="shared" si="7"/>
        <v>338.16</v>
      </c>
      <c r="Y27" s="75">
        <f t="shared" si="8"/>
        <v>0.4227</v>
      </c>
      <c r="Z27" s="73">
        <f t="shared" si="9"/>
        <v>67.632</v>
      </c>
      <c r="AA27" s="73">
        <f t="shared" si="10"/>
        <v>270.528</v>
      </c>
    </row>
    <row r="28" ht="15.75" customHeight="1">
      <c r="A28" s="60">
        <v>46071.0</v>
      </c>
      <c r="B28" s="61" t="s">
        <v>415</v>
      </c>
      <c r="C28" s="61" t="s">
        <v>442</v>
      </c>
      <c r="D28" s="62">
        <v>1.0</v>
      </c>
      <c r="E28" s="63" t="s">
        <v>406</v>
      </c>
      <c r="F28" s="64" t="str">
        <f t="array" ref="F28">IFERROR(INDEX(PROCEDIMENTOS!$A$2:$A$48,MATCH('PRECIFICAÇÃO '!$E28,PROCEDIMENTOS!$B$2:$B$48,0)),"")</f>
        <v>PROCEDIMENTO</v>
      </c>
      <c r="G28" s="65">
        <f t="array" ref="G28">IFERROR(INDEX(PROCEDIMENTOS!$C$2:$C$48,MATCH('PRECIFICAÇÃO '!$E28,PROCEDIMENTOS!$B$2:$B$48,0)),"")</f>
        <v>30</v>
      </c>
      <c r="H28" s="66">
        <v>1600.0</v>
      </c>
      <c r="I28" s="67"/>
      <c r="J28" s="63" t="s">
        <v>443</v>
      </c>
      <c r="K28" s="68"/>
      <c r="L28" s="69">
        <f>IFERROR(VLOOKUP('PRECIFICAÇÃO '!$J28,TAXA!$A$2:$C$18,2,FALSE),"")</f>
        <v>0.0313</v>
      </c>
      <c r="M28" s="70">
        <f t="shared" si="1"/>
        <v>50.08</v>
      </c>
      <c r="N28" s="69">
        <f>IFERROR(VLOOKUP('PRECIFICAÇÃO '!$J28,TAXA!$A$2:$C$18,3,FALSE),"")</f>
        <v>0</v>
      </c>
      <c r="O28" s="70">
        <f t="shared" si="2"/>
        <v>0</v>
      </c>
      <c r="P28" s="70">
        <f>IFERROR('PRECIFICAÇÃO '!$H28-'PRECIFICAÇÃO '!$M28-'PRECIFICAÇÃO '!$O28,0)</f>
        <v>1549.92</v>
      </c>
      <c r="Q28" s="71">
        <f t="array" ref="Q28">IFERROR(INDEX(PROCEDIMENTOS!$D$2:$D$48,MATCH('PRECIFICAÇÃO '!$E28,PROCEDIMENTOS!$B$2:$B$48,0)),"")</f>
        <v>566.4</v>
      </c>
      <c r="R28" s="70">
        <f t="shared" si="3"/>
        <v>93.6</v>
      </c>
      <c r="S28" s="72">
        <f t="shared" si="12"/>
        <v>264</v>
      </c>
      <c r="T28" s="72"/>
      <c r="U28" s="72">
        <f t="shared" si="13"/>
        <v>48</v>
      </c>
      <c r="V28" s="73">
        <f>'PRECIFICAÇÃO '!$Q28+'PRECIFICAÇÃO '!$R28+'PRECIFICAÇÃO '!$S28+'PRECIFICAÇÃO '!$T28+'PRECIFICAÇÃO '!$U28</f>
        <v>972</v>
      </c>
      <c r="W28" s="74">
        <f t="shared" si="6"/>
        <v>0.6075</v>
      </c>
      <c r="X28" s="73">
        <f t="shared" si="7"/>
        <v>577.92</v>
      </c>
      <c r="Y28" s="75">
        <f t="shared" si="8"/>
        <v>0.3612</v>
      </c>
      <c r="Z28" s="73">
        <f t="shared" si="9"/>
        <v>115.584</v>
      </c>
      <c r="AA28" s="73">
        <f t="shared" si="10"/>
        <v>462.336</v>
      </c>
    </row>
    <row r="29" ht="15.75" customHeight="1">
      <c r="A29" s="60">
        <v>46072.0</v>
      </c>
      <c r="B29" s="61" t="s">
        <v>415</v>
      </c>
      <c r="C29" s="61" t="s">
        <v>444</v>
      </c>
      <c r="D29" s="62">
        <v>1.0</v>
      </c>
      <c r="E29" s="63" t="s">
        <v>428</v>
      </c>
      <c r="F29" s="64" t="str">
        <f t="array" ref="F29">IFERROR(INDEX(PROCEDIMENTOS!$A$2:$A$48,MATCH('PRECIFICAÇÃO '!$E29,PROCEDIMENTOS!$B$2:$B$48,0)),"")</f>
        <v>PROCEDIMENTO</v>
      </c>
      <c r="G29" s="65">
        <f t="array" ref="G29">IFERROR(INDEX(PROCEDIMENTOS!$C$2:$C$48,MATCH('PRECIFICAÇÃO '!$E29,PROCEDIMENTOS!$B$2:$B$48,0)),"")</f>
        <v>270</v>
      </c>
      <c r="H29" s="66">
        <v>2800.0</v>
      </c>
      <c r="I29" s="67"/>
      <c r="J29" s="63" t="s">
        <v>404</v>
      </c>
      <c r="K29" s="68"/>
      <c r="L29" s="69">
        <f>IFERROR(VLOOKUP('PRECIFICAÇÃO '!$J29,TAXA!$A$2:$C$18,2,FALSE),"")</f>
        <v>0</v>
      </c>
      <c r="M29" s="70">
        <f t="shared" si="1"/>
        <v>0</v>
      </c>
      <c r="N29" s="69">
        <f>IFERROR(VLOOKUP('PRECIFICAÇÃO '!$J29,TAXA!$A$2:$C$18,3,FALSE),"")</f>
        <v>0</v>
      </c>
      <c r="O29" s="70">
        <f t="shared" si="2"/>
        <v>0</v>
      </c>
      <c r="P29" s="70">
        <f>IFERROR('PRECIFICAÇÃO '!$H29-'PRECIFICAÇÃO '!$M29-'PRECIFICAÇÃO '!$O29,0)</f>
        <v>2800</v>
      </c>
      <c r="Q29" s="71">
        <f t="array" ref="Q29">IFERROR(INDEX(PROCEDIMENTOS!$D$2:$D$48,MATCH('PRECIFICAÇÃO '!$E29,PROCEDIMENTOS!$B$2:$B$48,0)),"")</f>
        <v>46.8</v>
      </c>
      <c r="R29" s="70">
        <f t="shared" si="3"/>
        <v>842.4</v>
      </c>
      <c r="S29" s="72">
        <f t="shared" si="12"/>
        <v>462</v>
      </c>
      <c r="T29" s="72"/>
      <c r="U29" s="72">
        <f t="shared" si="13"/>
        <v>84</v>
      </c>
      <c r="V29" s="73">
        <f>'PRECIFICAÇÃO '!$Q29+'PRECIFICAÇÃO '!$R29+'PRECIFICAÇÃO '!$S29+'PRECIFICAÇÃO '!$T29+'PRECIFICAÇÃO '!$U29</f>
        <v>1435.2</v>
      </c>
      <c r="W29" s="74">
        <f t="shared" si="6"/>
        <v>0.5125714286</v>
      </c>
      <c r="X29" s="73">
        <f t="shared" si="7"/>
        <v>1364.8</v>
      </c>
      <c r="Y29" s="75">
        <f t="shared" si="8"/>
        <v>0.4874285714</v>
      </c>
      <c r="Z29" s="73">
        <f t="shared" si="9"/>
        <v>272.96</v>
      </c>
      <c r="AA29" s="73">
        <f t="shared" si="10"/>
        <v>1091.84</v>
      </c>
    </row>
    <row r="30" ht="15.75" customHeight="1">
      <c r="A30" s="60">
        <v>46072.0</v>
      </c>
      <c r="B30" s="61" t="s">
        <v>415</v>
      </c>
      <c r="C30" s="61" t="s">
        <v>444</v>
      </c>
      <c r="D30" s="62">
        <v>1.0</v>
      </c>
      <c r="E30" s="63" t="s">
        <v>428</v>
      </c>
      <c r="F30" s="64" t="str">
        <f t="array" ref="F30">IFERROR(INDEX(PROCEDIMENTOS!$A$2:$A$48,MATCH('PRECIFICAÇÃO '!$E30,PROCEDIMENTOS!$B$2:$B$48,0)),"")</f>
        <v>PROCEDIMENTO</v>
      </c>
      <c r="G30" s="65">
        <f t="array" ref="G30">IFERROR(INDEX(PROCEDIMENTOS!$C$2:$C$48,MATCH('PRECIFICAÇÃO '!$E30,PROCEDIMENTOS!$B$2:$B$48,0)),"")</f>
        <v>270</v>
      </c>
      <c r="H30" s="66">
        <v>1700.0</v>
      </c>
      <c r="I30" s="67"/>
      <c r="J30" s="63" t="s">
        <v>414</v>
      </c>
      <c r="K30" s="68"/>
      <c r="L30" s="69">
        <f>IFERROR(VLOOKUP('PRECIFICAÇÃO '!$J30,TAXA!$A$2:$C$18,2,FALSE),"")</f>
        <v>0.0313</v>
      </c>
      <c r="M30" s="70">
        <f t="shared" si="1"/>
        <v>53.21</v>
      </c>
      <c r="N30" s="69">
        <f>IFERROR(VLOOKUP('PRECIFICAÇÃO '!$J30,TAXA!$A$2:$C$18,3,FALSE),"")</f>
        <v>0</v>
      </c>
      <c r="O30" s="70">
        <f t="shared" si="2"/>
        <v>0</v>
      </c>
      <c r="P30" s="70">
        <f>IFERROR('PRECIFICAÇÃO '!$H30-'PRECIFICAÇÃO '!$M30-'PRECIFICAÇÃO '!$O30,0)</f>
        <v>1646.79</v>
      </c>
      <c r="Q30" s="71">
        <f t="array" ref="Q30">IFERROR(INDEX(PROCEDIMENTOS!$D$2:$D$48,MATCH('PRECIFICAÇÃO '!$E30,PROCEDIMENTOS!$B$2:$B$48,0)),"")</f>
        <v>46.8</v>
      </c>
      <c r="R30" s="70">
        <f t="shared" si="3"/>
        <v>842.4</v>
      </c>
      <c r="S30" s="72">
        <f t="shared" si="12"/>
        <v>280.5</v>
      </c>
      <c r="T30" s="72"/>
      <c r="U30" s="72">
        <f t="shared" si="13"/>
        <v>51</v>
      </c>
      <c r="V30" s="73">
        <f>'PRECIFICAÇÃO '!$Q30+'PRECIFICAÇÃO '!$R30+'PRECIFICAÇÃO '!$S30+'PRECIFICAÇÃO '!$T30+'PRECIFICAÇÃO '!$U30</f>
        <v>1220.7</v>
      </c>
      <c r="W30" s="74">
        <f t="shared" si="6"/>
        <v>0.7180588235</v>
      </c>
      <c r="X30" s="73">
        <f t="shared" si="7"/>
        <v>426.09</v>
      </c>
      <c r="Y30" s="75">
        <f t="shared" si="8"/>
        <v>0.2506411765</v>
      </c>
      <c r="Z30" s="73">
        <f t="shared" si="9"/>
        <v>85.218</v>
      </c>
      <c r="AA30" s="73">
        <f t="shared" si="10"/>
        <v>340.872</v>
      </c>
    </row>
    <row r="31" ht="15.75" customHeight="1">
      <c r="A31" s="60">
        <v>46077.0</v>
      </c>
      <c r="B31" s="61" t="s">
        <v>415</v>
      </c>
      <c r="C31" s="61" t="s">
        <v>445</v>
      </c>
      <c r="D31" s="62">
        <v>1.0</v>
      </c>
      <c r="E31" s="63" t="s">
        <v>406</v>
      </c>
      <c r="F31" s="64" t="str">
        <f t="array" ref="F31">IFERROR(INDEX(PROCEDIMENTOS!$A$2:$A$48,MATCH('PRECIFICAÇÃO '!$E31,PROCEDIMENTOS!$B$2:$B$48,0)),"")</f>
        <v>PROCEDIMENTO</v>
      </c>
      <c r="G31" s="65">
        <f t="array" ref="G31">IFERROR(INDEX(PROCEDIMENTOS!$C$2:$C$48,MATCH('PRECIFICAÇÃO '!$E31,PROCEDIMENTOS!$B$2:$B$48,0)),"")</f>
        <v>30</v>
      </c>
      <c r="H31" s="66">
        <v>1440.0</v>
      </c>
      <c r="I31" s="67"/>
      <c r="J31" s="63" t="s">
        <v>404</v>
      </c>
      <c r="K31" s="68"/>
      <c r="L31" s="69">
        <f>IFERROR(VLOOKUP('PRECIFICAÇÃO '!$J31,TAXA!$A$2:$C$18,2,FALSE),"")</f>
        <v>0</v>
      </c>
      <c r="M31" s="70">
        <f t="shared" si="1"/>
        <v>0</v>
      </c>
      <c r="N31" s="69">
        <f>IFERROR(VLOOKUP('PRECIFICAÇÃO '!$J31,TAXA!$A$2:$C$18,3,FALSE),"")</f>
        <v>0</v>
      </c>
      <c r="O31" s="70">
        <f t="shared" si="2"/>
        <v>0</v>
      </c>
      <c r="P31" s="70">
        <f>IFERROR('PRECIFICAÇÃO '!$H31-'PRECIFICAÇÃO '!$M31-'PRECIFICAÇÃO '!$O31,0)</f>
        <v>1440</v>
      </c>
      <c r="Q31" s="71"/>
      <c r="R31" s="70">
        <f t="shared" si="3"/>
        <v>93.6</v>
      </c>
      <c r="S31" s="72">
        <f t="shared" si="12"/>
        <v>237.6</v>
      </c>
      <c r="T31" s="72"/>
      <c r="U31" s="72">
        <f t="shared" si="13"/>
        <v>43.2</v>
      </c>
      <c r="V31" s="73">
        <f>'PRECIFICAÇÃO '!$Q31+'PRECIFICAÇÃO '!$R31+'PRECIFICAÇÃO '!$S31+'PRECIFICAÇÃO '!$T31+'PRECIFICAÇÃO '!$U31</f>
        <v>374.4</v>
      </c>
      <c r="W31" s="74">
        <f t="shared" si="6"/>
        <v>0.26</v>
      </c>
      <c r="X31" s="73">
        <f t="shared" si="7"/>
        <v>1065.6</v>
      </c>
      <c r="Y31" s="75">
        <f t="shared" si="8"/>
        <v>0.74</v>
      </c>
      <c r="Z31" s="73">
        <f t="shared" si="9"/>
        <v>213.12</v>
      </c>
      <c r="AA31" s="73">
        <f t="shared" si="10"/>
        <v>852.48</v>
      </c>
    </row>
    <row r="32" ht="15.75" customHeight="1">
      <c r="A32" s="60">
        <v>46079.0</v>
      </c>
      <c r="B32" s="61" t="s">
        <v>415</v>
      </c>
      <c r="C32" s="61" t="s">
        <v>446</v>
      </c>
      <c r="D32" s="62">
        <v>1.0</v>
      </c>
      <c r="E32" s="63" t="s">
        <v>447</v>
      </c>
      <c r="F32" s="64" t="str">
        <f t="array" ref="F32">IFERROR(INDEX(PROCEDIMENTOS!$A$2:$A$48,MATCH('PRECIFICAÇÃO '!$E32,PROCEDIMENTOS!$B$2:$B$48,0)),"")</f>
        <v>PROCEDIMENTO</v>
      </c>
      <c r="G32" s="65">
        <f t="array" ref="G32">IFERROR(INDEX(PROCEDIMENTOS!$C$2:$C$48,MATCH('PRECIFICAÇÃO '!$E32,PROCEDIMENTOS!$B$2:$B$48,0)),"")</f>
        <v>30</v>
      </c>
      <c r="H32" s="66">
        <v>1400.0</v>
      </c>
      <c r="I32" s="67"/>
      <c r="J32" s="63" t="s">
        <v>404</v>
      </c>
      <c r="K32" s="68"/>
      <c r="L32" s="69">
        <f>IFERROR(VLOOKUP('PRECIFICAÇÃO '!$J32,TAXA!$A$2:$C$18,2,FALSE),"")</f>
        <v>0</v>
      </c>
      <c r="M32" s="70">
        <f t="shared" si="1"/>
        <v>0</v>
      </c>
      <c r="N32" s="69">
        <f>IFERROR(VLOOKUP('PRECIFICAÇÃO '!$J32,TAXA!$A$2:$C$18,3,FALSE),"")</f>
        <v>0</v>
      </c>
      <c r="O32" s="70">
        <f t="shared" si="2"/>
        <v>0</v>
      </c>
      <c r="P32" s="70">
        <f>IFERROR('PRECIFICAÇÃO '!$H32-'PRECIFICAÇÃO '!$M32-'PRECIFICAÇÃO '!$O32,0)</f>
        <v>1400</v>
      </c>
      <c r="Q32" s="71"/>
      <c r="R32" s="70">
        <f t="shared" si="3"/>
        <v>93.6</v>
      </c>
      <c r="S32" s="72">
        <f t="shared" si="12"/>
        <v>231</v>
      </c>
      <c r="T32" s="72"/>
      <c r="U32" s="72">
        <f t="shared" si="13"/>
        <v>42</v>
      </c>
      <c r="V32" s="73">
        <f>'PRECIFICAÇÃO '!$Q32+'PRECIFICAÇÃO '!$R32+'PRECIFICAÇÃO '!$S32+'PRECIFICAÇÃO '!$T32+'PRECIFICAÇÃO '!$U32</f>
        <v>366.6</v>
      </c>
      <c r="W32" s="74">
        <f t="shared" si="6"/>
        <v>0.2618571429</v>
      </c>
      <c r="X32" s="73">
        <f t="shared" si="7"/>
        <v>1033.4</v>
      </c>
      <c r="Y32" s="75">
        <f t="shared" si="8"/>
        <v>0.7381428571</v>
      </c>
      <c r="Z32" s="73">
        <f t="shared" si="9"/>
        <v>206.68</v>
      </c>
      <c r="AA32" s="73">
        <f t="shared" si="10"/>
        <v>826.72</v>
      </c>
    </row>
    <row r="33" ht="15.75" customHeight="1">
      <c r="A33" s="60">
        <v>46056.0</v>
      </c>
      <c r="B33" s="61" t="s">
        <v>415</v>
      </c>
      <c r="C33" s="76" t="s">
        <v>448</v>
      </c>
      <c r="D33" s="77">
        <v>1.0</v>
      </c>
      <c r="E33" s="63" t="s">
        <v>449</v>
      </c>
      <c r="F33" s="64" t="str">
        <f t="array" ref="F33">IFERROR(INDEX(PROCEDIMENTOS!$A$2:$A$48,MATCH('PRECIFICAÇÃO '!$E33,PROCEDIMENTOS!$B$2:$B$48,0)),"")</f>
        <v>PROCEDIMENTO</v>
      </c>
      <c r="G33" s="65">
        <f t="array" ref="G33">IFERROR(INDEX(PROCEDIMENTOS!$C$2:$C$48,MATCH('PRECIFICAÇÃO '!$E33,PROCEDIMENTOS!$B$2:$B$48,0)),"")</f>
        <v>270</v>
      </c>
      <c r="H33" s="66">
        <v>4500.0</v>
      </c>
      <c r="I33" s="67"/>
      <c r="J33" s="63" t="s">
        <v>414</v>
      </c>
      <c r="K33" s="68"/>
      <c r="L33" s="69">
        <f>IFERROR(VLOOKUP('PRECIFICAÇÃO '!$J33,TAXA!$A$2:$C$18,2,FALSE),"")</f>
        <v>0.0313</v>
      </c>
      <c r="M33" s="70">
        <f t="shared" si="1"/>
        <v>140.85</v>
      </c>
      <c r="N33" s="69">
        <f>IFERROR(VLOOKUP('PRECIFICAÇÃO '!$J33,TAXA!$A$2:$C$18,3,FALSE),"")</f>
        <v>0</v>
      </c>
      <c r="O33" s="70">
        <f t="shared" si="2"/>
        <v>0</v>
      </c>
      <c r="P33" s="70">
        <f>IFERROR('PRECIFICAÇÃO '!$H33-'PRECIFICAÇÃO '!$M33-'PRECIFICAÇÃO '!$O33,0)</f>
        <v>4359.15</v>
      </c>
      <c r="Q33" s="71"/>
      <c r="R33" s="70">
        <f t="shared" si="3"/>
        <v>842.4</v>
      </c>
      <c r="S33" s="72">
        <f t="shared" si="12"/>
        <v>742.5</v>
      </c>
      <c r="T33" s="72"/>
      <c r="U33" s="72">
        <f t="shared" si="13"/>
        <v>135</v>
      </c>
      <c r="V33" s="73">
        <f>'PRECIFICAÇÃO '!$Q33+'PRECIFICAÇÃO '!$R33+'PRECIFICAÇÃO '!$S33+'PRECIFICAÇÃO '!$T33+'PRECIFICAÇÃO '!$U33</f>
        <v>1719.9</v>
      </c>
      <c r="W33" s="74">
        <f t="shared" si="6"/>
        <v>0.3822</v>
      </c>
      <c r="X33" s="73">
        <f t="shared" si="7"/>
        <v>2639.25</v>
      </c>
      <c r="Y33" s="75">
        <f t="shared" si="8"/>
        <v>0.5865</v>
      </c>
      <c r="Z33" s="73">
        <f t="shared" si="9"/>
        <v>527.85</v>
      </c>
      <c r="AA33" s="73">
        <f t="shared" si="10"/>
        <v>2111.4</v>
      </c>
    </row>
    <row r="34" ht="15.75" customHeight="1">
      <c r="A34" s="60">
        <v>46087.0</v>
      </c>
      <c r="B34" s="61" t="s">
        <v>450</v>
      </c>
      <c r="C34" s="61" t="s">
        <v>451</v>
      </c>
      <c r="D34" s="62">
        <v>2.0</v>
      </c>
      <c r="E34" s="63" t="s">
        <v>452</v>
      </c>
      <c r="F34" s="64" t="str">
        <f t="array" ref="F34">IFERROR(INDEX(PROCEDIMENTOS!$A$2:$A$48,MATCH('PRECIFICAÇÃO '!$E34,PROCEDIMENTOS!$B$2:$B$48,0)),"")</f>
        <v>PROCEDIMENTO</v>
      </c>
      <c r="G34" s="65">
        <f t="array" ref="G34">IFERROR(INDEX(PROCEDIMENTOS!$C$2:$C$48,MATCH('PRECIFICAÇÃO '!$E34,PROCEDIMENTOS!$B$2:$B$48,0)),"")</f>
        <v>60</v>
      </c>
      <c r="H34" s="66">
        <v>3600.0</v>
      </c>
      <c r="I34" s="67"/>
      <c r="J34" s="63" t="s">
        <v>414</v>
      </c>
      <c r="K34" s="68"/>
      <c r="L34" s="69">
        <f>IFERROR(VLOOKUP('PRECIFICAÇÃO '!$J34,TAXA!$A$2:$C$18,2,FALSE),"")</f>
        <v>0.0313</v>
      </c>
      <c r="M34" s="70">
        <f t="shared" si="1"/>
        <v>112.68</v>
      </c>
      <c r="N34" s="69">
        <f>IFERROR(VLOOKUP('PRECIFICAÇÃO '!$J34,TAXA!$A$2:$C$18,3,FALSE),"")</f>
        <v>0</v>
      </c>
      <c r="O34" s="70">
        <f t="shared" si="2"/>
        <v>0</v>
      </c>
      <c r="P34" s="70">
        <f>IFERROR('PRECIFICAÇÃO '!$H34-'PRECIFICAÇÃO '!$M34-'PRECIFICAÇÃO '!$O34,0)</f>
        <v>3487.32</v>
      </c>
      <c r="Q34" s="71">
        <f t="array" ref="Q34">IFERROR(INDEX(PROCEDIMENTOS!$D$2:$D$48,MATCH('PRECIFICAÇÃO '!$E34,PROCEDIMENTOS!$B$2:$B$48,0)),"")</f>
        <v>360.35</v>
      </c>
      <c r="R34" s="70">
        <f t="shared" si="3"/>
        <v>187.2</v>
      </c>
      <c r="S34" s="72">
        <f t="shared" si="12"/>
        <v>594</v>
      </c>
      <c r="T34" s="72"/>
      <c r="U34" s="72">
        <f t="shared" si="13"/>
        <v>108</v>
      </c>
      <c r="V34" s="73">
        <f>'PRECIFICAÇÃO '!$Q34+'PRECIFICAÇÃO '!$R34+'PRECIFICAÇÃO '!$S34+'PRECIFICAÇÃO '!$T34+'PRECIFICAÇÃO '!$U34</f>
        <v>1249.55</v>
      </c>
      <c r="W34" s="74">
        <f t="shared" si="6"/>
        <v>0.3470972222</v>
      </c>
      <c r="X34" s="73">
        <f t="shared" si="7"/>
        <v>2237.77</v>
      </c>
      <c r="Y34" s="75">
        <f t="shared" si="8"/>
        <v>0.6216027778</v>
      </c>
      <c r="Z34" s="73">
        <f t="shared" si="9"/>
        <v>447.554</v>
      </c>
      <c r="AA34" s="73">
        <f t="shared" si="10"/>
        <v>1790.216</v>
      </c>
    </row>
    <row r="35" ht="15.75" customHeight="1">
      <c r="A35" s="78"/>
      <c r="B35" s="61"/>
      <c r="C35" s="79"/>
      <c r="D35" s="65"/>
      <c r="E35" s="80"/>
      <c r="F35" s="64" t="str">
        <f t="array" ref="F35">IFERROR(INDEX(PROCEDIMENTOS!$A$2:$A$48,MATCH('PRECIFICAÇÃO '!$E35,PROCEDIMENTOS!$B$2:$B$48,0)),"")</f>
        <v/>
      </c>
      <c r="G35" s="65" t="str">
        <f t="array" ref="G35">IFERROR(INDEX(PROCEDIMENTOS!$C$2:$C$48,MATCH('PRECIFICAÇÃO '!$E35,PROCEDIMENTOS!$B$2:$B$48,0)),"")</f>
        <v/>
      </c>
      <c r="H35" s="67"/>
      <c r="I35" s="67"/>
      <c r="J35" s="80"/>
      <c r="K35" s="68"/>
      <c r="L35" s="69" t="str">
        <f>IFERROR(VLOOKUP('PRECIFICAÇÃO '!$J35,TAXA!$A$2:$C$18,2,FALSE),"")</f>
        <v/>
      </c>
      <c r="M35" s="70">
        <f t="shared" si="1"/>
        <v>0</v>
      </c>
      <c r="N35" s="69" t="str">
        <f>IFERROR(VLOOKUP('PRECIFICAÇÃO '!$J35,TAXA!$A$2:$C$18,3,FALSE),"")</f>
        <v/>
      </c>
      <c r="O35" s="70">
        <f t="shared" si="2"/>
        <v>0</v>
      </c>
      <c r="P35" s="70">
        <f>IFERROR('PRECIFICAÇÃO '!$H35-'PRECIFICAÇÃO '!$M35-'PRECIFICAÇÃO '!$O35,0)</f>
        <v>0</v>
      </c>
      <c r="Q35" s="71" t="str">
        <f t="array" ref="Q35">IFERROR(INDEX(PROCEDIMENTOS!$D$2:$D$48,MATCH('PRECIFICAÇÃO '!$E35,PROCEDIMENTOS!$B$2:$B$48,0)),"")</f>
        <v/>
      </c>
      <c r="R35" s="70">
        <f t="shared" si="3"/>
        <v>0</v>
      </c>
      <c r="S35" s="72">
        <f t="shared" si="12"/>
        <v>0</v>
      </c>
      <c r="T35" s="72"/>
      <c r="U35" s="72">
        <f t="shared" si="13"/>
        <v>0</v>
      </c>
      <c r="V35" s="73">
        <f>'PRECIFICAÇÃO '!$Q35+'PRECIFICAÇÃO '!$R35+'PRECIFICAÇÃO '!$S35+'PRECIFICAÇÃO '!$T35+'PRECIFICAÇÃO '!$U35</f>
        <v>0</v>
      </c>
      <c r="W35" s="74">
        <f t="shared" si="6"/>
        <v>0</v>
      </c>
      <c r="X35" s="73">
        <f t="shared" si="7"/>
        <v>0</v>
      </c>
      <c r="Y35" s="75">
        <f t="shared" si="8"/>
        <v>0</v>
      </c>
      <c r="Z35" s="73">
        <f t="shared" si="9"/>
        <v>0</v>
      </c>
      <c r="AA35" s="73">
        <f t="shared" si="10"/>
        <v>0</v>
      </c>
    </row>
    <row r="36" ht="15.75" customHeight="1">
      <c r="A36" s="78"/>
      <c r="B36" s="61"/>
      <c r="C36" s="79"/>
      <c r="D36" s="65"/>
      <c r="E36" s="80"/>
      <c r="F36" s="64" t="str">
        <f t="array" ref="F36">IFERROR(INDEX(PROCEDIMENTOS!$A$2:$A$48,MATCH('PRECIFICAÇÃO '!$E36,PROCEDIMENTOS!$B$2:$B$48,0)),"")</f>
        <v/>
      </c>
      <c r="G36" s="65" t="str">
        <f t="array" ref="G36">IFERROR(INDEX(PROCEDIMENTOS!$C$2:$C$48,MATCH('PRECIFICAÇÃO '!$E36,PROCEDIMENTOS!$B$2:$B$48,0)),"")</f>
        <v/>
      </c>
      <c r="H36" s="67"/>
      <c r="I36" s="67"/>
      <c r="J36" s="80"/>
      <c r="K36" s="68"/>
      <c r="L36" s="69" t="str">
        <f>IFERROR(VLOOKUP('PRECIFICAÇÃO '!$J36,TAXA!$A$2:$C$18,2,FALSE),"")</f>
        <v/>
      </c>
      <c r="M36" s="70">
        <f t="shared" si="1"/>
        <v>0</v>
      </c>
      <c r="N36" s="69" t="str">
        <f>IFERROR(VLOOKUP('PRECIFICAÇÃO '!$J36,TAXA!$A$2:$C$18,3,FALSE),"")</f>
        <v/>
      </c>
      <c r="O36" s="70">
        <f t="shared" si="2"/>
        <v>0</v>
      </c>
      <c r="P36" s="70">
        <f>IFERROR('PRECIFICAÇÃO '!$H36-'PRECIFICAÇÃO '!$M36-'PRECIFICAÇÃO '!$O36,0)</f>
        <v>0</v>
      </c>
      <c r="Q36" s="71" t="str">
        <f t="array" ref="Q36">IFERROR(INDEX(PROCEDIMENTOS!$D$2:$D$48,MATCH('PRECIFICAÇÃO '!$E36,PROCEDIMENTOS!$B$2:$B$48,0)),"")</f>
        <v/>
      </c>
      <c r="R36" s="70">
        <f t="shared" si="3"/>
        <v>0</v>
      </c>
      <c r="S36" s="72">
        <f t="shared" si="12"/>
        <v>0</v>
      </c>
      <c r="T36" s="72"/>
      <c r="U36" s="72">
        <f t="shared" si="13"/>
        <v>0</v>
      </c>
      <c r="V36" s="73">
        <f>'PRECIFICAÇÃO '!$Q36+'PRECIFICAÇÃO '!$R36+'PRECIFICAÇÃO '!$S36+'PRECIFICAÇÃO '!$T36+'PRECIFICAÇÃO '!$U36</f>
        <v>0</v>
      </c>
      <c r="W36" s="74">
        <f t="shared" si="6"/>
        <v>0</v>
      </c>
      <c r="X36" s="73">
        <f t="shared" si="7"/>
        <v>0</v>
      </c>
      <c r="Y36" s="75">
        <f t="shared" si="8"/>
        <v>0</v>
      </c>
      <c r="Z36" s="73">
        <f t="shared" si="9"/>
        <v>0</v>
      </c>
      <c r="AA36" s="73">
        <f t="shared" si="10"/>
        <v>0</v>
      </c>
    </row>
    <row r="37" ht="15.75" customHeight="1">
      <c r="A37" s="78"/>
      <c r="B37" s="61"/>
      <c r="C37" s="64"/>
      <c r="D37" s="81"/>
      <c r="E37" s="80"/>
      <c r="F37" s="64" t="str">
        <f t="array" ref="F37">IFERROR(INDEX(PROCEDIMENTOS!$A$2:$A$48,MATCH('PRECIFICAÇÃO '!$E37,PROCEDIMENTOS!$B$2:$B$48,0)),"")</f>
        <v/>
      </c>
      <c r="G37" s="65" t="str">
        <f t="array" ref="G37">IFERROR(INDEX(PROCEDIMENTOS!$C$2:$C$48,MATCH('PRECIFICAÇÃO '!$E37,PROCEDIMENTOS!$B$2:$B$48,0)),"")</f>
        <v/>
      </c>
      <c r="H37" s="67"/>
      <c r="I37" s="67"/>
      <c r="J37" s="80"/>
      <c r="K37" s="68"/>
      <c r="L37" s="69" t="str">
        <f>IFERROR(VLOOKUP('PRECIFICAÇÃO '!$J37,TAXA!$A$2:$C$18,2,FALSE),"")</f>
        <v/>
      </c>
      <c r="M37" s="70">
        <f t="shared" si="1"/>
        <v>0</v>
      </c>
      <c r="N37" s="69" t="str">
        <f>IFERROR(VLOOKUP('PRECIFICAÇÃO '!$J37,TAXA!$A$2:$C$18,3,FALSE),"")</f>
        <v/>
      </c>
      <c r="O37" s="70">
        <f t="shared" si="2"/>
        <v>0</v>
      </c>
      <c r="P37" s="70">
        <f>IFERROR('PRECIFICAÇÃO '!$H37-'PRECIFICAÇÃO '!$M37-'PRECIFICAÇÃO '!$O37,0)</f>
        <v>0</v>
      </c>
      <c r="Q37" s="71"/>
      <c r="R37" s="70">
        <f t="shared" si="3"/>
        <v>0</v>
      </c>
      <c r="S37" s="72">
        <f t="shared" si="12"/>
        <v>0</v>
      </c>
      <c r="T37" s="72"/>
      <c r="U37" s="72">
        <f t="shared" si="13"/>
        <v>0</v>
      </c>
      <c r="V37" s="73">
        <f>'PRECIFICAÇÃO '!$Q37+'PRECIFICAÇÃO '!$R37+'PRECIFICAÇÃO '!$S37+'PRECIFICAÇÃO '!$T37+'PRECIFICAÇÃO '!$U37</f>
        <v>0</v>
      </c>
      <c r="W37" s="74">
        <f t="shared" si="6"/>
        <v>0</v>
      </c>
      <c r="X37" s="73">
        <f t="shared" si="7"/>
        <v>0</v>
      </c>
      <c r="Y37" s="75">
        <f t="shared" si="8"/>
        <v>0</v>
      </c>
      <c r="Z37" s="73">
        <f t="shared" si="9"/>
        <v>0</v>
      </c>
      <c r="AA37" s="73">
        <f t="shared" si="10"/>
        <v>0</v>
      </c>
    </row>
    <row r="38" ht="15.75" customHeight="1">
      <c r="A38" s="78"/>
      <c r="B38" s="61"/>
      <c r="C38" s="79"/>
      <c r="D38" s="65"/>
      <c r="E38" s="80"/>
      <c r="F38" s="64" t="str">
        <f t="array" ref="F38">IFERROR(INDEX(PROCEDIMENTOS!$A$2:$A$48,MATCH('PRECIFICAÇÃO '!$E38,PROCEDIMENTOS!$B$2:$B$48,0)),"")</f>
        <v/>
      </c>
      <c r="G38" s="65" t="str">
        <f t="array" ref="G38">IFERROR(INDEX(PROCEDIMENTOS!$C$2:$C$48,MATCH('PRECIFICAÇÃO '!$E38,PROCEDIMENTOS!$B$2:$B$48,0)),"")</f>
        <v/>
      </c>
      <c r="H38" s="67"/>
      <c r="I38" s="67"/>
      <c r="J38" s="80"/>
      <c r="K38" s="68"/>
      <c r="L38" s="69" t="str">
        <f>IFERROR(VLOOKUP('PRECIFICAÇÃO '!$J38,TAXA!$A$2:$C$18,2,FALSE),"")</f>
        <v/>
      </c>
      <c r="M38" s="70">
        <f t="shared" si="1"/>
        <v>0</v>
      </c>
      <c r="N38" s="69" t="str">
        <f>IFERROR(VLOOKUP('PRECIFICAÇÃO '!$J38,TAXA!$A$2:$C$18,3,FALSE),"")</f>
        <v/>
      </c>
      <c r="O38" s="70">
        <f t="shared" si="2"/>
        <v>0</v>
      </c>
      <c r="P38" s="70">
        <f>IFERROR('PRECIFICAÇÃO '!$H38-'PRECIFICAÇÃO '!$M38-'PRECIFICAÇÃO '!$O38,0)</f>
        <v>0</v>
      </c>
      <c r="Q38" s="71" t="str">
        <f t="array" ref="Q38">IFERROR(INDEX(PROCEDIMENTOS!$D$2:$D$48,MATCH('PRECIFICAÇÃO '!$E38,PROCEDIMENTOS!$B$2:$B$48,0)),"")</f>
        <v/>
      </c>
      <c r="R38" s="70">
        <f t="shared" si="3"/>
        <v>0</v>
      </c>
      <c r="S38" s="72">
        <f t="shared" si="12"/>
        <v>0</v>
      </c>
      <c r="T38" s="72"/>
      <c r="U38" s="72">
        <f t="shared" si="13"/>
        <v>0</v>
      </c>
      <c r="V38" s="73">
        <f>'PRECIFICAÇÃO '!$Q38+'PRECIFICAÇÃO '!$R38+'PRECIFICAÇÃO '!$S38+'PRECIFICAÇÃO '!$T38+'PRECIFICAÇÃO '!$U38</f>
        <v>0</v>
      </c>
      <c r="W38" s="74">
        <f t="shared" si="6"/>
        <v>0</v>
      </c>
      <c r="X38" s="73">
        <f t="shared" si="7"/>
        <v>0</v>
      </c>
      <c r="Y38" s="75">
        <f t="shared" si="8"/>
        <v>0</v>
      </c>
      <c r="Z38" s="73">
        <f t="shared" si="9"/>
        <v>0</v>
      </c>
      <c r="AA38" s="73">
        <f t="shared" si="10"/>
        <v>0</v>
      </c>
    </row>
    <row r="39" ht="15.75" customHeight="1">
      <c r="A39" s="78"/>
      <c r="B39" s="61"/>
      <c r="C39" s="79"/>
      <c r="D39" s="65"/>
      <c r="E39" s="80"/>
      <c r="F39" s="64" t="str">
        <f t="array" ref="F39">IFERROR(INDEX(PROCEDIMENTOS!$A$2:$A$48,MATCH('PRECIFICAÇÃO '!$E39,PROCEDIMENTOS!$B$2:$B$48,0)),"")</f>
        <v/>
      </c>
      <c r="G39" s="65" t="str">
        <f t="array" ref="G39">IFERROR(INDEX(PROCEDIMENTOS!$C$2:$C$48,MATCH('PRECIFICAÇÃO '!$E39,PROCEDIMENTOS!$B$2:$B$48,0)),"")</f>
        <v/>
      </c>
      <c r="H39" s="67"/>
      <c r="I39" s="67"/>
      <c r="J39" s="80"/>
      <c r="K39" s="68"/>
      <c r="L39" s="69" t="str">
        <f>IFERROR(VLOOKUP('PRECIFICAÇÃO '!$J39,TAXA!$A$2:$C$18,2,FALSE),"")</f>
        <v/>
      </c>
      <c r="M39" s="70">
        <f t="shared" si="1"/>
        <v>0</v>
      </c>
      <c r="N39" s="69" t="str">
        <f>IFERROR(VLOOKUP('PRECIFICAÇÃO '!$J39,TAXA!$A$2:$C$18,3,FALSE),"")</f>
        <v/>
      </c>
      <c r="O39" s="70">
        <f t="shared" si="2"/>
        <v>0</v>
      </c>
      <c r="P39" s="70">
        <f>IFERROR('PRECIFICAÇÃO '!$H39-'PRECIFICAÇÃO '!$M39-'PRECIFICAÇÃO '!$O39,0)</f>
        <v>0</v>
      </c>
      <c r="Q39" s="71" t="str">
        <f t="array" ref="Q39">IFERROR(INDEX(PROCEDIMENTOS!$D$2:$D$48,MATCH('PRECIFICAÇÃO '!$E39,PROCEDIMENTOS!$B$2:$B$48,0)),"")</f>
        <v/>
      </c>
      <c r="R39" s="70">
        <f t="shared" si="3"/>
        <v>0</v>
      </c>
      <c r="S39" s="72">
        <f t="shared" si="12"/>
        <v>0</v>
      </c>
      <c r="T39" s="72"/>
      <c r="U39" s="72">
        <f t="shared" si="13"/>
        <v>0</v>
      </c>
      <c r="V39" s="73">
        <f>'PRECIFICAÇÃO '!$Q39+'PRECIFICAÇÃO '!$R39+'PRECIFICAÇÃO '!$S39+'PRECIFICAÇÃO '!$T39+'PRECIFICAÇÃO '!$U39</f>
        <v>0</v>
      </c>
      <c r="W39" s="74">
        <f t="shared" si="6"/>
        <v>0</v>
      </c>
      <c r="X39" s="73">
        <f t="shared" si="7"/>
        <v>0</v>
      </c>
      <c r="Y39" s="75">
        <f t="shared" si="8"/>
        <v>0</v>
      </c>
      <c r="Z39" s="73">
        <f t="shared" si="9"/>
        <v>0</v>
      </c>
      <c r="AA39" s="73">
        <f t="shared" si="10"/>
        <v>0</v>
      </c>
    </row>
    <row r="40" ht="15.75" customHeight="1">
      <c r="A40" s="78"/>
      <c r="B40" s="61"/>
      <c r="C40" s="79"/>
      <c r="D40" s="65"/>
      <c r="E40" s="80"/>
      <c r="F40" s="64" t="str">
        <f t="array" ref="F40">IFERROR(INDEX(PROCEDIMENTOS!$A$2:$A$48,MATCH('PRECIFICAÇÃO '!$E40,PROCEDIMENTOS!$B$2:$B$48,0)),"")</f>
        <v/>
      </c>
      <c r="G40" s="65" t="str">
        <f t="array" ref="G40">IFERROR(INDEX(PROCEDIMENTOS!$C$2:$C$48,MATCH('PRECIFICAÇÃO '!$E40,PROCEDIMENTOS!$B$2:$B$48,0)),"")</f>
        <v/>
      </c>
      <c r="H40" s="67"/>
      <c r="I40" s="67"/>
      <c r="J40" s="80"/>
      <c r="K40" s="68"/>
      <c r="L40" s="69" t="str">
        <f>IFERROR(VLOOKUP('PRECIFICAÇÃO '!$J40,TAXA!$A$2:$C$18,2,FALSE),"")</f>
        <v/>
      </c>
      <c r="M40" s="70">
        <f t="shared" si="1"/>
        <v>0</v>
      </c>
      <c r="N40" s="69" t="str">
        <f>IFERROR(VLOOKUP('PRECIFICAÇÃO '!$J40,TAXA!$A$2:$C$18,3,FALSE),"")</f>
        <v/>
      </c>
      <c r="O40" s="70">
        <f t="shared" si="2"/>
        <v>0</v>
      </c>
      <c r="P40" s="70">
        <f>IFERROR('PRECIFICAÇÃO '!$H40-'PRECIFICAÇÃO '!$M40-'PRECIFICAÇÃO '!$O40,0)</f>
        <v>0</v>
      </c>
      <c r="Q40" s="71" t="str">
        <f t="array" ref="Q40">IFERROR(INDEX(PROCEDIMENTOS!$D$2:$D$48,MATCH('PRECIFICAÇÃO '!$E40,PROCEDIMENTOS!$B$2:$B$48,0)),"")</f>
        <v/>
      </c>
      <c r="R40" s="70">
        <f t="shared" si="3"/>
        <v>0</v>
      </c>
      <c r="S40" s="72">
        <f t="shared" si="12"/>
        <v>0</v>
      </c>
      <c r="T40" s="72"/>
      <c r="U40" s="72">
        <f t="shared" si="13"/>
        <v>0</v>
      </c>
      <c r="V40" s="73">
        <f>'PRECIFICAÇÃO '!$Q40+'PRECIFICAÇÃO '!$R40+'PRECIFICAÇÃO '!$S40+'PRECIFICAÇÃO '!$T40+'PRECIFICAÇÃO '!$U40</f>
        <v>0</v>
      </c>
      <c r="W40" s="74">
        <f t="shared" si="6"/>
        <v>0</v>
      </c>
      <c r="X40" s="73">
        <f t="shared" si="7"/>
        <v>0</v>
      </c>
      <c r="Y40" s="75">
        <f t="shared" si="8"/>
        <v>0</v>
      </c>
      <c r="Z40" s="73">
        <f t="shared" si="9"/>
        <v>0</v>
      </c>
      <c r="AA40" s="73">
        <f t="shared" si="10"/>
        <v>0</v>
      </c>
    </row>
    <row r="41" ht="15.75" customHeight="1">
      <c r="A41" s="78"/>
      <c r="B41" s="61"/>
      <c r="C41" s="79"/>
      <c r="D41" s="65"/>
      <c r="E41" s="80"/>
      <c r="F41" s="64" t="str">
        <f t="array" ref="F41">IFERROR(INDEX(PROCEDIMENTOS!$A$2:$A$48,MATCH('PRECIFICAÇÃO '!$E41,PROCEDIMENTOS!$B$2:$B$48,0)),"")</f>
        <v/>
      </c>
      <c r="G41" s="65" t="str">
        <f t="array" ref="G41">IFERROR(INDEX(PROCEDIMENTOS!$C$2:$C$48,MATCH('PRECIFICAÇÃO '!$E41,PROCEDIMENTOS!$B$2:$B$48,0)),"")</f>
        <v/>
      </c>
      <c r="H41" s="67"/>
      <c r="I41" s="67"/>
      <c r="J41" s="80"/>
      <c r="K41" s="68"/>
      <c r="L41" s="69" t="str">
        <f>IFERROR(VLOOKUP('PRECIFICAÇÃO '!$J41,TAXA!$A$2:$C$18,2,FALSE),"")</f>
        <v/>
      </c>
      <c r="M41" s="70">
        <f t="shared" si="1"/>
        <v>0</v>
      </c>
      <c r="N41" s="69" t="str">
        <f>IFERROR(VLOOKUP('PRECIFICAÇÃO '!$J41,TAXA!$A$2:$C$18,3,FALSE),"")</f>
        <v/>
      </c>
      <c r="O41" s="70">
        <f t="shared" si="2"/>
        <v>0</v>
      </c>
      <c r="P41" s="70">
        <f>IFERROR('PRECIFICAÇÃO '!$H41-'PRECIFICAÇÃO '!$M41-'PRECIFICAÇÃO '!$O41,0)</f>
        <v>0</v>
      </c>
      <c r="Q41" s="71" t="str">
        <f t="array" ref="Q41">IFERROR(INDEX(PROCEDIMENTOS!$D$2:$D$48,MATCH('PRECIFICAÇÃO '!$E41,PROCEDIMENTOS!$B$2:$B$48,0)),"")</f>
        <v/>
      </c>
      <c r="R41" s="70">
        <f t="shared" si="3"/>
        <v>0</v>
      </c>
      <c r="S41" s="72">
        <f t="shared" si="12"/>
        <v>0</v>
      </c>
      <c r="T41" s="72"/>
      <c r="U41" s="72">
        <f t="shared" si="13"/>
        <v>0</v>
      </c>
      <c r="V41" s="73">
        <f>'PRECIFICAÇÃO '!$Q41+'PRECIFICAÇÃO '!$R41+'PRECIFICAÇÃO '!$S41+'PRECIFICAÇÃO '!$T41+'PRECIFICAÇÃO '!$U41</f>
        <v>0</v>
      </c>
      <c r="W41" s="74">
        <f t="shared" si="6"/>
        <v>0</v>
      </c>
      <c r="X41" s="73">
        <f t="shared" si="7"/>
        <v>0</v>
      </c>
      <c r="Y41" s="75">
        <f t="shared" si="8"/>
        <v>0</v>
      </c>
      <c r="Z41" s="73">
        <f t="shared" si="9"/>
        <v>0</v>
      </c>
      <c r="AA41" s="73">
        <f t="shared" si="10"/>
        <v>0</v>
      </c>
    </row>
    <row r="42" ht="15.75" customHeight="1">
      <c r="A42" s="78"/>
      <c r="B42" s="61"/>
      <c r="C42" s="79"/>
      <c r="D42" s="65"/>
      <c r="E42" s="80"/>
      <c r="F42" s="64" t="str">
        <f t="array" ref="F42">IFERROR(INDEX(PROCEDIMENTOS!$A$2:$A$48,MATCH('PRECIFICAÇÃO '!$E42,PROCEDIMENTOS!$B$2:$B$48,0)),"")</f>
        <v/>
      </c>
      <c r="G42" s="65" t="str">
        <f t="array" ref="G42">IFERROR(INDEX(PROCEDIMENTOS!$C$2:$C$48,MATCH('PRECIFICAÇÃO '!$E42,PROCEDIMENTOS!$B$2:$B$48,0)),"")</f>
        <v/>
      </c>
      <c r="H42" s="67"/>
      <c r="I42" s="67"/>
      <c r="J42" s="80"/>
      <c r="K42" s="68"/>
      <c r="L42" s="69" t="str">
        <f>IFERROR(VLOOKUP('PRECIFICAÇÃO '!$J42,TAXA!$A$2:$C$18,2,FALSE),"")</f>
        <v/>
      </c>
      <c r="M42" s="70">
        <f t="shared" si="1"/>
        <v>0</v>
      </c>
      <c r="N42" s="69" t="str">
        <f>IFERROR(VLOOKUP('PRECIFICAÇÃO '!$J42,TAXA!$A$2:$C$18,3,FALSE),"")</f>
        <v/>
      </c>
      <c r="O42" s="70">
        <f t="shared" si="2"/>
        <v>0</v>
      </c>
      <c r="P42" s="70">
        <f>IFERROR('PRECIFICAÇÃO '!$H42-'PRECIFICAÇÃO '!$M42-'PRECIFICAÇÃO '!$O42,0)</f>
        <v>0</v>
      </c>
      <c r="Q42" s="71" t="str">
        <f t="array" ref="Q42">IFERROR(INDEX(PROCEDIMENTOS!$D$2:$D$48,MATCH('PRECIFICAÇÃO '!$E42,PROCEDIMENTOS!$B$2:$B$48,0)),"")</f>
        <v/>
      </c>
      <c r="R42" s="70">
        <f t="shared" si="3"/>
        <v>0</v>
      </c>
      <c r="S42" s="72">
        <f t="shared" si="12"/>
        <v>0</v>
      </c>
      <c r="T42" s="72"/>
      <c r="U42" s="72">
        <f t="shared" si="13"/>
        <v>0</v>
      </c>
      <c r="V42" s="73">
        <f>'PRECIFICAÇÃO '!$Q42+'PRECIFICAÇÃO '!$R42+'PRECIFICAÇÃO '!$S42+'PRECIFICAÇÃO '!$T42+'PRECIFICAÇÃO '!$U42</f>
        <v>0</v>
      </c>
      <c r="W42" s="74">
        <f t="shared" si="6"/>
        <v>0</v>
      </c>
      <c r="X42" s="73">
        <f t="shared" si="7"/>
        <v>0</v>
      </c>
      <c r="Y42" s="75">
        <f t="shared" si="8"/>
        <v>0</v>
      </c>
      <c r="Z42" s="73">
        <f t="shared" si="9"/>
        <v>0</v>
      </c>
      <c r="AA42" s="73">
        <f t="shared" si="10"/>
        <v>0</v>
      </c>
    </row>
    <row r="43" ht="15.75" customHeight="1">
      <c r="A43" s="78"/>
      <c r="B43" s="61"/>
      <c r="C43" s="79"/>
      <c r="D43" s="65"/>
      <c r="E43" s="80"/>
      <c r="F43" s="64" t="str">
        <f t="array" ref="F43">IFERROR(INDEX(PROCEDIMENTOS!$A$2:$A$48,MATCH('PRECIFICAÇÃO '!$E43,PROCEDIMENTOS!$B$2:$B$48,0)),"")</f>
        <v/>
      </c>
      <c r="G43" s="65" t="str">
        <f t="array" ref="G43">IFERROR(INDEX(PROCEDIMENTOS!$C$2:$C$48,MATCH('PRECIFICAÇÃO '!$E43,PROCEDIMENTOS!$B$2:$B$48,0)),"")</f>
        <v/>
      </c>
      <c r="H43" s="67"/>
      <c r="I43" s="67"/>
      <c r="J43" s="80"/>
      <c r="K43" s="68"/>
      <c r="L43" s="69" t="str">
        <f>IFERROR(VLOOKUP('PRECIFICAÇÃO '!$J43,TAXA!$A$2:$C$18,2,FALSE),"")</f>
        <v/>
      </c>
      <c r="M43" s="70">
        <f t="shared" si="1"/>
        <v>0</v>
      </c>
      <c r="N43" s="69" t="str">
        <f>IFERROR(VLOOKUP('PRECIFICAÇÃO '!$J43,TAXA!$A$2:$C$18,3,FALSE),"")</f>
        <v/>
      </c>
      <c r="O43" s="70">
        <f t="shared" si="2"/>
        <v>0</v>
      </c>
      <c r="P43" s="70">
        <f>IFERROR('PRECIFICAÇÃO '!$H43-'PRECIFICAÇÃO '!$M43-'PRECIFICAÇÃO '!$O43,0)</f>
        <v>0</v>
      </c>
      <c r="Q43" s="71"/>
      <c r="R43" s="70">
        <f t="shared" si="3"/>
        <v>0</v>
      </c>
      <c r="S43" s="72">
        <f t="shared" si="12"/>
        <v>0</v>
      </c>
      <c r="T43" s="72"/>
      <c r="U43" s="72">
        <f t="shared" si="13"/>
        <v>0</v>
      </c>
      <c r="V43" s="73">
        <f>'PRECIFICAÇÃO '!$Q43+'PRECIFICAÇÃO '!$R43+'PRECIFICAÇÃO '!$S43+'PRECIFICAÇÃO '!$T43+'PRECIFICAÇÃO '!$U43</f>
        <v>0</v>
      </c>
      <c r="W43" s="74">
        <f t="shared" si="6"/>
        <v>0</v>
      </c>
      <c r="X43" s="73">
        <f t="shared" si="7"/>
        <v>0</v>
      </c>
      <c r="Y43" s="75">
        <f t="shared" si="8"/>
        <v>0</v>
      </c>
      <c r="Z43" s="73">
        <f t="shared" si="9"/>
        <v>0</v>
      </c>
      <c r="AA43" s="73">
        <f t="shared" si="10"/>
        <v>0</v>
      </c>
    </row>
    <row r="44" ht="15.75" customHeight="1">
      <c r="A44" s="78"/>
      <c r="B44" s="61"/>
      <c r="C44" s="79"/>
      <c r="D44" s="65"/>
      <c r="E44" s="80"/>
      <c r="F44" s="64" t="str">
        <f t="array" ref="F44">IFERROR(INDEX(PROCEDIMENTOS!$A$2:$A$48,MATCH('PRECIFICAÇÃO '!$E44,PROCEDIMENTOS!$B$2:$B$48,0)),"")</f>
        <v/>
      </c>
      <c r="G44" s="65" t="str">
        <f t="array" ref="G44">IFERROR(INDEX(PROCEDIMENTOS!$C$2:$C$48,MATCH('PRECIFICAÇÃO '!$E44,PROCEDIMENTOS!$B$2:$B$48,0)),"")</f>
        <v/>
      </c>
      <c r="H44" s="67"/>
      <c r="I44" s="67"/>
      <c r="J44" s="80"/>
      <c r="K44" s="68"/>
      <c r="L44" s="69" t="str">
        <f>IFERROR(VLOOKUP('PRECIFICAÇÃO '!$J44,TAXA!$A$2:$C$18,2,FALSE),"")</f>
        <v/>
      </c>
      <c r="M44" s="70">
        <f t="shared" si="1"/>
        <v>0</v>
      </c>
      <c r="N44" s="69" t="str">
        <f>IFERROR(VLOOKUP('PRECIFICAÇÃO '!$J44,TAXA!$A$2:$C$18,3,FALSE),"")</f>
        <v/>
      </c>
      <c r="O44" s="70">
        <f t="shared" si="2"/>
        <v>0</v>
      </c>
      <c r="P44" s="70">
        <f>IFERROR('PRECIFICAÇÃO '!$H44-'PRECIFICAÇÃO '!$M44-'PRECIFICAÇÃO '!$O44,0)</f>
        <v>0</v>
      </c>
      <c r="Q44" s="71" t="str">
        <f t="array" ref="Q44">IFERROR(INDEX(PROCEDIMENTOS!$D$2:$D$48,MATCH('PRECIFICAÇÃO '!$E44,PROCEDIMENTOS!$B$2:$B$48,0)),"")</f>
        <v/>
      </c>
      <c r="R44" s="70">
        <f t="shared" si="3"/>
        <v>0</v>
      </c>
      <c r="S44" s="72">
        <f t="shared" si="12"/>
        <v>0</v>
      </c>
      <c r="T44" s="72"/>
      <c r="U44" s="72">
        <f t="shared" si="13"/>
        <v>0</v>
      </c>
      <c r="V44" s="73">
        <f>'PRECIFICAÇÃO '!$Q44+'PRECIFICAÇÃO '!$R44+'PRECIFICAÇÃO '!$S44+'PRECIFICAÇÃO '!$T44+'PRECIFICAÇÃO '!$U44</f>
        <v>0</v>
      </c>
      <c r="W44" s="74">
        <f t="shared" si="6"/>
        <v>0</v>
      </c>
      <c r="X44" s="73">
        <f t="shared" si="7"/>
        <v>0</v>
      </c>
      <c r="Y44" s="75">
        <f t="shared" si="8"/>
        <v>0</v>
      </c>
      <c r="Z44" s="73">
        <f t="shared" si="9"/>
        <v>0</v>
      </c>
      <c r="AA44" s="73">
        <f t="shared" si="10"/>
        <v>0</v>
      </c>
    </row>
    <row r="45" ht="15.75" customHeight="1">
      <c r="A45" s="78"/>
      <c r="B45" s="61"/>
      <c r="C45" s="79"/>
      <c r="D45" s="65"/>
      <c r="E45" s="80"/>
      <c r="F45" s="64" t="str">
        <f t="array" ref="F45">IFERROR(INDEX(PROCEDIMENTOS!$A$2:$A$48,MATCH('PRECIFICAÇÃO '!$E45,PROCEDIMENTOS!$B$2:$B$48,0)),"")</f>
        <v/>
      </c>
      <c r="G45" s="65" t="str">
        <f t="array" ref="G45">IFERROR(INDEX(PROCEDIMENTOS!$C$2:$C$48,MATCH('PRECIFICAÇÃO '!$E45,PROCEDIMENTOS!$B$2:$B$48,0)),"")</f>
        <v/>
      </c>
      <c r="H45" s="67"/>
      <c r="I45" s="67"/>
      <c r="J45" s="80"/>
      <c r="K45" s="68"/>
      <c r="L45" s="69" t="str">
        <f>IFERROR(VLOOKUP('PRECIFICAÇÃO '!$J45,TAXA!$A$2:$C$18,2,FALSE),"")</f>
        <v/>
      </c>
      <c r="M45" s="70">
        <f t="shared" si="1"/>
        <v>0</v>
      </c>
      <c r="N45" s="69" t="str">
        <f>IFERROR(VLOOKUP('PRECIFICAÇÃO '!$J45,TAXA!$A$2:$C$18,3,FALSE),"")</f>
        <v/>
      </c>
      <c r="O45" s="70">
        <f t="shared" si="2"/>
        <v>0</v>
      </c>
      <c r="P45" s="70">
        <f>IFERROR('PRECIFICAÇÃO '!$H45-'PRECIFICAÇÃO '!$M45-'PRECIFICAÇÃO '!$O45,0)</f>
        <v>0</v>
      </c>
      <c r="Q45" s="71" t="str">
        <f t="array" ref="Q45">IFERROR(INDEX(PROCEDIMENTOS!$D$2:$D$48,MATCH('PRECIFICAÇÃO '!$E45,PROCEDIMENTOS!$B$2:$B$48,0)),"")</f>
        <v/>
      </c>
      <c r="R45" s="70">
        <f t="shared" si="3"/>
        <v>0</v>
      </c>
      <c r="S45" s="72">
        <f t="shared" si="12"/>
        <v>0</v>
      </c>
      <c r="T45" s="72"/>
      <c r="U45" s="72">
        <f t="shared" si="13"/>
        <v>0</v>
      </c>
      <c r="V45" s="73">
        <f>'PRECIFICAÇÃO '!$Q45+'PRECIFICAÇÃO '!$R45+'PRECIFICAÇÃO '!$S45+'PRECIFICAÇÃO '!$T45+'PRECIFICAÇÃO '!$U45</f>
        <v>0</v>
      </c>
      <c r="W45" s="74">
        <f t="shared" si="6"/>
        <v>0</v>
      </c>
      <c r="X45" s="73">
        <f t="shared" si="7"/>
        <v>0</v>
      </c>
      <c r="Y45" s="75">
        <f t="shared" si="8"/>
        <v>0</v>
      </c>
      <c r="Z45" s="73">
        <f t="shared" si="9"/>
        <v>0</v>
      </c>
      <c r="AA45" s="73">
        <f t="shared" si="10"/>
        <v>0</v>
      </c>
    </row>
    <row r="46" ht="15.75" customHeight="1">
      <c r="A46" s="78"/>
      <c r="B46" s="61"/>
      <c r="C46" s="79"/>
      <c r="D46" s="65"/>
      <c r="E46" s="80"/>
      <c r="F46" s="64" t="str">
        <f t="array" ref="F46">IFERROR(INDEX(PROCEDIMENTOS!$A$2:$A$48,MATCH('PRECIFICAÇÃO '!$E46,PROCEDIMENTOS!$B$2:$B$48,0)),"")</f>
        <v/>
      </c>
      <c r="G46" s="65" t="str">
        <f t="array" ref="G46">IFERROR(INDEX(PROCEDIMENTOS!$C$2:$C$48,MATCH('PRECIFICAÇÃO '!$E46,PROCEDIMENTOS!$B$2:$B$48,0)),"")</f>
        <v/>
      </c>
      <c r="H46" s="67"/>
      <c r="I46" s="67"/>
      <c r="J46" s="80"/>
      <c r="K46" s="68"/>
      <c r="L46" s="69" t="str">
        <f>IFERROR(VLOOKUP('PRECIFICAÇÃO '!$J46,TAXA!$A$2:$C$18,2,FALSE),"")</f>
        <v/>
      </c>
      <c r="M46" s="70">
        <f t="shared" si="1"/>
        <v>0</v>
      </c>
      <c r="N46" s="69" t="str">
        <f>IFERROR(VLOOKUP('PRECIFICAÇÃO '!$J46,TAXA!$A$2:$C$18,3,FALSE),"")</f>
        <v/>
      </c>
      <c r="O46" s="70">
        <f t="shared" si="2"/>
        <v>0</v>
      </c>
      <c r="P46" s="70">
        <f>IFERROR('PRECIFICAÇÃO '!$H46-'PRECIFICAÇÃO '!$M46-'PRECIFICAÇÃO '!$O46,0)</f>
        <v>0</v>
      </c>
      <c r="Q46" s="71" t="str">
        <f t="array" ref="Q46">IFERROR(INDEX(PROCEDIMENTOS!$D$2:$D$48,MATCH('PRECIFICAÇÃO '!$E46,PROCEDIMENTOS!$B$2:$B$48,0)),"")</f>
        <v/>
      </c>
      <c r="R46" s="70">
        <f t="shared" si="3"/>
        <v>0</v>
      </c>
      <c r="S46" s="72">
        <f t="shared" si="12"/>
        <v>0</v>
      </c>
      <c r="T46" s="72"/>
      <c r="U46" s="72">
        <f t="shared" si="13"/>
        <v>0</v>
      </c>
      <c r="V46" s="73">
        <f>'PRECIFICAÇÃO '!$Q46+'PRECIFICAÇÃO '!$R46+'PRECIFICAÇÃO '!$S46+'PRECIFICAÇÃO '!$T46+'PRECIFICAÇÃO '!$U46</f>
        <v>0</v>
      </c>
      <c r="W46" s="74">
        <f t="shared" si="6"/>
        <v>0</v>
      </c>
      <c r="X46" s="73">
        <f t="shared" si="7"/>
        <v>0</v>
      </c>
      <c r="Y46" s="75">
        <f t="shared" si="8"/>
        <v>0</v>
      </c>
      <c r="Z46" s="73">
        <f t="shared" si="9"/>
        <v>0</v>
      </c>
      <c r="AA46" s="73">
        <f t="shared" si="10"/>
        <v>0</v>
      </c>
    </row>
    <row r="47" ht="15.75" customHeight="1">
      <c r="A47" s="78"/>
      <c r="B47" s="61"/>
      <c r="C47" s="79"/>
      <c r="D47" s="65"/>
      <c r="E47" s="80"/>
      <c r="F47" s="64" t="str">
        <f t="array" ref="F47">IFERROR(INDEX(PROCEDIMENTOS!$A$2:$A$48,MATCH('PRECIFICAÇÃO '!$E47,PROCEDIMENTOS!$B$2:$B$48,0)),"")</f>
        <v/>
      </c>
      <c r="G47" s="65" t="str">
        <f t="array" ref="G47">IFERROR(INDEX(PROCEDIMENTOS!$C$2:$C$48,MATCH('PRECIFICAÇÃO '!$E47,PROCEDIMENTOS!$B$2:$B$48,0)),"")</f>
        <v/>
      </c>
      <c r="H47" s="67"/>
      <c r="I47" s="67"/>
      <c r="J47" s="80"/>
      <c r="K47" s="68"/>
      <c r="L47" s="69" t="str">
        <f>IFERROR(VLOOKUP('PRECIFICAÇÃO '!$J47,TAXA!$A$2:$C$18,2,FALSE),"")</f>
        <v/>
      </c>
      <c r="M47" s="70">
        <f t="shared" si="1"/>
        <v>0</v>
      </c>
      <c r="N47" s="69" t="str">
        <f>IFERROR(VLOOKUP('PRECIFICAÇÃO '!$J47,TAXA!$A$2:$C$18,3,FALSE),"")</f>
        <v/>
      </c>
      <c r="O47" s="70">
        <f t="shared" si="2"/>
        <v>0</v>
      </c>
      <c r="P47" s="70">
        <f>IFERROR('PRECIFICAÇÃO '!$H47-'PRECIFICAÇÃO '!$M47-'PRECIFICAÇÃO '!$O47,0)</f>
        <v>0</v>
      </c>
      <c r="Q47" s="71" t="str">
        <f t="array" ref="Q47">IFERROR(INDEX(PROCEDIMENTOS!$D$2:$D$48,MATCH('PRECIFICAÇÃO '!$E47,PROCEDIMENTOS!$B$2:$B$48,0)),"")</f>
        <v/>
      </c>
      <c r="R47" s="70">
        <f t="shared" si="3"/>
        <v>0</v>
      </c>
      <c r="S47" s="72">
        <f t="shared" si="12"/>
        <v>0</v>
      </c>
      <c r="T47" s="72"/>
      <c r="U47" s="72">
        <f t="shared" si="13"/>
        <v>0</v>
      </c>
      <c r="V47" s="73">
        <f>'PRECIFICAÇÃO '!$Q47+'PRECIFICAÇÃO '!$R47+'PRECIFICAÇÃO '!$S47+'PRECIFICAÇÃO '!$T47+'PRECIFICAÇÃO '!$U47</f>
        <v>0</v>
      </c>
      <c r="W47" s="74">
        <f t="shared" si="6"/>
        <v>0</v>
      </c>
      <c r="X47" s="73">
        <f t="shared" si="7"/>
        <v>0</v>
      </c>
      <c r="Y47" s="75">
        <f t="shared" si="8"/>
        <v>0</v>
      </c>
      <c r="Z47" s="73">
        <f t="shared" si="9"/>
        <v>0</v>
      </c>
      <c r="AA47" s="73">
        <f t="shared" si="10"/>
        <v>0</v>
      </c>
    </row>
    <row r="48" ht="15.75" customHeight="1">
      <c r="A48" s="78"/>
      <c r="B48" s="61"/>
      <c r="C48" s="79"/>
      <c r="D48" s="65"/>
      <c r="E48" s="80"/>
      <c r="F48" s="64" t="str">
        <f t="array" ref="F48">IFERROR(INDEX(PROCEDIMENTOS!$A$2:$A$48,MATCH('PRECIFICAÇÃO '!$E48,PROCEDIMENTOS!$B$2:$B$48,0)),"")</f>
        <v/>
      </c>
      <c r="G48" s="65" t="str">
        <f t="array" ref="G48">IFERROR(INDEX(PROCEDIMENTOS!$C$2:$C$48,MATCH('PRECIFICAÇÃO '!$E48,PROCEDIMENTOS!$B$2:$B$48,0)),"")</f>
        <v/>
      </c>
      <c r="H48" s="67"/>
      <c r="I48" s="67"/>
      <c r="J48" s="80"/>
      <c r="K48" s="68"/>
      <c r="L48" s="69" t="str">
        <f>IFERROR(VLOOKUP('PRECIFICAÇÃO '!$J48,TAXA!$A$2:$C$18,2,FALSE),"")</f>
        <v/>
      </c>
      <c r="M48" s="70">
        <f t="shared" si="1"/>
        <v>0</v>
      </c>
      <c r="N48" s="69" t="str">
        <f>IFERROR(VLOOKUP('PRECIFICAÇÃO '!$J48,TAXA!$A$2:$C$18,3,FALSE),"")</f>
        <v/>
      </c>
      <c r="O48" s="70">
        <f t="shared" si="2"/>
        <v>0</v>
      </c>
      <c r="P48" s="70">
        <f>IFERROR('PRECIFICAÇÃO '!$H48-'PRECIFICAÇÃO '!$M48-'PRECIFICAÇÃO '!$O48,0)</f>
        <v>0</v>
      </c>
      <c r="Q48" s="71" t="str">
        <f t="array" ref="Q48">IFERROR(INDEX(PROCEDIMENTOS!$D$2:$D$48,MATCH('PRECIFICAÇÃO '!$E48,PROCEDIMENTOS!$B$2:$B$48,0)),"")</f>
        <v/>
      </c>
      <c r="R48" s="70">
        <f t="shared" si="3"/>
        <v>0</v>
      </c>
      <c r="S48" s="72">
        <f t="shared" si="12"/>
        <v>0</v>
      </c>
      <c r="T48" s="72"/>
      <c r="U48" s="72">
        <f t="shared" si="13"/>
        <v>0</v>
      </c>
      <c r="V48" s="73">
        <f>'PRECIFICAÇÃO '!$Q48+'PRECIFICAÇÃO '!$R48+'PRECIFICAÇÃO '!$S48+'PRECIFICAÇÃO '!$T48+'PRECIFICAÇÃO '!$U48</f>
        <v>0</v>
      </c>
      <c r="W48" s="74">
        <f t="shared" si="6"/>
        <v>0</v>
      </c>
      <c r="X48" s="73">
        <f t="shared" si="7"/>
        <v>0</v>
      </c>
      <c r="Y48" s="75">
        <f t="shared" si="8"/>
        <v>0</v>
      </c>
      <c r="Z48" s="73">
        <f t="shared" si="9"/>
        <v>0</v>
      </c>
      <c r="AA48" s="73">
        <f t="shared" si="10"/>
        <v>0</v>
      </c>
    </row>
    <row r="49" ht="15.75" customHeight="1">
      <c r="A49" s="78"/>
      <c r="B49" s="61"/>
      <c r="C49" s="79"/>
      <c r="D49" s="65"/>
      <c r="E49" s="80"/>
      <c r="F49" s="64" t="str">
        <f t="array" ref="F49">IFERROR(INDEX(PROCEDIMENTOS!$A$2:$A$48,MATCH('PRECIFICAÇÃO '!$E49,PROCEDIMENTOS!$B$2:$B$48,0)),"")</f>
        <v/>
      </c>
      <c r="G49" s="65" t="str">
        <f t="array" ref="G49">IFERROR(INDEX(PROCEDIMENTOS!$C$2:$C$48,MATCH('PRECIFICAÇÃO '!$E49,PROCEDIMENTOS!$B$2:$B$48,0)),"")</f>
        <v/>
      </c>
      <c r="H49" s="67"/>
      <c r="I49" s="67"/>
      <c r="J49" s="80"/>
      <c r="K49" s="68"/>
      <c r="L49" s="69" t="str">
        <f>IFERROR(VLOOKUP('PRECIFICAÇÃO '!$J49,TAXA!$A$2:$C$18,2,FALSE),"")</f>
        <v/>
      </c>
      <c r="M49" s="70">
        <f t="shared" si="1"/>
        <v>0</v>
      </c>
      <c r="N49" s="69" t="str">
        <f>IFERROR(VLOOKUP('PRECIFICAÇÃO '!$J49,TAXA!$A$2:$C$18,3,FALSE),"")</f>
        <v/>
      </c>
      <c r="O49" s="70">
        <f t="shared" si="2"/>
        <v>0</v>
      </c>
      <c r="P49" s="70">
        <f>IFERROR('PRECIFICAÇÃO '!$H49-'PRECIFICAÇÃO '!$M49-'PRECIFICAÇÃO '!$O49,0)</f>
        <v>0</v>
      </c>
      <c r="Q49" s="71" t="str">
        <f t="array" ref="Q49">IFERROR(INDEX(PROCEDIMENTOS!$D$2:$D$48,MATCH('PRECIFICAÇÃO '!$E49,PROCEDIMENTOS!$B$2:$B$48,0)),"")</f>
        <v/>
      </c>
      <c r="R49" s="70">
        <f t="shared" si="3"/>
        <v>0</v>
      </c>
      <c r="S49" s="72">
        <f t="shared" si="12"/>
        <v>0</v>
      </c>
      <c r="T49" s="72"/>
      <c r="U49" s="72">
        <f t="shared" si="13"/>
        <v>0</v>
      </c>
      <c r="V49" s="73">
        <f>'PRECIFICAÇÃO '!$Q49+'PRECIFICAÇÃO '!$R49+'PRECIFICAÇÃO '!$S49+'PRECIFICAÇÃO '!$T49+'PRECIFICAÇÃO '!$U49</f>
        <v>0</v>
      </c>
      <c r="W49" s="74">
        <f t="shared" si="6"/>
        <v>0</v>
      </c>
      <c r="X49" s="73">
        <f t="shared" si="7"/>
        <v>0</v>
      </c>
      <c r="Y49" s="75">
        <f t="shared" si="8"/>
        <v>0</v>
      </c>
      <c r="Z49" s="73">
        <f t="shared" si="9"/>
        <v>0</v>
      </c>
      <c r="AA49" s="73">
        <f t="shared" si="10"/>
        <v>0</v>
      </c>
    </row>
    <row r="50" ht="15.75" customHeight="1">
      <c r="A50" s="78"/>
      <c r="B50" s="61"/>
      <c r="C50" s="79"/>
      <c r="D50" s="65"/>
      <c r="E50" s="80"/>
      <c r="F50" s="64" t="str">
        <f t="array" ref="F50">IFERROR(INDEX(PROCEDIMENTOS!$A$2:$A$48,MATCH('PRECIFICAÇÃO '!$E50,PROCEDIMENTOS!$B$2:$B$48,0)),"")</f>
        <v/>
      </c>
      <c r="G50" s="65" t="str">
        <f t="array" ref="G50">IFERROR(INDEX(PROCEDIMENTOS!$C$2:$C$48,MATCH('PRECIFICAÇÃO '!$E50,PROCEDIMENTOS!$B$2:$B$48,0)),"")</f>
        <v/>
      </c>
      <c r="H50" s="67"/>
      <c r="I50" s="67"/>
      <c r="J50" s="80"/>
      <c r="K50" s="68"/>
      <c r="L50" s="69" t="str">
        <f>IFERROR(VLOOKUP('PRECIFICAÇÃO '!$J50,TAXA!$A$2:$C$18,2,FALSE),"")</f>
        <v/>
      </c>
      <c r="M50" s="70">
        <f t="shared" si="1"/>
        <v>0</v>
      </c>
      <c r="N50" s="69" t="str">
        <f>IFERROR(VLOOKUP('PRECIFICAÇÃO '!$J50,TAXA!$A$2:$C$18,3,FALSE),"")</f>
        <v/>
      </c>
      <c r="O50" s="70">
        <f t="shared" si="2"/>
        <v>0</v>
      </c>
      <c r="P50" s="70">
        <f>IFERROR('PRECIFICAÇÃO '!$H50-'PRECIFICAÇÃO '!$M50-'PRECIFICAÇÃO '!$O50,0)</f>
        <v>0</v>
      </c>
      <c r="Q50" s="71" t="str">
        <f t="array" ref="Q50">IFERROR(INDEX(PROCEDIMENTOS!$D$2:$D$48,MATCH('PRECIFICAÇÃO '!$E50,PROCEDIMENTOS!$B$2:$B$48,0)),"")</f>
        <v/>
      </c>
      <c r="R50" s="70">
        <f t="shared" si="3"/>
        <v>0</v>
      </c>
      <c r="S50" s="72">
        <f t="shared" si="12"/>
        <v>0</v>
      </c>
      <c r="T50" s="72"/>
      <c r="U50" s="72">
        <f t="shared" si="13"/>
        <v>0</v>
      </c>
      <c r="V50" s="73">
        <f>'PRECIFICAÇÃO '!$Q50+'PRECIFICAÇÃO '!$R50+'PRECIFICAÇÃO '!$S50+'PRECIFICAÇÃO '!$T50+'PRECIFICAÇÃO '!$U50</f>
        <v>0</v>
      </c>
      <c r="W50" s="74">
        <f t="shared" si="6"/>
        <v>0</v>
      </c>
      <c r="X50" s="73">
        <f t="shared" si="7"/>
        <v>0</v>
      </c>
      <c r="Y50" s="75">
        <f t="shared" si="8"/>
        <v>0</v>
      </c>
      <c r="Z50" s="73">
        <f t="shared" si="9"/>
        <v>0</v>
      </c>
      <c r="AA50" s="73">
        <f t="shared" si="10"/>
        <v>0</v>
      </c>
    </row>
    <row r="51" ht="15.75" customHeight="1">
      <c r="A51" s="78"/>
      <c r="B51" s="61"/>
      <c r="C51" s="79"/>
      <c r="D51" s="65"/>
      <c r="E51" s="80"/>
      <c r="F51" s="64" t="str">
        <f t="array" ref="F51">IFERROR(INDEX(PROCEDIMENTOS!$A$2:$A$48,MATCH('PRECIFICAÇÃO '!$E51,PROCEDIMENTOS!$B$2:$B$48,0)),"")</f>
        <v/>
      </c>
      <c r="G51" s="65" t="str">
        <f t="array" ref="G51">IFERROR(INDEX(PROCEDIMENTOS!$C$2:$C$48,MATCH('PRECIFICAÇÃO '!$E51,PROCEDIMENTOS!$B$2:$B$48,0)),"")</f>
        <v/>
      </c>
      <c r="H51" s="67"/>
      <c r="I51" s="67"/>
      <c r="J51" s="80"/>
      <c r="K51" s="68"/>
      <c r="L51" s="69" t="str">
        <f>IFERROR(VLOOKUP('PRECIFICAÇÃO '!$J51,TAXA!$A$2:$C$18,2,FALSE),"")</f>
        <v/>
      </c>
      <c r="M51" s="70">
        <f t="shared" si="1"/>
        <v>0</v>
      </c>
      <c r="N51" s="69" t="str">
        <f>IFERROR(VLOOKUP('PRECIFICAÇÃO '!$J51,TAXA!$A$2:$C$18,3,FALSE),"")</f>
        <v/>
      </c>
      <c r="O51" s="70">
        <f t="shared" si="2"/>
        <v>0</v>
      </c>
      <c r="P51" s="70">
        <f>IFERROR('PRECIFICAÇÃO '!$H51-'PRECIFICAÇÃO '!$M51-'PRECIFICAÇÃO '!$O51,0)</f>
        <v>0</v>
      </c>
      <c r="Q51" s="71" t="str">
        <f t="array" ref="Q51">IFERROR(INDEX(PROCEDIMENTOS!$D$2:$D$48,MATCH('PRECIFICAÇÃO '!$E51,PROCEDIMENTOS!$B$2:$B$48,0)),"")</f>
        <v/>
      </c>
      <c r="R51" s="70">
        <f t="shared" si="3"/>
        <v>0</v>
      </c>
      <c r="S51" s="72">
        <f t="shared" si="12"/>
        <v>0</v>
      </c>
      <c r="T51" s="72"/>
      <c r="U51" s="72">
        <f t="shared" si="13"/>
        <v>0</v>
      </c>
      <c r="V51" s="73">
        <f>'PRECIFICAÇÃO '!$Q51+'PRECIFICAÇÃO '!$R51+'PRECIFICAÇÃO '!$S51+'PRECIFICAÇÃO '!$T51+'PRECIFICAÇÃO '!$U51</f>
        <v>0</v>
      </c>
      <c r="W51" s="74">
        <f t="shared" si="6"/>
        <v>0</v>
      </c>
      <c r="X51" s="73">
        <f t="shared" si="7"/>
        <v>0</v>
      </c>
      <c r="Y51" s="75">
        <f t="shared" si="8"/>
        <v>0</v>
      </c>
      <c r="Z51" s="73">
        <f t="shared" si="9"/>
        <v>0</v>
      </c>
      <c r="AA51" s="73">
        <f t="shared" si="10"/>
        <v>0</v>
      </c>
    </row>
    <row r="52" ht="16.5" customHeight="1">
      <c r="A52" s="78"/>
      <c r="B52" s="61"/>
      <c r="C52" s="79"/>
      <c r="D52" s="81"/>
      <c r="E52" s="80"/>
      <c r="F52" s="64" t="str">
        <f t="array" ref="F52">IFERROR(INDEX(PROCEDIMENTOS!$A$2:$A$48,MATCH('PRECIFICAÇÃO '!$E52,PROCEDIMENTOS!$B$2:$B$48,0)),"")</f>
        <v/>
      </c>
      <c r="G52" s="65" t="str">
        <f t="array" ref="G52">IFERROR(INDEX(PROCEDIMENTOS!$C$2:$C$48,MATCH('PRECIFICAÇÃO '!$E52,PROCEDIMENTOS!$B$2:$B$48,0)),"")</f>
        <v/>
      </c>
      <c r="H52" s="67"/>
      <c r="I52" s="67"/>
      <c r="J52" s="80"/>
      <c r="K52" s="68"/>
      <c r="L52" s="69" t="str">
        <f>IFERROR(VLOOKUP('PRECIFICAÇÃO '!$J52,TAXA!$A$2:$C$18,2,FALSE),"")</f>
        <v/>
      </c>
      <c r="M52" s="70">
        <f t="shared" si="1"/>
        <v>0</v>
      </c>
      <c r="N52" s="69" t="str">
        <f>IFERROR(VLOOKUP('PRECIFICAÇÃO '!$J52,TAXA!$A$2:$C$18,3,FALSE),"")</f>
        <v/>
      </c>
      <c r="O52" s="70">
        <f t="shared" si="2"/>
        <v>0</v>
      </c>
      <c r="P52" s="70">
        <f>IFERROR('PRECIFICAÇÃO '!$H52-'PRECIFICAÇÃO '!$M52-'PRECIFICAÇÃO '!$O52,0)</f>
        <v>0</v>
      </c>
      <c r="Q52" s="71"/>
      <c r="R52" s="70">
        <f t="shared" si="3"/>
        <v>0</v>
      </c>
      <c r="S52" s="72">
        <f t="shared" si="12"/>
        <v>0</v>
      </c>
      <c r="T52" s="72"/>
      <c r="U52" s="72">
        <f t="shared" si="13"/>
        <v>0</v>
      </c>
      <c r="V52" s="73">
        <f>'PRECIFICAÇÃO '!$Q52+'PRECIFICAÇÃO '!$R52+'PRECIFICAÇÃO '!$S52+'PRECIFICAÇÃO '!$T52+'PRECIFICAÇÃO '!$U52</f>
        <v>0</v>
      </c>
      <c r="W52" s="74">
        <f t="shared" si="6"/>
        <v>0</v>
      </c>
      <c r="X52" s="73">
        <f t="shared" si="7"/>
        <v>0</v>
      </c>
      <c r="Y52" s="75">
        <f t="shared" si="8"/>
        <v>0</v>
      </c>
      <c r="Z52" s="73">
        <f t="shared" si="9"/>
        <v>0</v>
      </c>
      <c r="AA52" s="73">
        <f t="shared" si="10"/>
        <v>0</v>
      </c>
    </row>
    <row r="53" ht="15.75" customHeight="1">
      <c r="A53" s="78"/>
      <c r="B53" s="61"/>
      <c r="C53" s="79"/>
      <c r="D53" s="65"/>
      <c r="E53" s="80"/>
      <c r="F53" s="64" t="str">
        <f t="array" ref="F53">IFERROR(INDEX(PROCEDIMENTOS!$A$2:$A$48,MATCH('PRECIFICAÇÃO '!$E53,PROCEDIMENTOS!$B$2:$B$48,0)),"")</f>
        <v/>
      </c>
      <c r="G53" s="65" t="str">
        <f t="array" ref="G53">IFERROR(INDEX(PROCEDIMENTOS!$C$2:$C$48,MATCH('PRECIFICAÇÃO '!$E53,PROCEDIMENTOS!$B$2:$B$48,0)),"")</f>
        <v/>
      </c>
      <c r="H53" s="67"/>
      <c r="I53" s="67"/>
      <c r="J53" s="80"/>
      <c r="K53" s="68"/>
      <c r="L53" s="69" t="str">
        <f>IFERROR(VLOOKUP('PRECIFICAÇÃO '!$J53,TAXA!$A$2:$C$18,2,FALSE),"")</f>
        <v/>
      </c>
      <c r="M53" s="70">
        <f t="shared" si="1"/>
        <v>0</v>
      </c>
      <c r="N53" s="69" t="str">
        <f>IFERROR(VLOOKUP('PRECIFICAÇÃO '!$J53,TAXA!$A$2:$C$18,3,FALSE),"")</f>
        <v/>
      </c>
      <c r="O53" s="70">
        <f t="shared" si="2"/>
        <v>0</v>
      </c>
      <c r="P53" s="70">
        <f>IFERROR('PRECIFICAÇÃO '!$H53-'PRECIFICAÇÃO '!$M53-'PRECIFICAÇÃO '!$O53,0)</f>
        <v>0</v>
      </c>
      <c r="Q53" s="71" t="str">
        <f t="array" ref="Q53">IFERROR(INDEX(PROCEDIMENTOS!$D$2:$D$48,MATCH('PRECIFICAÇÃO '!$E53,PROCEDIMENTOS!$B$2:$B$48,0)),"")</f>
        <v/>
      </c>
      <c r="R53" s="70">
        <f t="shared" si="3"/>
        <v>0</v>
      </c>
      <c r="S53" s="72">
        <f t="shared" si="12"/>
        <v>0</v>
      </c>
      <c r="T53" s="72"/>
      <c r="U53" s="72">
        <f t="shared" si="13"/>
        <v>0</v>
      </c>
      <c r="V53" s="73">
        <f>'PRECIFICAÇÃO '!$Q53+'PRECIFICAÇÃO '!$R53+'PRECIFICAÇÃO '!$S53+'PRECIFICAÇÃO '!$T53+'PRECIFICAÇÃO '!$U53</f>
        <v>0</v>
      </c>
      <c r="W53" s="74">
        <f t="shared" si="6"/>
        <v>0</v>
      </c>
      <c r="X53" s="73">
        <f t="shared" si="7"/>
        <v>0</v>
      </c>
      <c r="Y53" s="75">
        <f t="shared" si="8"/>
        <v>0</v>
      </c>
      <c r="Z53" s="73">
        <f t="shared" si="9"/>
        <v>0</v>
      </c>
      <c r="AA53" s="73">
        <f t="shared" si="10"/>
        <v>0</v>
      </c>
    </row>
    <row r="54" ht="15.75" customHeight="1">
      <c r="A54" s="78"/>
      <c r="B54" s="61"/>
      <c r="C54" s="79"/>
      <c r="D54" s="65"/>
      <c r="E54" s="80"/>
      <c r="F54" s="64" t="str">
        <f t="array" ref="F54">IFERROR(INDEX(PROCEDIMENTOS!$A$2:$A$48,MATCH('PRECIFICAÇÃO '!$E54,PROCEDIMENTOS!$B$2:$B$48,0)),"")</f>
        <v/>
      </c>
      <c r="G54" s="65" t="str">
        <f t="array" ref="G54">IFERROR(INDEX(PROCEDIMENTOS!$C$2:$C$48,MATCH('PRECIFICAÇÃO '!$E54,PROCEDIMENTOS!$B$2:$B$48,0)),"")</f>
        <v/>
      </c>
      <c r="H54" s="67"/>
      <c r="I54" s="67"/>
      <c r="J54" s="80"/>
      <c r="K54" s="68"/>
      <c r="L54" s="69" t="str">
        <f>IFERROR(VLOOKUP('PRECIFICAÇÃO '!$J54,TAXA!$A$2:$C$18,2,FALSE),"")</f>
        <v/>
      </c>
      <c r="M54" s="70">
        <f t="shared" si="1"/>
        <v>0</v>
      </c>
      <c r="N54" s="69" t="str">
        <f>IFERROR(VLOOKUP('PRECIFICAÇÃO '!$J54,TAXA!$A$2:$C$18,3,FALSE),"")</f>
        <v/>
      </c>
      <c r="O54" s="70">
        <f t="shared" si="2"/>
        <v>0</v>
      </c>
      <c r="P54" s="70">
        <f>IFERROR('PRECIFICAÇÃO '!$H54-'PRECIFICAÇÃO '!$M54-'PRECIFICAÇÃO '!$O54,0)</f>
        <v>0</v>
      </c>
      <c r="Q54" s="71" t="str">
        <f t="array" ref="Q54">IFERROR(INDEX(PROCEDIMENTOS!$D$2:$D$48,MATCH('PRECIFICAÇÃO '!$E54,PROCEDIMENTOS!$B$2:$B$48,0)),"")</f>
        <v/>
      </c>
      <c r="R54" s="70">
        <f t="shared" si="3"/>
        <v>0</v>
      </c>
      <c r="S54" s="72">
        <f t="shared" si="12"/>
        <v>0</v>
      </c>
      <c r="T54" s="72"/>
      <c r="U54" s="72">
        <f t="shared" si="13"/>
        <v>0</v>
      </c>
      <c r="V54" s="73">
        <f>'PRECIFICAÇÃO '!$Q54+'PRECIFICAÇÃO '!$R54+'PRECIFICAÇÃO '!$S54+'PRECIFICAÇÃO '!$T54+'PRECIFICAÇÃO '!$U54</f>
        <v>0</v>
      </c>
      <c r="W54" s="74">
        <f t="shared" si="6"/>
        <v>0</v>
      </c>
      <c r="X54" s="73">
        <f t="shared" si="7"/>
        <v>0</v>
      </c>
      <c r="Y54" s="75">
        <f t="shared" si="8"/>
        <v>0</v>
      </c>
      <c r="Z54" s="73">
        <f t="shared" si="9"/>
        <v>0</v>
      </c>
      <c r="AA54" s="73">
        <f t="shared" si="10"/>
        <v>0</v>
      </c>
    </row>
    <row r="55" ht="15.75" customHeight="1">
      <c r="A55" s="78"/>
      <c r="B55" s="61"/>
      <c r="C55" s="79"/>
      <c r="D55" s="65"/>
      <c r="E55" s="80"/>
      <c r="F55" s="64" t="str">
        <f t="array" ref="F55">IFERROR(INDEX(PROCEDIMENTOS!$A$2:$A$48,MATCH('PRECIFICAÇÃO '!$E55,PROCEDIMENTOS!$B$2:$B$48,0)),"")</f>
        <v/>
      </c>
      <c r="G55" s="65" t="str">
        <f t="array" ref="G55">IFERROR(INDEX(PROCEDIMENTOS!$C$2:$C$48,MATCH('PRECIFICAÇÃO '!$E55,PROCEDIMENTOS!$B$2:$B$48,0)),"")</f>
        <v/>
      </c>
      <c r="H55" s="67"/>
      <c r="I55" s="67"/>
      <c r="J55" s="80"/>
      <c r="K55" s="68"/>
      <c r="L55" s="69" t="str">
        <f>IFERROR(VLOOKUP('PRECIFICAÇÃO '!$J55,TAXA!$A$2:$C$18,2,FALSE),"")</f>
        <v/>
      </c>
      <c r="M55" s="70">
        <f t="shared" si="1"/>
        <v>0</v>
      </c>
      <c r="N55" s="69" t="str">
        <f>IFERROR(VLOOKUP('PRECIFICAÇÃO '!$J55,TAXA!$A$2:$C$18,3,FALSE),"")</f>
        <v/>
      </c>
      <c r="O55" s="70">
        <f t="shared" si="2"/>
        <v>0</v>
      </c>
      <c r="P55" s="70">
        <f>IFERROR('PRECIFICAÇÃO '!$H55-'PRECIFICAÇÃO '!$M55-'PRECIFICAÇÃO '!$O55,0)</f>
        <v>0</v>
      </c>
      <c r="Q55" s="71" t="str">
        <f t="array" ref="Q55">IFERROR(INDEX(PROCEDIMENTOS!$D$2:$D$48,MATCH('PRECIFICAÇÃO '!$E55,PROCEDIMENTOS!$B$2:$B$48,0)),"")</f>
        <v/>
      </c>
      <c r="R55" s="70">
        <f t="shared" si="3"/>
        <v>0</v>
      </c>
      <c r="S55" s="72">
        <f t="shared" si="12"/>
        <v>0</v>
      </c>
      <c r="T55" s="72"/>
      <c r="U55" s="72">
        <f t="shared" si="13"/>
        <v>0</v>
      </c>
      <c r="V55" s="73">
        <f>'PRECIFICAÇÃO '!$Q55+'PRECIFICAÇÃO '!$R55+'PRECIFICAÇÃO '!$S55+'PRECIFICAÇÃO '!$T55+'PRECIFICAÇÃO '!$U55</f>
        <v>0</v>
      </c>
      <c r="W55" s="74">
        <f t="shared" si="6"/>
        <v>0</v>
      </c>
      <c r="X55" s="73">
        <f t="shared" si="7"/>
        <v>0</v>
      </c>
      <c r="Y55" s="75">
        <f t="shared" si="8"/>
        <v>0</v>
      </c>
      <c r="Z55" s="73">
        <f t="shared" si="9"/>
        <v>0</v>
      </c>
      <c r="AA55" s="73">
        <f t="shared" si="10"/>
        <v>0</v>
      </c>
    </row>
    <row r="56" ht="15.75" customHeight="1">
      <c r="A56" s="78"/>
      <c r="B56" s="61"/>
      <c r="C56" s="79"/>
      <c r="D56" s="65"/>
      <c r="E56" s="80"/>
      <c r="F56" s="64" t="str">
        <f t="array" ref="F56">IFERROR(INDEX(PROCEDIMENTOS!$A$2:$A$48,MATCH('PRECIFICAÇÃO '!$E56,PROCEDIMENTOS!$B$2:$B$48,0)),"")</f>
        <v/>
      </c>
      <c r="G56" s="65" t="str">
        <f t="array" ref="G56">IFERROR(INDEX(PROCEDIMENTOS!$C$2:$C$48,MATCH('PRECIFICAÇÃO '!$E56,PROCEDIMENTOS!$B$2:$B$48,0)),"")</f>
        <v/>
      </c>
      <c r="H56" s="67"/>
      <c r="I56" s="67"/>
      <c r="J56" s="80"/>
      <c r="K56" s="68"/>
      <c r="L56" s="69" t="str">
        <f>IFERROR(VLOOKUP('PRECIFICAÇÃO '!$J56,TAXA!$A$2:$C$18,2,FALSE),"")</f>
        <v/>
      </c>
      <c r="M56" s="70">
        <f t="shared" si="1"/>
        <v>0</v>
      </c>
      <c r="N56" s="69" t="str">
        <f>IFERROR(VLOOKUP('PRECIFICAÇÃO '!$J56,TAXA!$A$2:$C$18,3,FALSE),"")</f>
        <v/>
      </c>
      <c r="O56" s="70">
        <f t="shared" si="2"/>
        <v>0</v>
      </c>
      <c r="P56" s="70">
        <f>IFERROR('PRECIFICAÇÃO '!$H56-'PRECIFICAÇÃO '!$M56-'PRECIFICAÇÃO '!$O56,0)</f>
        <v>0</v>
      </c>
      <c r="Q56" s="71"/>
      <c r="R56" s="70">
        <f t="shared" si="3"/>
        <v>0</v>
      </c>
      <c r="S56" s="72">
        <f t="shared" si="12"/>
        <v>0</v>
      </c>
      <c r="T56" s="72"/>
      <c r="U56" s="72">
        <f t="shared" si="13"/>
        <v>0</v>
      </c>
      <c r="V56" s="73">
        <f>'PRECIFICAÇÃO '!$Q56+'PRECIFICAÇÃO '!$R56+'PRECIFICAÇÃO '!$S56+'PRECIFICAÇÃO '!$T56+'PRECIFICAÇÃO '!$U56</f>
        <v>0</v>
      </c>
      <c r="W56" s="74">
        <f t="shared" si="6"/>
        <v>0</v>
      </c>
      <c r="X56" s="73">
        <f t="shared" si="7"/>
        <v>0</v>
      </c>
      <c r="Y56" s="75">
        <f t="shared" si="8"/>
        <v>0</v>
      </c>
      <c r="Z56" s="73">
        <f t="shared" si="9"/>
        <v>0</v>
      </c>
      <c r="AA56" s="73">
        <f t="shared" si="10"/>
        <v>0</v>
      </c>
    </row>
    <row r="57" ht="15.75" customHeight="1">
      <c r="A57" s="78"/>
      <c r="B57" s="61"/>
      <c r="C57" s="79"/>
      <c r="D57" s="65"/>
      <c r="E57" s="80"/>
      <c r="F57" s="64" t="str">
        <f t="array" ref="F57">IFERROR(INDEX(PROCEDIMENTOS!$A$2:$A$48,MATCH('PRECIFICAÇÃO '!$E57,PROCEDIMENTOS!$B$2:$B$48,0)),"")</f>
        <v/>
      </c>
      <c r="G57" s="65" t="str">
        <f t="array" ref="G57">IFERROR(INDEX(PROCEDIMENTOS!$C$2:$C$48,MATCH('PRECIFICAÇÃO '!$E57,PROCEDIMENTOS!$B$2:$B$48,0)),"")</f>
        <v/>
      </c>
      <c r="H57" s="67"/>
      <c r="I57" s="67"/>
      <c r="J57" s="80"/>
      <c r="K57" s="68"/>
      <c r="L57" s="69" t="str">
        <f>IFERROR(VLOOKUP('PRECIFICAÇÃO '!$J57,TAXA!$A$2:$C$18,2,FALSE),"")</f>
        <v/>
      </c>
      <c r="M57" s="70">
        <f t="shared" si="1"/>
        <v>0</v>
      </c>
      <c r="N57" s="69" t="str">
        <f>IFERROR(VLOOKUP('PRECIFICAÇÃO '!$J57,TAXA!$A$2:$C$18,3,FALSE),"")</f>
        <v/>
      </c>
      <c r="O57" s="70">
        <f t="shared" si="2"/>
        <v>0</v>
      </c>
      <c r="P57" s="70">
        <f>IFERROR('PRECIFICAÇÃO '!$H57-'PRECIFICAÇÃO '!$M57-'PRECIFICAÇÃO '!$O57,0)</f>
        <v>0</v>
      </c>
      <c r="Q57" s="71" t="str">
        <f t="array" ref="Q57">IFERROR(INDEX(PROCEDIMENTOS!$D$2:$D$48,MATCH('PRECIFICAÇÃO '!$E57,PROCEDIMENTOS!$B$2:$B$48,0)),"")</f>
        <v/>
      </c>
      <c r="R57" s="70">
        <f t="shared" si="3"/>
        <v>0</v>
      </c>
      <c r="S57" s="72">
        <f t="shared" si="12"/>
        <v>0</v>
      </c>
      <c r="T57" s="72"/>
      <c r="U57" s="72">
        <f t="shared" si="13"/>
        <v>0</v>
      </c>
      <c r="V57" s="73">
        <f>'PRECIFICAÇÃO '!$Q57+'PRECIFICAÇÃO '!$R57+'PRECIFICAÇÃO '!$S57+'PRECIFICAÇÃO '!$T57+'PRECIFICAÇÃO '!$U57</f>
        <v>0</v>
      </c>
      <c r="W57" s="74">
        <f t="shared" si="6"/>
        <v>0</v>
      </c>
      <c r="X57" s="73">
        <f t="shared" si="7"/>
        <v>0</v>
      </c>
      <c r="Y57" s="75">
        <f t="shared" si="8"/>
        <v>0</v>
      </c>
      <c r="Z57" s="73">
        <f t="shared" si="9"/>
        <v>0</v>
      </c>
      <c r="AA57" s="73">
        <f t="shared" si="10"/>
        <v>0</v>
      </c>
    </row>
    <row r="58" ht="15.75" customHeight="1">
      <c r="A58" s="78"/>
      <c r="B58" s="61"/>
      <c r="C58" s="79"/>
      <c r="D58" s="65"/>
      <c r="E58" s="80"/>
      <c r="F58" s="64" t="str">
        <f t="array" ref="F58">IFERROR(INDEX(PROCEDIMENTOS!$A$2:$A$48,MATCH('PRECIFICAÇÃO '!$E58,PROCEDIMENTOS!$B$2:$B$48,0)),"")</f>
        <v/>
      </c>
      <c r="G58" s="65" t="str">
        <f t="array" ref="G58">IFERROR(INDEX(PROCEDIMENTOS!$C$2:$C$48,MATCH('PRECIFICAÇÃO '!$E58,PROCEDIMENTOS!$B$2:$B$48,0)),"")</f>
        <v/>
      </c>
      <c r="H58" s="67"/>
      <c r="I58" s="67"/>
      <c r="J58" s="80"/>
      <c r="K58" s="68"/>
      <c r="L58" s="69" t="str">
        <f>IFERROR(VLOOKUP('PRECIFICAÇÃO '!$J58,TAXA!$A$2:$C$18,2,FALSE),"")</f>
        <v/>
      </c>
      <c r="M58" s="70">
        <f t="shared" si="1"/>
        <v>0</v>
      </c>
      <c r="N58" s="69" t="str">
        <f>IFERROR(VLOOKUP('PRECIFICAÇÃO '!$J58,TAXA!$A$2:$C$18,3,FALSE),"")</f>
        <v/>
      </c>
      <c r="O58" s="70">
        <f t="shared" si="2"/>
        <v>0</v>
      </c>
      <c r="P58" s="70">
        <f>IFERROR('PRECIFICAÇÃO '!$H58-'PRECIFICAÇÃO '!$M58-'PRECIFICAÇÃO '!$O58,0)</f>
        <v>0</v>
      </c>
      <c r="Q58" s="71" t="str">
        <f t="array" ref="Q58">IFERROR(INDEX(PROCEDIMENTOS!$D$2:$D$48,MATCH('PRECIFICAÇÃO '!$E58,PROCEDIMENTOS!$B$2:$B$48,0)),"")</f>
        <v/>
      </c>
      <c r="R58" s="70">
        <f t="shared" si="3"/>
        <v>0</v>
      </c>
      <c r="S58" s="72">
        <f t="shared" si="12"/>
        <v>0</v>
      </c>
      <c r="T58" s="72"/>
      <c r="U58" s="72">
        <f t="shared" si="13"/>
        <v>0</v>
      </c>
      <c r="V58" s="73">
        <f>'PRECIFICAÇÃO '!$Q58+'PRECIFICAÇÃO '!$R58+'PRECIFICAÇÃO '!$S58+'PRECIFICAÇÃO '!$T58+'PRECIFICAÇÃO '!$U58</f>
        <v>0</v>
      </c>
      <c r="W58" s="74">
        <f t="shared" si="6"/>
        <v>0</v>
      </c>
      <c r="X58" s="73">
        <f t="shared" si="7"/>
        <v>0</v>
      </c>
      <c r="Y58" s="75">
        <f t="shared" si="8"/>
        <v>0</v>
      </c>
      <c r="Z58" s="73">
        <f t="shared" si="9"/>
        <v>0</v>
      </c>
      <c r="AA58" s="73">
        <f t="shared" si="10"/>
        <v>0</v>
      </c>
    </row>
    <row r="59" ht="15.75" customHeight="1">
      <c r="A59" s="78"/>
      <c r="B59" s="61"/>
      <c r="C59" s="79"/>
      <c r="D59" s="65"/>
      <c r="E59" s="80"/>
      <c r="F59" s="64" t="str">
        <f t="array" ref="F59">IFERROR(INDEX(PROCEDIMENTOS!$A$2:$A$48,MATCH('PRECIFICAÇÃO '!$E59,PROCEDIMENTOS!$B$2:$B$48,0)),"")</f>
        <v/>
      </c>
      <c r="G59" s="65" t="str">
        <f t="array" ref="G59">IFERROR(INDEX(PROCEDIMENTOS!$C$2:$C$48,MATCH('PRECIFICAÇÃO '!$E59,PROCEDIMENTOS!$B$2:$B$48,0)),"")</f>
        <v/>
      </c>
      <c r="H59" s="67"/>
      <c r="I59" s="67"/>
      <c r="J59" s="80"/>
      <c r="K59" s="68"/>
      <c r="L59" s="69" t="str">
        <f>IFERROR(VLOOKUP('PRECIFICAÇÃO '!$J59,TAXA!$A$2:$C$18,2,FALSE),"")</f>
        <v/>
      </c>
      <c r="M59" s="70">
        <f t="shared" si="1"/>
        <v>0</v>
      </c>
      <c r="N59" s="69" t="str">
        <f>IFERROR(VLOOKUP('PRECIFICAÇÃO '!$J59,TAXA!$A$2:$C$18,3,FALSE),"")</f>
        <v/>
      </c>
      <c r="O59" s="70">
        <f t="shared" si="2"/>
        <v>0</v>
      </c>
      <c r="P59" s="70">
        <f>IFERROR('PRECIFICAÇÃO '!$H59-'PRECIFICAÇÃO '!$M59-'PRECIFICAÇÃO '!$O59,0)</f>
        <v>0</v>
      </c>
      <c r="Q59" s="71" t="str">
        <f t="array" ref="Q59">IFERROR(INDEX(PROCEDIMENTOS!$D$2:$D$48,MATCH('PRECIFICAÇÃO '!$E59,PROCEDIMENTOS!$B$2:$B$48,0)),"")</f>
        <v/>
      </c>
      <c r="R59" s="70">
        <f t="shared" si="3"/>
        <v>0</v>
      </c>
      <c r="S59" s="72">
        <f t="shared" si="12"/>
        <v>0</v>
      </c>
      <c r="T59" s="72"/>
      <c r="U59" s="72">
        <f t="shared" si="13"/>
        <v>0</v>
      </c>
      <c r="V59" s="73">
        <f>'PRECIFICAÇÃO '!$Q59+'PRECIFICAÇÃO '!$R59+'PRECIFICAÇÃO '!$S59+'PRECIFICAÇÃO '!$T59+'PRECIFICAÇÃO '!$U59</f>
        <v>0</v>
      </c>
      <c r="W59" s="74">
        <f t="shared" si="6"/>
        <v>0</v>
      </c>
      <c r="X59" s="73">
        <f t="shared" si="7"/>
        <v>0</v>
      </c>
      <c r="Y59" s="75">
        <f t="shared" si="8"/>
        <v>0</v>
      </c>
      <c r="Z59" s="73">
        <f t="shared" si="9"/>
        <v>0</v>
      </c>
      <c r="AA59" s="73">
        <f t="shared" si="10"/>
        <v>0</v>
      </c>
    </row>
    <row r="60" ht="15.75" customHeight="1">
      <c r="A60" s="78"/>
      <c r="B60" s="61"/>
      <c r="C60" s="79"/>
      <c r="D60" s="65"/>
      <c r="E60" s="80"/>
      <c r="F60" s="64" t="str">
        <f t="array" ref="F60">IFERROR(INDEX(PROCEDIMENTOS!$A$2:$A$48,MATCH('PRECIFICAÇÃO '!$E60,PROCEDIMENTOS!$B$2:$B$48,0)),"")</f>
        <v/>
      </c>
      <c r="G60" s="65" t="str">
        <f t="array" ref="G60">IFERROR(INDEX(PROCEDIMENTOS!$C$2:$C$48,MATCH('PRECIFICAÇÃO '!$E60,PROCEDIMENTOS!$B$2:$B$48,0)),"")</f>
        <v/>
      </c>
      <c r="H60" s="67"/>
      <c r="I60" s="67"/>
      <c r="J60" s="80"/>
      <c r="K60" s="68"/>
      <c r="L60" s="69" t="str">
        <f>IFERROR(VLOOKUP('PRECIFICAÇÃO '!$J60,TAXA!$A$2:$C$18,2,FALSE),"")</f>
        <v/>
      </c>
      <c r="M60" s="70">
        <f t="shared" si="1"/>
        <v>0</v>
      </c>
      <c r="N60" s="69" t="str">
        <f>IFERROR(VLOOKUP('PRECIFICAÇÃO '!$J60,TAXA!$A$2:$C$18,3,FALSE),"")</f>
        <v/>
      </c>
      <c r="O60" s="70">
        <f t="shared" si="2"/>
        <v>0</v>
      </c>
      <c r="P60" s="70">
        <f>IFERROR('PRECIFICAÇÃO '!$H60-'PRECIFICAÇÃO '!$M60-'PRECIFICAÇÃO '!$O60,0)</f>
        <v>0</v>
      </c>
      <c r="Q60" s="71" t="str">
        <f t="array" ref="Q60">IFERROR(INDEX(PROCEDIMENTOS!$D$2:$D$48,MATCH('PRECIFICAÇÃO '!$E60,PROCEDIMENTOS!$B$2:$B$48,0)),"")</f>
        <v/>
      </c>
      <c r="R60" s="70">
        <f t="shared" si="3"/>
        <v>0</v>
      </c>
      <c r="S60" s="72">
        <f t="shared" si="12"/>
        <v>0</v>
      </c>
      <c r="T60" s="72"/>
      <c r="U60" s="72">
        <f t="shared" si="13"/>
        <v>0</v>
      </c>
      <c r="V60" s="73">
        <f>'PRECIFICAÇÃO '!$Q60+'PRECIFICAÇÃO '!$R60+'PRECIFICAÇÃO '!$S60+'PRECIFICAÇÃO '!$T60+'PRECIFICAÇÃO '!$U60</f>
        <v>0</v>
      </c>
      <c r="W60" s="74">
        <f t="shared" si="6"/>
        <v>0</v>
      </c>
      <c r="X60" s="73">
        <f t="shared" si="7"/>
        <v>0</v>
      </c>
      <c r="Y60" s="75">
        <f t="shared" si="8"/>
        <v>0</v>
      </c>
      <c r="Z60" s="73">
        <f t="shared" si="9"/>
        <v>0</v>
      </c>
      <c r="AA60" s="73">
        <f t="shared" si="10"/>
        <v>0</v>
      </c>
    </row>
    <row r="61" ht="15.75" customHeight="1">
      <c r="A61" s="78"/>
      <c r="B61" s="61"/>
      <c r="C61" s="79"/>
      <c r="D61" s="65"/>
      <c r="E61" s="80"/>
      <c r="F61" s="64" t="str">
        <f t="array" ref="F61">IFERROR(INDEX(PROCEDIMENTOS!$A$2:$A$48,MATCH('PRECIFICAÇÃO '!$E61,PROCEDIMENTOS!$B$2:$B$48,0)),"")</f>
        <v/>
      </c>
      <c r="G61" s="65" t="str">
        <f t="array" ref="G61">IFERROR(INDEX(PROCEDIMENTOS!$C$2:$C$48,MATCH('PRECIFICAÇÃO '!$E61,PROCEDIMENTOS!$B$2:$B$48,0)),"")</f>
        <v/>
      </c>
      <c r="H61" s="67"/>
      <c r="I61" s="67"/>
      <c r="J61" s="80"/>
      <c r="K61" s="68"/>
      <c r="L61" s="69" t="str">
        <f>IFERROR(VLOOKUP('PRECIFICAÇÃO '!$J61,TAXA!$A$2:$C$18,2,FALSE),"")</f>
        <v/>
      </c>
      <c r="M61" s="70">
        <f t="shared" si="1"/>
        <v>0</v>
      </c>
      <c r="N61" s="69" t="str">
        <f>IFERROR(VLOOKUP('PRECIFICAÇÃO '!$J61,TAXA!$A$2:$C$18,3,FALSE),"")</f>
        <v/>
      </c>
      <c r="O61" s="70">
        <f t="shared" si="2"/>
        <v>0</v>
      </c>
      <c r="P61" s="70">
        <f>IFERROR('PRECIFICAÇÃO '!$H61-'PRECIFICAÇÃO '!$M61-'PRECIFICAÇÃO '!$O61,0)</f>
        <v>0</v>
      </c>
      <c r="Q61" s="71" t="str">
        <f t="array" ref="Q61">IFERROR(INDEX(PROCEDIMENTOS!$D$2:$D$48,MATCH('PRECIFICAÇÃO '!$E61,PROCEDIMENTOS!$B$2:$B$48,0)),"")</f>
        <v/>
      </c>
      <c r="R61" s="70">
        <f t="shared" si="3"/>
        <v>0</v>
      </c>
      <c r="S61" s="72">
        <f t="shared" si="12"/>
        <v>0</v>
      </c>
      <c r="T61" s="72"/>
      <c r="U61" s="72">
        <f t="shared" si="13"/>
        <v>0</v>
      </c>
      <c r="V61" s="73">
        <f>'PRECIFICAÇÃO '!$Q61+'PRECIFICAÇÃO '!$R61+'PRECIFICAÇÃO '!$S61+'PRECIFICAÇÃO '!$T61+'PRECIFICAÇÃO '!$U61</f>
        <v>0</v>
      </c>
      <c r="W61" s="74">
        <f t="shared" si="6"/>
        <v>0</v>
      </c>
      <c r="X61" s="73">
        <f t="shared" si="7"/>
        <v>0</v>
      </c>
      <c r="Y61" s="75">
        <f t="shared" si="8"/>
        <v>0</v>
      </c>
      <c r="Z61" s="73">
        <f t="shared" si="9"/>
        <v>0</v>
      </c>
      <c r="AA61" s="73">
        <f t="shared" si="10"/>
        <v>0</v>
      </c>
    </row>
    <row r="62" ht="15.75" customHeight="1">
      <c r="A62" s="78"/>
      <c r="B62" s="61"/>
      <c r="C62" s="79"/>
      <c r="D62" s="65"/>
      <c r="E62" s="80"/>
      <c r="F62" s="64" t="str">
        <f t="array" ref="F62">IFERROR(INDEX(PROCEDIMENTOS!$A$2:$A$48,MATCH('PRECIFICAÇÃO '!$E62,PROCEDIMENTOS!$B$2:$B$48,0)),"")</f>
        <v/>
      </c>
      <c r="G62" s="65" t="str">
        <f t="array" ref="G62">IFERROR(INDEX(PROCEDIMENTOS!$C$2:$C$48,MATCH('PRECIFICAÇÃO '!$E62,PROCEDIMENTOS!$B$2:$B$48,0)),"")</f>
        <v/>
      </c>
      <c r="H62" s="67"/>
      <c r="I62" s="67"/>
      <c r="J62" s="80"/>
      <c r="K62" s="68"/>
      <c r="L62" s="69" t="str">
        <f>IFERROR(VLOOKUP('PRECIFICAÇÃO '!$J62,TAXA!$A$2:$C$18,2,FALSE),"")</f>
        <v/>
      </c>
      <c r="M62" s="70">
        <f t="shared" si="1"/>
        <v>0</v>
      </c>
      <c r="N62" s="69" t="str">
        <f>IFERROR(VLOOKUP('PRECIFICAÇÃO '!$J62,TAXA!$A$2:$C$18,3,FALSE),"")</f>
        <v/>
      </c>
      <c r="O62" s="70">
        <f t="shared" si="2"/>
        <v>0</v>
      </c>
      <c r="P62" s="70">
        <f>IFERROR('PRECIFICAÇÃO '!$H62-'PRECIFICAÇÃO '!$M62-'PRECIFICAÇÃO '!$O62,0)</f>
        <v>0</v>
      </c>
      <c r="Q62" s="71"/>
      <c r="R62" s="70">
        <f t="shared" si="3"/>
        <v>0</v>
      </c>
      <c r="S62" s="72">
        <f t="shared" si="12"/>
        <v>0</v>
      </c>
      <c r="T62" s="72"/>
      <c r="U62" s="72">
        <f t="shared" si="13"/>
        <v>0</v>
      </c>
      <c r="V62" s="73">
        <f>'PRECIFICAÇÃO '!$Q62+'PRECIFICAÇÃO '!$R62+'PRECIFICAÇÃO '!$S62+'PRECIFICAÇÃO '!$T62+'PRECIFICAÇÃO '!$U62</f>
        <v>0</v>
      </c>
      <c r="W62" s="74">
        <f t="shared" si="6"/>
        <v>0</v>
      </c>
      <c r="X62" s="73">
        <f t="shared" si="7"/>
        <v>0</v>
      </c>
      <c r="Y62" s="75">
        <f t="shared" si="8"/>
        <v>0</v>
      </c>
      <c r="Z62" s="73">
        <f t="shared" si="9"/>
        <v>0</v>
      </c>
      <c r="AA62" s="73">
        <f t="shared" si="10"/>
        <v>0</v>
      </c>
    </row>
    <row r="63" ht="15.75" customHeight="1">
      <c r="A63" s="78"/>
      <c r="B63" s="61"/>
      <c r="C63" s="79"/>
      <c r="D63" s="65"/>
      <c r="E63" s="80"/>
      <c r="F63" s="64" t="str">
        <f t="array" ref="F63">IFERROR(INDEX(PROCEDIMENTOS!$A$2:$A$48,MATCH('PRECIFICAÇÃO '!$E63,PROCEDIMENTOS!$B$2:$B$48,0)),"")</f>
        <v/>
      </c>
      <c r="G63" s="65" t="str">
        <f t="array" ref="G63">IFERROR(INDEX(PROCEDIMENTOS!$C$2:$C$48,MATCH('PRECIFICAÇÃO '!$E63,PROCEDIMENTOS!$B$2:$B$48,0)),"")</f>
        <v/>
      </c>
      <c r="H63" s="67"/>
      <c r="I63" s="67"/>
      <c r="J63" s="80"/>
      <c r="K63" s="68"/>
      <c r="L63" s="69" t="str">
        <f>IFERROR(VLOOKUP('PRECIFICAÇÃO '!$J63,TAXA!$A$2:$C$18,2,FALSE),"")</f>
        <v/>
      </c>
      <c r="M63" s="70">
        <f t="shared" si="1"/>
        <v>0</v>
      </c>
      <c r="N63" s="69" t="str">
        <f>IFERROR(VLOOKUP('PRECIFICAÇÃO '!$J63,TAXA!$A$2:$C$18,3,FALSE),"")</f>
        <v/>
      </c>
      <c r="O63" s="70">
        <f t="shared" si="2"/>
        <v>0</v>
      </c>
      <c r="P63" s="70">
        <f>IFERROR('PRECIFICAÇÃO '!$H63-'PRECIFICAÇÃO '!$M63-'PRECIFICAÇÃO '!$O63,0)</f>
        <v>0</v>
      </c>
      <c r="Q63" s="71" t="str">
        <f t="array" ref="Q63">IFERROR(INDEX(PROCEDIMENTOS!$D$2:$D$48,MATCH('PRECIFICAÇÃO '!$E63,PROCEDIMENTOS!$B$2:$B$48,0)),"")</f>
        <v/>
      </c>
      <c r="R63" s="70">
        <f t="shared" si="3"/>
        <v>0</v>
      </c>
      <c r="S63" s="72">
        <f t="shared" si="12"/>
        <v>0</v>
      </c>
      <c r="T63" s="72"/>
      <c r="U63" s="72">
        <f t="shared" si="13"/>
        <v>0</v>
      </c>
      <c r="V63" s="73">
        <f>'PRECIFICAÇÃO '!$Q63+'PRECIFICAÇÃO '!$R63+'PRECIFICAÇÃO '!$S63+'PRECIFICAÇÃO '!$T63+'PRECIFICAÇÃO '!$U63</f>
        <v>0</v>
      </c>
      <c r="W63" s="74">
        <f t="shared" si="6"/>
        <v>0</v>
      </c>
      <c r="X63" s="73">
        <f t="shared" si="7"/>
        <v>0</v>
      </c>
      <c r="Y63" s="75">
        <f t="shared" si="8"/>
        <v>0</v>
      </c>
      <c r="Z63" s="73">
        <f t="shared" si="9"/>
        <v>0</v>
      </c>
      <c r="AA63" s="73">
        <f t="shared" si="10"/>
        <v>0</v>
      </c>
    </row>
    <row r="64" ht="15.75" customHeight="1">
      <c r="A64" s="78"/>
      <c r="B64" s="61"/>
      <c r="C64" s="79"/>
      <c r="D64" s="65"/>
      <c r="E64" s="80"/>
      <c r="F64" s="64" t="str">
        <f t="array" ref="F64">IFERROR(INDEX(PROCEDIMENTOS!$A$2:$A$48,MATCH('PRECIFICAÇÃO '!$E64,PROCEDIMENTOS!$B$2:$B$48,0)),"")</f>
        <v/>
      </c>
      <c r="G64" s="65" t="str">
        <f t="array" ref="G64">IFERROR(INDEX(PROCEDIMENTOS!$C$2:$C$48,MATCH('PRECIFICAÇÃO '!$E64,PROCEDIMENTOS!$B$2:$B$48,0)),"")</f>
        <v/>
      </c>
      <c r="H64" s="67"/>
      <c r="I64" s="67"/>
      <c r="J64" s="80"/>
      <c r="K64" s="68"/>
      <c r="L64" s="69" t="str">
        <f>IFERROR(VLOOKUP('PRECIFICAÇÃO '!$J64,TAXA!$A$2:$C$18,2,FALSE),"")</f>
        <v/>
      </c>
      <c r="M64" s="70">
        <f t="shared" si="1"/>
        <v>0</v>
      </c>
      <c r="N64" s="69" t="str">
        <f>IFERROR(VLOOKUP('PRECIFICAÇÃO '!$J64,TAXA!$A$2:$C$18,3,FALSE),"")</f>
        <v/>
      </c>
      <c r="O64" s="70">
        <f t="shared" si="2"/>
        <v>0</v>
      </c>
      <c r="P64" s="70">
        <f>IFERROR('PRECIFICAÇÃO '!$H64-'PRECIFICAÇÃO '!$M64-'PRECIFICAÇÃO '!$O64,0)</f>
        <v>0</v>
      </c>
      <c r="Q64" s="71" t="str">
        <f t="array" ref="Q64">IFERROR(INDEX(PROCEDIMENTOS!$D$2:$D$48,MATCH('PRECIFICAÇÃO '!$E64,PROCEDIMENTOS!$B$2:$B$48,0)),"")</f>
        <v/>
      </c>
      <c r="R64" s="70">
        <f t="shared" si="3"/>
        <v>0</v>
      </c>
      <c r="S64" s="72">
        <f t="shared" si="12"/>
        <v>0</v>
      </c>
      <c r="T64" s="72"/>
      <c r="U64" s="72">
        <f t="shared" si="13"/>
        <v>0</v>
      </c>
      <c r="V64" s="73">
        <f>'PRECIFICAÇÃO '!$Q64+'PRECIFICAÇÃO '!$R64+'PRECIFICAÇÃO '!$S64+'PRECIFICAÇÃO '!$T64+'PRECIFICAÇÃO '!$U64</f>
        <v>0</v>
      </c>
      <c r="W64" s="74">
        <f t="shared" si="6"/>
        <v>0</v>
      </c>
      <c r="X64" s="73">
        <f t="shared" si="7"/>
        <v>0</v>
      </c>
      <c r="Y64" s="75">
        <f t="shared" si="8"/>
        <v>0</v>
      </c>
      <c r="Z64" s="73">
        <f t="shared" si="9"/>
        <v>0</v>
      </c>
      <c r="AA64" s="73">
        <f t="shared" si="10"/>
        <v>0</v>
      </c>
    </row>
    <row r="65" ht="15.75" customHeight="1">
      <c r="A65" s="78"/>
      <c r="B65" s="61"/>
      <c r="C65" s="79"/>
      <c r="D65" s="65"/>
      <c r="E65" s="80"/>
      <c r="F65" s="64" t="str">
        <f t="array" ref="F65">IFERROR(INDEX(PROCEDIMENTOS!$A$2:$A$48,MATCH('PRECIFICAÇÃO '!$E65,PROCEDIMENTOS!$B$2:$B$48,0)),"")</f>
        <v/>
      </c>
      <c r="G65" s="65" t="str">
        <f t="array" ref="G65">IFERROR(INDEX(PROCEDIMENTOS!$C$2:$C$48,MATCH('PRECIFICAÇÃO '!$E65,PROCEDIMENTOS!$B$2:$B$48,0)),"")</f>
        <v/>
      </c>
      <c r="H65" s="67"/>
      <c r="I65" s="67"/>
      <c r="J65" s="80"/>
      <c r="K65" s="68"/>
      <c r="L65" s="69" t="str">
        <f>IFERROR(VLOOKUP('PRECIFICAÇÃO '!$J65,TAXA!$A$2:$C$18,2,FALSE),"")</f>
        <v/>
      </c>
      <c r="M65" s="70">
        <f t="shared" si="1"/>
        <v>0</v>
      </c>
      <c r="N65" s="69" t="str">
        <f>IFERROR(VLOOKUP('PRECIFICAÇÃO '!$J65,TAXA!$A$2:$C$18,3,FALSE),"")</f>
        <v/>
      </c>
      <c r="O65" s="70">
        <f t="shared" si="2"/>
        <v>0</v>
      </c>
      <c r="P65" s="70">
        <f>IFERROR('PRECIFICAÇÃO '!$H65-'PRECIFICAÇÃO '!$M65-'PRECIFICAÇÃO '!$O65,0)</f>
        <v>0</v>
      </c>
      <c r="Q65" s="71"/>
      <c r="R65" s="70">
        <f t="shared" si="3"/>
        <v>0</v>
      </c>
      <c r="S65" s="72">
        <f t="shared" si="12"/>
        <v>0</v>
      </c>
      <c r="T65" s="72"/>
      <c r="U65" s="72">
        <f t="shared" si="13"/>
        <v>0</v>
      </c>
      <c r="V65" s="73">
        <f>'PRECIFICAÇÃO '!$Q65+'PRECIFICAÇÃO '!$R65+'PRECIFICAÇÃO '!$S65+'PRECIFICAÇÃO '!$T65+'PRECIFICAÇÃO '!$U65</f>
        <v>0</v>
      </c>
      <c r="W65" s="74">
        <f t="shared" si="6"/>
        <v>0</v>
      </c>
      <c r="X65" s="73">
        <f t="shared" si="7"/>
        <v>0</v>
      </c>
      <c r="Y65" s="75">
        <f t="shared" si="8"/>
        <v>0</v>
      </c>
      <c r="Z65" s="73">
        <f t="shared" si="9"/>
        <v>0</v>
      </c>
      <c r="AA65" s="73">
        <f t="shared" si="10"/>
        <v>0</v>
      </c>
    </row>
    <row r="66" ht="15.75" customHeight="1">
      <c r="A66" s="78"/>
      <c r="B66" s="61"/>
      <c r="C66" s="79"/>
      <c r="D66" s="65"/>
      <c r="E66" s="80"/>
      <c r="F66" s="64" t="str">
        <f t="array" ref="F66">IFERROR(INDEX(PROCEDIMENTOS!$A$2:$A$48,MATCH('PRECIFICAÇÃO '!$E66,PROCEDIMENTOS!$B$2:$B$48,0)),"")</f>
        <v/>
      </c>
      <c r="G66" s="65" t="str">
        <f t="array" ref="G66">IFERROR(INDEX(PROCEDIMENTOS!$C$2:$C$48,MATCH('PRECIFICAÇÃO '!$E66,PROCEDIMENTOS!$B$2:$B$48,0)),"")</f>
        <v/>
      </c>
      <c r="H66" s="67"/>
      <c r="I66" s="67"/>
      <c r="J66" s="80"/>
      <c r="K66" s="68"/>
      <c r="L66" s="69" t="str">
        <f>IFERROR(VLOOKUP('PRECIFICAÇÃO '!$J66,TAXA!$A$2:$C$18,2,FALSE),"")</f>
        <v/>
      </c>
      <c r="M66" s="70">
        <f t="shared" si="1"/>
        <v>0</v>
      </c>
      <c r="N66" s="69" t="str">
        <f>IFERROR(VLOOKUP('PRECIFICAÇÃO '!$J66,TAXA!$A$2:$C$18,3,FALSE),"")</f>
        <v/>
      </c>
      <c r="O66" s="70">
        <f t="shared" si="2"/>
        <v>0</v>
      </c>
      <c r="P66" s="70">
        <f>IFERROR('PRECIFICAÇÃO '!$H66-'PRECIFICAÇÃO '!$M66-'PRECIFICAÇÃO '!$O66,0)</f>
        <v>0</v>
      </c>
      <c r="Q66" s="71" t="str">
        <f t="array" ref="Q66">IFERROR(INDEX(PROCEDIMENTOS!$D$2:$D$48,MATCH('PRECIFICAÇÃO '!$E66,PROCEDIMENTOS!$B$2:$B$48,0)),"")</f>
        <v/>
      </c>
      <c r="R66" s="70">
        <f t="shared" si="3"/>
        <v>0</v>
      </c>
      <c r="S66" s="72">
        <f t="shared" si="12"/>
        <v>0</v>
      </c>
      <c r="T66" s="72"/>
      <c r="U66" s="72">
        <f t="shared" si="13"/>
        <v>0</v>
      </c>
      <c r="V66" s="73">
        <f>'PRECIFICAÇÃO '!$Q66+'PRECIFICAÇÃO '!$R66+'PRECIFICAÇÃO '!$S66+'PRECIFICAÇÃO '!$T66+'PRECIFICAÇÃO '!$U66</f>
        <v>0</v>
      </c>
      <c r="W66" s="74">
        <f t="shared" si="6"/>
        <v>0</v>
      </c>
      <c r="X66" s="73">
        <f t="shared" si="7"/>
        <v>0</v>
      </c>
      <c r="Y66" s="75">
        <f t="shared" si="8"/>
        <v>0</v>
      </c>
      <c r="Z66" s="73">
        <f t="shared" si="9"/>
        <v>0</v>
      </c>
      <c r="AA66" s="73">
        <f t="shared" si="10"/>
        <v>0</v>
      </c>
    </row>
    <row r="67" ht="15.75" customHeight="1">
      <c r="A67" s="78"/>
      <c r="B67" s="61"/>
      <c r="C67" s="79"/>
      <c r="D67" s="65"/>
      <c r="E67" s="80"/>
      <c r="F67" s="64" t="str">
        <f t="array" ref="F67">IFERROR(INDEX(PROCEDIMENTOS!$A$2:$A$48,MATCH('PRECIFICAÇÃO '!$E67,PROCEDIMENTOS!$B$2:$B$48,0)),"")</f>
        <v/>
      </c>
      <c r="G67" s="65" t="str">
        <f t="array" ref="G67">IFERROR(INDEX(PROCEDIMENTOS!$C$2:$C$48,MATCH('PRECIFICAÇÃO '!$E67,PROCEDIMENTOS!$B$2:$B$48,0)),"")</f>
        <v/>
      </c>
      <c r="H67" s="67"/>
      <c r="I67" s="67"/>
      <c r="J67" s="80"/>
      <c r="K67" s="68"/>
      <c r="L67" s="69" t="str">
        <f>IFERROR(VLOOKUP('PRECIFICAÇÃO '!$J67,TAXA!$A$2:$C$18,2,FALSE),"")</f>
        <v/>
      </c>
      <c r="M67" s="70">
        <f t="shared" si="1"/>
        <v>0</v>
      </c>
      <c r="N67" s="69" t="str">
        <f>IFERROR(VLOOKUP('PRECIFICAÇÃO '!$J67,TAXA!$A$2:$C$18,3,FALSE),"")</f>
        <v/>
      </c>
      <c r="O67" s="70">
        <f t="shared" si="2"/>
        <v>0</v>
      </c>
      <c r="P67" s="70">
        <f>IFERROR('PRECIFICAÇÃO '!$H67-'PRECIFICAÇÃO '!$M67-'PRECIFICAÇÃO '!$O67,0)</f>
        <v>0</v>
      </c>
      <c r="Q67" s="71"/>
      <c r="R67" s="70">
        <f t="shared" si="3"/>
        <v>0</v>
      </c>
      <c r="S67" s="72">
        <f t="shared" si="12"/>
        <v>0</v>
      </c>
      <c r="T67" s="72"/>
      <c r="U67" s="72">
        <f t="shared" si="13"/>
        <v>0</v>
      </c>
      <c r="V67" s="73">
        <f>'PRECIFICAÇÃO '!$Q67+'PRECIFICAÇÃO '!$R67+'PRECIFICAÇÃO '!$S67+'PRECIFICAÇÃO '!$T67+'PRECIFICAÇÃO '!$U67</f>
        <v>0</v>
      </c>
      <c r="W67" s="74">
        <f t="shared" si="6"/>
        <v>0</v>
      </c>
      <c r="X67" s="73">
        <f t="shared" si="7"/>
        <v>0</v>
      </c>
      <c r="Y67" s="75">
        <f t="shared" si="8"/>
        <v>0</v>
      </c>
      <c r="Z67" s="73">
        <f t="shared" si="9"/>
        <v>0</v>
      </c>
      <c r="AA67" s="73">
        <f t="shared" si="10"/>
        <v>0</v>
      </c>
    </row>
    <row r="68" ht="15.75" customHeight="1">
      <c r="A68" s="78"/>
      <c r="B68" s="61"/>
      <c r="C68" s="64"/>
      <c r="D68" s="81"/>
      <c r="E68" s="80"/>
      <c r="F68" s="64" t="str">
        <f t="array" ref="F68">IFERROR(INDEX(PROCEDIMENTOS!$A$2:$A$48,MATCH('PRECIFICAÇÃO '!$E68,PROCEDIMENTOS!$B$2:$B$48,0)),"")</f>
        <v/>
      </c>
      <c r="G68" s="65" t="str">
        <f t="array" ref="G68">IFERROR(INDEX(PROCEDIMENTOS!$C$2:$C$48,MATCH('PRECIFICAÇÃO '!$E68,PROCEDIMENTOS!$B$2:$B$48,0)),"")</f>
        <v/>
      </c>
      <c r="H68" s="67"/>
      <c r="I68" s="67"/>
      <c r="J68" s="80"/>
      <c r="K68" s="68"/>
      <c r="L68" s="69" t="str">
        <f>IFERROR(VLOOKUP('PRECIFICAÇÃO '!$J68,TAXA!$A$2:$C$18,2,FALSE),"")</f>
        <v/>
      </c>
      <c r="M68" s="70">
        <f t="shared" si="1"/>
        <v>0</v>
      </c>
      <c r="N68" s="69" t="str">
        <f>IFERROR(VLOOKUP('PRECIFICAÇÃO '!$J68,TAXA!$A$2:$C$18,3,FALSE),"")</f>
        <v/>
      </c>
      <c r="O68" s="70">
        <f t="shared" si="2"/>
        <v>0</v>
      </c>
      <c r="P68" s="70">
        <f>IFERROR('PRECIFICAÇÃO '!$H68-'PRECIFICAÇÃO '!$M68-'PRECIFICAÇÃO '!$O68,0)</f>
        <v>0</v>
      </c>
      <c r="Q68" s="71"/>
      <c r="R68" s="70">
        <f t="shared" si="3"/>
        <v>0</v>
      </c>
      <c r="S68" s="72">
        <f t="shared" si="12"/>
        <v>0</v>
      </c>
      <c r="T68" s="72"/>
      <c r="U68" s="72">
        <f t="shared" si="13"/>
        <v>0</v>
      </c>
      <c r="V68" s="73">
        <f>'PRECIFICAÇÃO '!$Q68+'PRECIFICAÇÃO '!$R68+'PRECIFICAÇÃO '!$S68+'PRECIFICAÇÃO '!$T68+'PRECIFICAÇÃO '!$U68</f>
        <v>0</v>
      </c>
      <c r="W68" s="74">
        <f t="shared" si="6"/>
        <v>0</v>
      </c>
      <c r="X68" s="73">
        <f t="shared" si="7"/>
        <v>0</v>
      </c>
      <c r="Y68" s="75">
        <f t="shared" si="8"/>
        <v>0</v>
      </c>
      <c r="Z68" s="73">
        <f t="shared" si="9"/>
        <v>0</v>
      </c>
      <c r="AA68" s="73">
        <f t="shared" si="10"/>
        <v>0</v>
      </c>
    </row>
    <row r="69" ht="15.75" customHeight="1">
      <c r="A69" s="78"/>
      <c r="B69" s="61"/>
      <c r="C69" s="79"/>
      <c r="D69" s="65"/>
      <c r="E69" s="80"/>
      <c r="F69" s="64" t="str">
        <f t="array" ref="F69">IFERROR(INDEX(PROCEDIMENTOS!$A$2:$A$48,MATCH('PRECIFICAÇÃO '!$E69,PROCEDIMENTOS!$B$2:$B$48,0)),"")</f>
        <v/>
      </c>
      <c r="G69" s="65" t="str">
        <f t="array" ref="G69">IFERROR(INDEX(PROCEDIMENTOS!$C$2:$C$48,MATCH('PRECIFICAÇÃO '!$E69,PROCEDIMENTOS!$B$2:$B$48,0)),"")</f>
        <v/>
      </c>
      <c r="H69" s="67"/>
      <c r="I69" s="67"/>
      <c r="J69" s="80"/>
      <c r="K69" s="68"/>
      <c r="L69" s="69" t="str">
        <f>IFERROR(VLOOKUP('PRECIFICAÇÃO '!$J69,TAXA!$A$2:$C$18,2,FALSE),"")</f>
        <v/>
      </c>
      <c r="M69" s="70">
        <f t="shared" si="1"/>
        <v>0</v>
      </c>
      <c r="N69" s="69" t="str">
        <f>IFERROR(VLOOKUP('PRECIFICAÇÃO '!$J69,TAXA!$A$2:$C$18,3,FALSE),"")</f>
        <v/>
      </c>
      <c r="O69" s="70">
        <f t="shared" si="2"/>
        <v>0</v>
      </c>
      <c r="P69" s="70">
        <f>IFERROR('PRECIFICAÇÃO '!$H69-'PRECIFICAÇÃO '!$M69-'PRECIFICAÇÃO '!$O69,0)</f>
        <v>0</v>
      </c>
      <c r="Q69" s="71" t="str">
        <f t="array" ref="Q69">IFERROR(INDEX(PROCEDIMENTOS!$D$2:$D$48,MATCH('PRECIFICAÇÃO '!$E69,PROCEDIMENTOS!$B$2:$B$48,0)),"")</f>
        <v/>
      </c>
      <c r="R69" s="70">
        <f t="shared" si="3"/>
        <v>0</v>
      </c>
      <c r="S69" s="72">
        <f t="shared" si="12"/>
        <v>0</v>
      </c>
      <c r="T69" s="72"/>
      <c r="U69" s="72">
        <f t="shared" si="13"/>
        <v>0</v>
      </c>
      <c r="V69" s="73">
        <f>'PRECIFICAÇÃO '!$Q69+'PRECIFICAÇÃO '!$R69+'PRECIFICAÇÃO '!$S69+'PRECIFICAÇÃO '!$T69+'PRECIFICAÇÃO '!$U69</f>
        <v>0</v>
      </c>
      <c r="W69" s="74">
        <f t="shared" si="6"/>
        <v>0</v>
      </c>
      <c r="X69" s="73">
        <f t="shared" si="7"/>
        <v>0</v>
      </c>
      <c r="Y69" s="75">
        <f t="shared" si="8"/>
        <v>0</v>
      </c>
      <c r="Z69" s="73">
        <f t="shared" si="9"/>
        <v>0</v>
      </c>
      <c r="AA69" s="73">
        <f t="shared" si="10"/>
        <v>0</v>
      </c>
    </row>
    <row r="70" ht="15.75" customHeight="1">
      <c r="A70" s="78"/>
      <c r="B70" s="61"/>
      <c r="C70" s="79"/>
      <c r="D70" s="65"/>
      <c r="E70" s="80"/>
      <c r="F70" s="64" t="str">
        <f t="array" ref="F70">IFERROR(INDEX(PROCEDIMENTOS!$A$2:$A$48,MATCH('PRECIFICAÇÃO '!$E70,PROCEDIMENTOS!$B$2:$B$48,0)),"")</f>
        <v/>
      </c>
      <c r="G70" s="65" t="str">
        <f t="array" ref="G70">IFERROR(INDEX(PROCEDIMENTOS!$C$2:$C$48,MATCH('PRECIFICAÇÃO '!$E70,PROCEDIMENTOS!$B$2:$B$48,0)),"")</f>
        <v/>
      </c>
      <c r="H70" s="67"/>
      <c r="I70" s="67"/>
      <c r="J70" s="80"/>
      <c r="K70" s="68"/>
      <c r="L70" s="69" t="str">
        <f>IFERROR(VLOOKUP('PRECIFICAÇÃO '!$J70,TAXA!$A$2:$C$18,2,FALSE),"")</f>
        <v/>
      </c>
      <c r="M70" s="70">
        <f t="shared" si="1"/>
        <v>0</v>
      </c>
      <c r="N70" s="69" t="str">
        <f>IFERROR(VLOOKUP('PRECIFICAÇÃO '!$J70,TAXA!$A$2:$C$18,3,FALSE),"")</f>
        <v/>
      </c>
      <c r="O70" s="70">
        <f t="shared" si="2"/>
        <v>0</v>
      </c>
      <c r="P70" s="70">
        <f>IFERROR('PRECIFICAÇÃO '!$H70-'PRECIFICAÇÃO '!$M70-'PRECIFICAÇÃO '!$O70,0)</f>
        <v>0</v>
      </c>
      <c r="Q70" s="71" t="str">
        <f t="array" ref="Q70">IFERROR(INDEX(PROCEDIMENTOS!$D$2:$D$48,MATCH('PRECIFICAÇÃO '!$E70,PROCEDIMENTOS!$B$2:$B$48,0)),"")</f>
        <v/>
      </c>
      <c r="R70" s="70">
        <f t="shared" si="3"/>
        <v>0</v>
      </c>
      <c r="S70" s="72">
        <f t="shared" si="12"/>
        <v>0</v>
      </c>
      <c r="T70" s="72"/>
      <c r="U70" s="72">
        <f t="shared" si="13"/>
        <v>0</v>
      </c>
      <c r="V70" s="73">
        <f>'PRECIFICAÇÃO '!$Q70+'PRECIFICAÇÃO '!$R70+'PRECIFICAÇÃO '!$S70+'PRECIFICAÇÃO '!$T70+'PRECIFICAÇÃO '!$U70</f>
        <v>0</v>
      </c>
      <c r="W70" s="74">
        <f t="shared" si="6"/>
        <v>0</v>
      </c>
      <c r="X70" s="73">
        <f t="shared" si="7"/>
        <v>0</v>
      </c>
      <c r="Y70" s="75">
        <f t="shared" si="8"/>
        <v>0</v>
      </c>
      <c r="Z70" s="73">
        <f t="shared" si="9"/>
        <v>0</v>
      </c>
      <c r="AA70" s="73">
        <f t="shared" si="10"/>
        <v>0</v>
      </c>
    </row>
    <row r="71" ht="15.75" customHeight="1">
      <c r="A71" s="78"/>
      <c r="B71" s="61"/>
      <c r="C71" s="79"/>
      <c r="D71" s="65"/>
      <c r="E71" s="80"/>
      <c r="F71" s="64" t="str">
        <f t="array" ref="F71">IFERROR(INDEX(PROCEDIMENTOS!$A$2:$A$48,MATCH('PRECIFICAÇÃO '!$E71,PROCEDIMENTOS!$B$2:$B$48,0)),"")</f>
        <v/>
      </c>
      <c r="G71" s="65" t="str">
        <f t="array" ref="G71">IFERROR(INDEX(PROCEDIMENTOS!$C$2:$C$48,MATCH('PRECIFICAÇÃO '!$E71,PROCEDIMENTOS!$B$2:$B$48,0)),"")</f>
        <v/>
      </c>
      <c r="H71" s="67"/>
      <c r="I71" s="67"/>
      <c r="J71" s="80"/>
      <c r="K71" s="68"/>
      <c r="L71" s="69" t="str">
        <f>IFERROR(VLOOKUP('PRECIFICAÇÃO '!$J71,TAXA!$A$2:$C$18,2,FALSE),"")</f>
        <v/>
      </c>
      <c r="M71" s="70">
        <f t="shared" si="1"/>
        <v>0</v>
      </c>
      <c r="N71" s="69" t="str">
        <f>IFERROR(VLOOKUP('PRECIFICAÇÃO '!$J71,TAXA!$A$2:$C$18,3,FALSE),"")</f>
        <v/>
      </c>
      <c r="O71" s="70">
        <f t="shared" si="2"/>
        <v>0</v>
      </c>
      <c r="P71" s="70">
        <f>IFERROR('PRECIFICAÇÃO '!$H71-'PRECIFICAÇÃO '!$M71-'PRECIFICAÇÃO '!$O71,0)</f>
        <v>0</v>
      </c>
      <c r="Q71" s="71" t="str">
        <f t="array" ref="Q71">IFERROR(INDEX(PROCEDIMENTOS!$D$2:$D$48,MATCH('PRECIFICAÇÃO '!$E71,PROCEDIMENTOS!$B$2:$B$48,0)),"")</f>
        <v/>
      </c>
      <c r="R71" s="70">
        <f t="shared" si="3"/>
        <v>0</v>
      </c>
      <c r="S71" s="72">
        <f t="shared" si="12"/>
        <v>0</v>
      </c>
      <c r="T71" s="72"/>
      <c r="U71" s="72">
        <f t="shared" si="13"/>
        <v>0</v>
      </c>
      <c r="V71" s="73">
        <f>'PRECIFICAÇÃO '!$Q71+'PRECIFICAÇÃO '!$R71+'PRECIFICAÇÃO '!$S71+'PRECIFICAÇÃO '!$T71+'PRECIFICAÇÃO '!$U71</f>
        <v>0</v>
      </c>
      <c r="W71" s="74">
        <f t="shared" si="6"/>
        <v>0</v>
      </c>
      <c r="X71" s="73">
        <f t="shared" si="7"/>
        <v>0</v>
      </c>
      <c r="Y71" s="75">
        <f t="shared" si="8"/>
        <v>0</v>
      </c>
      <c r="Z71" s="73">
        <f t="shared" si="9"/>
        <v>0</v>
      </c>
      <c r="AA71" s="73">
        <f t="shared" si="10"/>
        <v>0</v>
      </c>
    </row>
    <row r="72" ht="15.75" customHeight="1">
      <c r="A72" s="78"/>
      <c r="B72" s="61"/>
      <c r="C72" s="79"/>
      <c r="D72" s="65"/>
      <c r="E72" s="80"/>
      <c r="F72" s="64" t="str">
        <f t="array" ref="F72">IFERROR(INDEX(PROCEDIMENTOS!$A$2:$A$48,MATCH('PRECIFICAÇÃO '!$E72,PROCEDIMENTOS!$B$2:$B$48,0)),"")</f>
        <v/>
      </c>
      <c r="G72" s="65" t="str">
        <f t="array" ref="G72">IFERROR(INDEX(PROCEDIMENTOS!$C$2:$C$48,MATCH('PRECIFICAÇÃO '!$E72,PROCEDIMENTOS!$B$2:$B$48,0)),"")</f>
        <v/>
      </c>
      <c r="H72" s="67"/>
      <c r="I72" s="67"/>
      <c r="J72" s="80"/>
      <c r="K72" s="68"/>
      <c r="L72" s="69" t="str">
        <f>IFERROR(VLOOKUP('PRECIFICAÇÃO '!$J72,TAXA!$A$2:$C$18,2,FALSE),"")</f>
        <v/>
      </c>
      <c r="M72" s="70">
        <f t="shared" si="1"/>
        <v>0</v>
      </c>
      <c r="N72" s="69" t="str">
        <f>IFERROR(VLOOKUP('PRECIFICAÇÃO '!$J72,TAXA!$A$2:$C$18,3,FALSE),"")</f>
        <v/>
      </c>
      <c r="O72" s="70">
        <f t="shared" si="2"/>
        <v>0</v>
      </c>
      <c r="P72" s="70">
        <f>IFERROR('PRECIFICAÇÃO '!$H72-'PRECIFICAÇÃO '!$M72-'PRECIFICAÇÃO '!$O72,0)</f>
        <v>0</v>
      </c>
      <c r="Q72" s="71" t="str">
        <f t="array" ref="Q72">IFERROR(INDEX(PROCEDIMENTOS!$D$2:$D$48,MATCH('PRECIFICAÇÃO '!$E72,PROCEDIMENTOS!$B$2:$B$48,0)),"")</f>
        <v/>
      </c>
      <c r="R72" s="70">
        <f t="shared" si="3"/>
        <v>0</v>
      </c>
      <c r="S72" s="72">
        <f t="shared" si="12"/>
        <v>0</v>
      </c>
      <c r="T72" s="72"/>
      <c r="U72" s="72">
        <f t="shared" si="13"/>
        <v>0</v>
      </c>
      <c r="V72" s="73">
        <f>'PRECIFICAÇÃO '!$Q72+'PRECIFICAÇÃO '!$R72+'PRECIFICAÇÃO '!$S72+'PRECIFICAÇÃO '!$T72+'PRECIFICAÇÃO '!$U72</f>
        <v>0</v>
      </c>
      <c r="W72" s="74">
        <f t="shared" si="6"/>
        <v>0</v>
      </c>
      <c r="X72" s="73">
        <f t="shared" si="7"/>
        <v>0</v>
      </c>
      <c r="Y72" s="75">
        <f t="shared" si="8"/>
        <v>0</v>
      </c>
      <c r="Z72" s="73">
        <f t="shared" si="9"/>
        <v>0</v>
      </c>
      <c r="AA72" s="73">
        <f t="shared" si="10"/>
        <v>0</v>
      </c>
    </row>
    <row r="73" ht="15.75" customHeight="1">
      <c r="A73" s="78"/>
      <c r="B73" s="61"/>
      <c r="C73" s="79"/>
      <c r="D73" s="65"/>
      <c r="E73" s="80"/>
      <c r="F73" s="64" t="str">
        <f t="array" ref="F73">IFERROR(INDEX(PROCEDIMENTOS!$A$2:$A$48,MATCH('PRECIFICAÇÃO '!$E73,PROCEDIMENTOS!$B$2:$B$48,0)),"")</f>
        <v/>
      </c>
      <c r="G73" s="65" t="str">
        <f t="array" ref="G73">IFERROR(INDEX(PROCEDIMENTOS!$C$2:$C$48,MATCH('PRECIFICAÇÃO '!$E73,PROCEDIMENTOS!$B$2:$B$48,0)),"")</f>
        <v/>
      </c>
      <c r="H73" s="67"/>
      <c r="I73" s="67"/>
      <c r="J73" s="80"/>
      <c r="K73" s="68"/>
      <c r="L73" s="69" t="str">
        <f>IFERROR(VLOOKUP('PRECIFICAÇÃO '!$J73,TAXA!$A$2:$C$18,2,FALSE),"")</f>
        <v/>
      </c>
      <c r="M73" s="70">
        <f t="shared" si="1"/>
        <v>0</v>
      </c>
      <c r="N73" s="69" t="str">
        <f>IFERROR(VLOOKUP('PRECIFICAÇÃO '!$J73,TAXA!$A$2:$C$18,3,FALSE),"")</f>
        <v/>
      </c>
      <c r="O73" s="70">
        <f t="shared" si="2"/>
        <v>0</v>
      </c>
      <c r="P73" s="70">
        <f>IFERROR('PRECIFICAÇÃO '!$H73-'PRECIFICAÇÃO '!$M73-'PRECIFICAÇÃO '!$O73,0)</f>
        <v>0</v>
      </c>
      <c r="Q73" s="71"/>
      <c r="R73" s="70">
        <f t="shared" si="3"/>
        <v>0</v>
      </c>
      <c r="S73" s="72">
        <f t="shared" si="12"/>
        <v>0</v>
      </c>
      <c r="T73" s="72"/>
      <c r="U73" s="72">
        <f t="shared" si="13"/>
        <v>0</v>
      </c>
      <c r="V73" s="73">
        <f>'PRECIFICAÇÃO '!$Q73+'PRECIFICAÇÃO '!$R73+'PRECIFICAÇÃO '!$S73+'PRECIFICAÇÃO '!$T73+'PRECIFICAÇÃO '!$U73</f>
        <v>0</v>
      </c>
      <c r="W73" s="74">
        <f t="shared" si="6"/>
        <v>0</v>
      </c>
      <c r="X73" s="73">
        <f t="shared" si="7"/>
        <v>0</v>
      </c>
      <c r="Y73" s="75">
        <f t="shared" si="8"/>
        <v>0</v>
      </c>
      <c r="Z73" s="73">
        <f t="shared" si="9"/>
        <v>0</v>
      </c>
      <c r="AA73" s="73">
        <f t="shared" si="10"/>
        <v>0</v>
      </c>
    </row>
    <row r="74" ht="15.75" customHeight="1">
      <c r="A74" s="78"/>
      <c r="B74" s="61"/>
      <c r="C74" s="79"/>
      <c r="D74" s="65"/>
      <c r="E74" s="80"/>
      <c r="F74" s="64" t="str">
        <f t="array" ref="F74">IFERROR(INDEX(PROCEDIMENTOS!$A$2:$A$48,MATCH('PRECIFICAÇÃO '!$E74,PROCEDIMENTOS!$B$2:$B$48,0)),"")</f>
        <v/>
      </c>
      <c r="G74" s="65" t="str">
        <f t="array" ref="G74">IFERROR(INDEX(PROCEDIMENTOS!$C$2:$C$48,MATCH('PRECIFICAÇÃO '!$E74,PROCEDIMENTOS!$B$2:$B$48,0)),"")</f>
        <v/>
      </c>
      <c r="H74" s="67"/>
      <c r="I74" s="67"/>
      <c r="J74" s="80"/>
      <c r="K74" s="68"/>
      <c r="L74" s="69" t="str">
        <f>IFERROR(VLOOKUP('PRECIFICAÇÃO '!$J74,TAXA!$A$2:$C$18,2,FALSE),"")</f>
        <v/>
      </c>
      <c r="M74" s="70">
        <f t="shared" si="1"/>
        <v>0</v>
      </c>
      <c r="N74" s="69" t="str">
        <f>IFERROR(VLOOKUP('PRECIFICAÇÃO '!$J74,TAXA!$A$2:$C$18,3,FALSE),"")</f>
        <v/>
      </c>
      <c r="O74" s="70">
        <f t="shared" si="2"/>
        <v>0</v>
      </c>
      <c r="P74" s="70">
        <f>IFERROR('PRECIFICAÇÃO '!$H74-'PRECIFICAÇÃO '!$M74-'PRECIFICAÇÃO '!$O74,0)</f>
        <v>0</v>
      </c>
      <c r="Q74" s="71"/>
      <c r="R74" s="70">
        <f t="shared" si="3"/>
        <v>0</v>
      </c>
      <c r="S74" s="72">
        <f t="shared" si="12"/>
        <v>0</v>
      </c>
      <c r="T74" s="72"/>
      <c r="U74" s="72">
        <f t="shared" si="13"/>
        <v>0</v>
      </c>
      <c r="V74" s="73">
        <f>'PRECIFICAÇÃO '!$Q74+'PRECIFICAÇÃO '!$R74+'PRECIFICAÇÃO '!$S74+'PRECIFICAÇÃO '!$T74+'PRECIFICAÇÃO '!$U74</f>
        <v>0</v>
      </c>
      <c r="W74" s="74">
        <f t="shared" si="6"/>
        <v>0</v>
      </c>
      <c r="X74" s="73">
        <f t="shared" si="7"/>
        <v>0</v>
      </c>
      <c r="Y74" s="75">
        <f t="shared" si="8"/>
        <v>0</v>
      </c>
      <c r="Z74" s="73">
        <f t="shared" si="9"/>
        <v>0</v>
      </c>
      <c r="AA74" s="73">
        <f t="shared" si="10"/>
        <v>0</v>
      </c>
    </row>
    <row r="75" ht="15.75" customHeight="1">
      <c r="A75" s="78"/>
      <c r="B75" s="61"/>
      <c r="C75" s="79"/>
      <c r="D75" s="65"/>
      <c r="E75" s="80"/>
      <c r="F75" s="64" t="str">
        <f t="array" ref="F75">IFERROR(INDEX(PROCEDIMENTOS!$A$2:$A$48,MATCH('PRECIFICAÇÃO '!$E75,PROCEDIMENTOS!$B$2:$B$48,0)),"")</f>
        <v/>
      </c>
      <c r="G75" s="65" t="str">
        <f t="array" ref="G75">IFERROR(INDEX(PROCEDIMENTOS!$C$2:$C$48,MATCH('PRECIFICAÇÃO '!$E75,PROCEDIMENTOS!$B$2:$B$48,0)),"")</f>
        <v/>
      </c>
      <c r="H75" s="67"/>
      <c r="I75" s="67"/>
      <c r="J75" s="80"/>
      <c r="K75" s="68"/>
      <c r="L75" s="69" t="str">
        <f>IFERROR(VLOOKUP('PRECIFICAÇÃO '!$J75,TAXA!$A$2:$C$18,2,FALSE),"")</f>
        <v/>
      </c>
      <c r="M75" s="70">
        <f t="shared" si="1"/>
        <v>0</v>
      </c>
      <c r="N75" s="69" t="str">
        <f>IFERROR(VLOOKUP('PRECIFICAÇÃO '!$J75,TAXA!$A$2:$C$18,3,FALSE),"")</f>
        <v/>
      </c>
      <c r="O75" s="70">
        <f t="shared" si="2"/>
        <v>0</v>
      </c>
      <c r="P75" s="70">
        <f>IFERROR('PRECIFICAÇÃO '!$H75-'PRECIFICAÇÃO '!$M75-'PRECIFICAÇÃO '!$O75,0)</f>
        <v>0</v>
      </c>
      <c r="Q75" s="71" t="str">
        <f t="array" ref="Q75">IFERROR(INDEX(PROCEDIMENTOS!$D$2:$D$48,MATCH('PRECIFICAÇÃO '!$E75,PROCEDIMENTOS!$B$2:$B$48,0)),"")</f>
        <v/>
      </c>
      <c r="R75" s="70">
        <f t="shared" si="3"/>
        <v>0</v>
      </c>
      <c r="S75" s="72">
        <f t="shared" si="12"/>
        <v>0</v>
      </c>
      <c r="T75" s="72"/>
      <c r="U75" s="72">
        <f t="shared" si="13"/>
        <v>0</v>
      </c>
      <c r="V75" s="73">
        <f>'PRECIFICAÇÃO '!$Q75+'PRECIFICAÇÃO '!$R75+'PRECIFICAÇÃO '!$S75+'PRECIFICAÇÃO '!$T75+'PRECIFICAÇÃO '!$U75</f>
        <v>0</v>
      </c>
      <c r="W75" s="74">
        <f t="shared" si="6"/>
        <v>0</v>
      </c>
      <c r="X75" s="73">
        <f t="shared" si="7"/>
        <v>0</v>
      </c>
      <c r="Y75" s="75">
        <f t="shared" si="8"/>
        <v>0</v>
      </c>
      <c r="Z75" s="73">
        <f t="shared" si="9"/>
        <v>0</v>
      </c>
      <c r="AA75" s="73">
        <f t="shared" si="10"/>
        <v>0</v>
      </c>
    </row>
    <row r="76" ht="15.75" customHeight="1">
      <c r="A76" s="78"/>
      <c r="B76" s="61"/>
      <c r="C76" s="79"/>
      <c r="D76" s="65"/>
      <c r="E76" s="80"/>
      <c r="F76" s="64" t="str">
        <f t="array" ref="F76">IFERROR(INDEX(PROCEDIMENTOS!$A$2:$A$48,MATCH('PRECIFICAÇÃO '!$E76,PROCEDIMENTOS!$B$2:$B$48,0)),"")</f>
        <v/>
      </c>
      <c r="G76" s="65" t="str">
        <f t="array" ref="G76">IFERROR(INDEX(PROCEDIMENTOS!$C$2:$C$48,MATCH('PRECIFICAÇÃO '!$E76,PROCEDIMENTOS!$B$2:$B$48,0)),"")</f>
        <v/>
      </c>
      <c r="H76" s="67"/>
      <c r="I76" s="67"/>
      <c r="J76" s="80"/>
      <c r="K76" s="68"/>
      <c r="L76" s="69" t="str">
        <f>IFERROR(VLOOKUP('PRECIFICAÇÃO '!$J76,TAXA!$A$2:$C$18,2,FALSE),"")</f>
        <v/>
      </c>
      <c r="M76" s="70">
        <f t="shared" si="1"/>
        <v>0</v>
      </c>
      <c r="N76" s="69" t="str">
        <f>IFERROR(VLOOKUP('PRECIFICAÇÃO '!$J76,TAXA!$A$2:$C$18,3,FALSE),"")</f>
        <v/>
      </c>
      <c r="O76" s="70">
        <f t="shared" si="2"/>
        <v>0</v>
      </c>
      <c r="P76" s="70">
        <f>IFERROR('PRECIFICAÇÃO '!$H76-'PRECIFICAÇÃO '!$M76-'PRECIFICAÇÃO '!$O76,0)</f>
        <v>0</v>
      </c>
      <c r="Q76" s="71"/>
      <c r="R76" s="70">
        <f t="shared" si="3"/>
        <v>0</v>
      </c>
      <c r="S76" s="72">
        <f t="shared" si="12"/>
        <v>0</v>
      </c>
      <c r="T76" s="72"/>
      <c r="U76" s="72">
        <f t="shared" si="13"/>
        <v>0</v>
      </c>
      <c r="V76" s="73">
        <f>'PRECIFICAÇÃO '!$Q76+'PRECIFICAÇÃO '!$R76+'PRECIFICAÇÃO '!$S76+'PRECIFICAÇÃO '!$T76+'PRECIFICAÇÃO '!$U76</f>
        <v>0</v>
      </c>
      <c r="W76" s="74">
        <f t="shared" si="6"/>
        <v>0</v>
      </c>
      <c r="X76" s="73">
        <f t="shared" si="7"/>
        <v>0</v>
      </c>
      <c r="Y76" s="75">
        <f t="shared" si="8"/>
        <v>0</v>
      </c>
      <c r="Z76" s="73">
        <f t="shared" si="9"/>
        <v>0</v>
      </c>
      <c r="AA76" s="73">
        <f t="shared" si="10"/>
        <v>0</v>
      </c>
    </row>
    <row r="77" ht="15.75" customHeight="1">
      <c r="A77" s="78"/>
      <c r="B77" s="61"/>
      <c r="C77" s="79"/>
      <c r="D77" s="65"/>
      <c r="E77" s="80"/>
      <c r="F77" s="64" t="str">
        <f t="array" ref="F77">IFERROR(INDEX(PROCEDIMENTOS!$A$2:$A$48,MATCH('PRECIFICAÇÃO '!$E77,PROCEDIMENTOS!$B$2:$B$48,0)),"")</f>
        <v/>
      </c>
      <c r="G77" s="65" t="str">
        <f t="array" ref="G77">IFERROR(INDEX(PROCEDIMENTOS!$C$2:$C$48,MATCH('PRECIFICAÇÃO '!$E77,PROCEDIMENTOS!$B$2:$B$48,0)),"")</f>
        <v/>
      </c>
      <c r="H77" s="67"/>
      <c r="I77" s="67"/>
      <c r="J77" s="80"/>
      <c r="K77" s="68"/>
      <c r="L77" s="69" t="str">
        <f>IFERROR(VLOOKUP('PRECIFICAÇÃO '!$J77,TAXA!$A$2:$C$18,2,FALSE),"")</f>
        <v/>
      </c>
      <c r="M77" s="70">
        <f t="shared" si="1"/>
        <v>0</v>
      </c>
      <c r="N77" s="69" t="str">
        <f>IFERROR(VLOOKUP('PRECIFICAÇÃO '!$J77,TAXA!$A$2:$C$18,3,FALSE),"")</f>
        <v/>
      </c>
      <c r="O77" s="70">
        <f t="shared" si="2"/>
        <v>0</v>
      </c>
      <c r="P77" s="70">
        <f>IFERROR('PRECIFICAÇÃO '!$H77-'PRECIFICAÇÃO '!$M77-'PRECIFICAÇÃO '!$O77,0)</f>
        <v>0</v>
      </c>
      <c r="Q77" s="71"/>
      <c r="R77" s="70">
        <f t="shared" si="3"/>
        <v>0</v>
      </c>
      <c r="S77" s="72">
        <f t="shared" si="12"/>
        <v>0</v>
      </c>
      <c r="T77" s="72"/>
      <c r="U77" s="72">
        <f t="shared" si="13"/>
        <v>0</v>
      </c>
      <c r="V77" s="73">
        <f>'PRECIFICAÇÃO '!$Q77+'PRECIFICAÇÃO '!$R77+'PRECIFICAÇÃO '!$S77+'PRECIFICAÇÃO '!$T77+'PRECIFICAÇÃO '!$U77</f>
        <v>0</v>
      </c>
      <c r="W77" s="74">
        <f t="shared" si="6"/>
        <v>0</v>
      </c>
      <c r="X77" s="73">
        <f t="shared" si="7"/>
        <v>0</v>
      </c>
      <c r="Y77" s="75">
        <f t="shared" si="8"/>
        <v>0</v>
      </c>
      <c r="Z77" s="73">
        <f t="shared" si="9"/>
        <v>0</v>
      </c>
      <c r="AA77" s="73">
        <f t="shared" si="10"/>
        <v>0</v>
      </c>
    </row>
    <row r="78" ht="15.75" customHeight="1">
      <c r="A78" s="78"/>
      <c r="B78" s="61"/>
      <c r="C78" s="79"/>
      <c r="D78" s="65"/>
      <c r="E78" s="80"/>
      <c r="F78" s="64" t="str">
        <f t="array" ref="F78">IFERROR(INDEX(PROCEDIMENTOS!$A$2:$A$48,MATCH('PRECIFICAÇÃO '!$E78,PROCEDIMENTOS!$B$2:$B$48,0)),"")</f>
        <v/>
      </c>
      <c r="G78" s="65" t="str">
        <f t="array" ref="G78">IFERROR(INDEX(PROCEDIMENTOS!$C$2:$C$48,MATCH('PRECIFICAÇÃO '!$E78,PROCEDIMENTOS!$B$2:$B$48,0)),"")</f>
        <v/>
      </c>
      <c r="H78" s="67"/>
      <c r="I78" s="67"/>
      <c r="J78" s="80"/>
      <c r="K78" s="68"/>
      <c r="L78" s="69" t="str">
        <f>IFERROR(VLOOKUP('PRECIFICAÇÃO '!$J78,TAXA!$A$2:$C$18,2,FALSE),"")</f>
        <v/>
      </c>
      <c r="M78" s="70">
        <f t="shared" si="1"/>
        <v>0</v>
      </c>
      <c r="N78" s="69" t="str">
        <f>IFERROR(VLOOKUP('PRECIFICAÇÃO '!$J78,TAXA!$A$2:$C$18,3,FALSE),"")</f>
        <v/>
      </c>
      <c r="O78" s="70">
        <f t="shared" si="2"/>
        <v>0</v>
      </c>
      <c r="P78" s="70">
        <f>IFERROR('PRECIFICAÇÃO '!$H78-'PRECIFICAÇÃO '!$M78-'PRECIFICAÇÃO '!$O78,0)</f>
        <v>0</v>
      </c>
      <c r="Q78" s="71"/>
      <c r="R78" s="70">
        <f t="shared" si="3"/>
        <v>0</v>
      </c>
      <c r="S78" s="72">
        <f t="shared" si="12"/>
        <v>0</v>
      </c>
      <c r="T78" s="72"/>
      <c r="U78" s="72">
        <f t="shared" si="13"/>
        <v>0</v>
      </c>
      <c r="V78" s="73">
        <f>'PRECIFICAÇÃO '!$Q78+'PRECIFICAÇÃO '!$R78+'PRECIFICAÇÃO '!$S78+'PRECIFICAÇÃO '!$T78+'PRECIFICAÇÃO '!$U78</f>
        <v>0</v>
      </c>
      <c r="W78" s="74">
        <f t="shared" si="6"/>
        <v>0</v>
      </c>
      <c r="X78" s="73">
        <f t="shared" si="7"/>
        <v>0</v>
      </c>
      <c r="Y78" s="75">
        <f t="shared" si="8"/>
        <v>0</v>
      </c>
      <c r="Z78" s="73">
        <f t="shared" si="9"/>
        <v>0</v>
      </c>
      <c r="AA78" s="73">
        <f t="shared" si="10"/>
        <v>0</v>
      </c>
    </row>
    <row r="79" ht="15.75" customHeight="1">
      <c r="A79" s="78"/>
      <c r="B79" s="61"/>
      <c r="C79" s="79"/>
      <c r="D79" s="65"/>
      <c r="E79" s="80"/>
      <c r="F79" s="64" t="str">
        <f t="array" ref="F79">IFERROR(INDEX(PROCEDIMENTOS!$A$2:$A$48,MATCH('PRECIFICAÇÃO '!$E79,PROCEDIMENTOS!$B$2:$B$48,0)),"")</f>
        <v/>
      </c>
      <c r="G79" s="65" t="str">
        <f t="array" ref="G79">IFERROR(INDEX(PROCEDIMENTOS!$C$2:$C$48,MATCH('PRECIFICAÇÃO '!$E79,PROCEDIMENTOS!$B$2:$B$48,0)),"")</f>
        <v/>
      </c>
      <c r="H79" s="67"/>
      <c r="I79" s="67"/>
      <c r="J79" s="80"/>
      <c r="K79" s="68"/>
      <c r="L79" s="69" t="str">
        <f>IFERROR(VLOOKUP('PRECIFICAÇÃO '!$J79,TAXA!$A$2:$C$18,2,FALSE),"")</f>
        <v/>
      </c>
      <c r="M79" s="70">
        <f t="shared" si="1"/>
        <v>0</v>
      </c>
      <c r="N79" s="69" t="str">
        <f>IFERROR(VLOOKUP('PRECIFICAÇÃO '!$J79,TAXA!$A$2:$C$18,3,FALSE),"")</f>
        <v/>
      </c>
      <c r="O79" s="70">
        <f t="shared" si="2"/>
        <v>0</v>
      </c>
      <c r="P79" s="70">
        <f>IFERROR('PRECIFICAÇÃO '!$H79-'PRECIFICAÇÃO '!$M79-'PRECIFICAÇÃO '!$O79,0)</f>
        <v>0</v>
      </c>
      <c r="Q79" s="71" t="str">
        <f t="array" ref="Q79">IFERROR(INDEX(PROCEDIMENTOS!$D$2:$D$48,MATCH('PRECIFICAÇÃO '!$E79,PROCEDIMENTOS!$B$2:$B$48,0)),"")</f>
        <v/>
      </c>
      <c r="R79" s="70">
        <f t="shared" si="3"/>
        <v>0</v>
      </c>
      <c r="S79" s="72">
        <f t="shared" si="12"/>
        <v>0</v>
      </c>
      <c r="T79" s="72"/>
      <c r="U79" s="72">
        <f t="shared" si="13"/>
        <v>0</v>
      </c>
      <c r="V79" s="73">
        <f>'PRECIFICAÇÃO '!$Q79+'PRECIFICAÇÃO '!$R79+'PRECIFICAÇÃO '!$S79+'PRECIFICAÇÃO '!$T79+'PRECIFICAÇÃO '!$U79</f>
        <v>0</v>
      </c>
      <c r="W79" s="74">
        <f t="shared" si="6"/>
        <v>0</v>
      </c>
      <c r="X79" s="73">
        <f t="shared" si="7"/>
        <v>0</v>
      </c>
      <c r="Y79" s="75">
        <f t="shared" si="8"/>
        <v>0</v>
      </c>
      <c r="Z79" s="73">
        <f t="shared" si="9"/>
        <v>0</v>
      </c>
      <c r="AA79" s="73">
        <f t="shared" si="10"/>
        <v>0</v>
      </c>
    </row>
    <row r="80" ht="15.75" customHeight="1">
      <c r="A80" s="78"/>
      <c r="B80" s="61"/>
      <c r="C80" s="64"/>
      <c r="D80" s="81"/>
      <c r="E80" s="80"/>
      <c r="F80" s="64" t="str">
        <f t="array" ref="F80">IFERROR(INDEX(PROCEDIMENTOS!$A$2:$A$48,MATCH('PRECIFICAÇÃO '!$E80,PROCEDIMENTOS!$B$2:$B$48,0)),"")</f>
        <v/>
      </c>
      <c r="G80" s="65" t="str">
        <f t="array" ref="G80">IFERROR(INDEX(PROCEDIMENTOS!$C$2:$C$48,MATCH('PRECIFICAÇÃO '!$E80,PROCEDIMENTOS!$B$2:$B$48,0)),"")</f>
        <v/>
      </c>
      <c r="H80" s="67"/>
      <c r="I80" s="67"/>
      <c r="J80" s="80"/>
      <c r="K80" s="68"/>
      <c r="L80" s="69" t="str">
        <f>IFERROR(VLOOKUP('PRECIFICAÇÃO '!$J80,TAXA!$A$2:$C$18,2,FALSE),"")</f>
        <v/>
      </c>
      <c r="M80" s="70">
        <f t="shared" si="1"/>
        <v>0</v>
      </c>
      <c r="N80" s="69" t="str">
        <f>IFERROR(VLOOKUP('PRECIFICAÇÃO '!$J80,TAXA!$A$2:$C$18,3,FALSE),"")</f>
        <v/>
      </c>
      <c r="O80" s="70">
        <f t="shared" si="2"/>
        <v>0</v>
      </c>
      <c r="P80" s="70">
        <f>IFERROR('PRECIFICAÇÃO '!$H80-'PRECIFICAÇÃO '!$M80-'PRECIFICAÇÃO '!$O80,0)</f>
        <v>0</v>
      </c>
      <c r="Q80" s="71"/>
      <c r="R80" s="70">
        <f t="shared" si="3"/>
        <v>0</v>
      </c>
      <c r="S80" s="72">
        <f t="shared" si="12"/>
        <v>0</v>
      </c>
      <c r="T80" s="72"/>
      <c r="U80" s="72">
        <f t="shared" si="13"/>
        <v>0</v>
      </c>
      <c r="V80" s="73">
        <f>'PRECIFICAÇÃO '!$Q80+'PRECIFICAÇÃO '!$R80+'PRECIFICAÇÃO '!$S80+'PRECIFICAÇÃO '!$T80+'PRECIFICAÇÃO '!$U80</f>
        <v>0</v>
      </c>
      <c r="W80" s="74">
        <f t="shared" si="6"/>
        <v>0</v>
      </c>
      <c r="X80" s="73">
        <f t="shared" si="7"/>
        <v>0</v>
      </c>
      <c r="Y80" s="75">
        <f t="shared" si="8"/>
        <v>0</v>
      </c>
      <c r="Z80" s="73">
        <f t="shared" si="9"/>
        <v>0</v>
      </c>
      <c r="AA80" s="73">
        <f t="shared" si="10"/>
        <v>0</v>
      </c>
    </row>
    <row r="81" ht="15.75" customHeight="1">
      <c r="A81" s="78"/>
      <c r="B81" s="61"/>
      <c r="C81" s="79"/>
      <c r="D81" s="65"/>
      <c r="E81" s="80"/>
      <c r="F81" s="64" t="str">
        <f t="array" ref="F81">IFERROR(INDEX(PROCEDIMENTOS!$A$2:$A$48,MATCH('PRECIFICAÇÃO '!$E81,PROCEDIMENTOS!$B$2:$B$48,0)),"")</f>
        <v/>
      </c>
      <c r="G81" s="65" t="str">
        <f t="array" ref="G81">IFERROR(INDEX(PROCEDIMENTOS!$C$2:$C$48,MATCH('PRECIFICAÇÃO '!$E81,PROCEDIMENTOS!$B$2:$B$48,0)),"")</f>
        <v/>
      </c>
      <c r="H81" s="67"/>
      <c r="I81" s="67"/>
      <c r="J81" s="80"/>
      <c r="K81" s="68"/>
      <c r="L81" s="69" t="str">
        <f>IFERROR(VLOOKUP('PRECIFICAÇÃO '!$J81,TAXA!$A$2:$C$18,2,FALSE),"")</f>
        <v/>
      </c>
      <c r="M81" s="70">
        <f t="shared" si="1"/>
        <v>0</v>
      </c>
      <c r="N81" s="69" t="str">
        <f>IFERROR(VLOOKUP('PRECIFICAÇÃO '!$J81,TAXA!$A$2:$C$18,3,FALSE),"")</f>
        <v/>
      </c>
      <c r="O81" s="70">
        <f t="shared" si="2"/>
        <v>0</v>
      </c>
      <c r="P81" s="70">
        <f>IFERROR('PRECIFICAÇÃO '!$H81-'PRECIFICAÇÃO '!$M81-'PRECIFICAÇÃO '!$O81,0)</f>
        <v>0</v>
      </c>
      <c r="Q81" s="71" t="str">
        <f t="array" ref="Q81">IFERROR(INDEX(PROCEDIMENTOS!$D$2:$D$48,MATCH('PRECIFICAÇÃO '!$E81,PROCEDIMENTOS!$B$2:$B$48,0)),"")</f>
        <v/>
      </c>
      <c r="R81" s="70">
        <f t="shared" si="3"/>
        <v>0</v>
      </c>
      <c r="S81" s="72">
        <f t="shared" si="12"/>
        <v>0</v>
      </c>
      <c r="T81" s="72"/>
      <c r="U81" s="72">
        <f t="shared" si="13"/>
        <v>0</v>
      </c>
      <c r="V81" s="73">
        <f>'PRECIFICAÇÃO '!$Q81+'PRECIFICAÇÃO '!$R81+'PRECIFICAÇÃO '!$S81+'PRECIFICAÇÃO '!$T81+'PRECIFICAÇÃO '!$U81</f>
        <v>0</v>
      </c>
      <c r="W81" s="74">
        <f t="shared" si="6"/>
        <v>0</v>
      </c>
      <c r="X81" s="73">
        <f t="shared" si="7"/>
        <v>0</v>
      </c>
      <c r="Y81" s="75">
        <f t="shared" si="8"/>
        <v>0</v>
      </c>
      <c r="Z81" s="73">
        <f t="shared" si="9"/>
        <v>0</v>
      </c>
      <c r="AA81" s="73">
        <f t="shared" si="10"/>
        <v>0</v>
      </c>
    </row>
    <row r="82" ht="15.75" customHeight="1">
      <c r="A82" s="78"/>
      <c r="B82" s="61"/>
      <c r="C82" s="79"/>
      <c r="D82" s="65"/>
      <c r="E82" s="80"/>
      <c r="F82" s="64" t="str">
        <f t="array" ref="F82">IFERROR(INDEX(PROCEDIMENTOS!$A$2:$A$48,MATCH('PRECIFICAÇÃO '!$E82,PROCEDIMENTOS!$B$2:$B$48,0)),"")</f>
        <v/>
      </c>
      <c r="G82" s="65" t="str">
        <f t="array" ref="G82">IFERROR(INDEX(PROCEDIMENTOS!$C$2:$C$48,MATCH('PRECIFICAÇÃO '!$E82,PROCEDIMENTOS!$B$2:$B$48,0)),"")</f>
        <v/>
      </c>
      <c r="H82" s="67"/>
      <c r="I82" s="67"/>
      <c r="J82" s="80"/>
      <c r="K82" s="68"/>
      <c r="L82" s="69" t="str">
        <f>IFERROR(VLOOKUP('PRECIFICAÇÃO '!$J82,TAXA!$A$2:$C$18,2,FALSE),"")</f>
        <v/>
      </c>
      <c r="M82" s="70">
        <f t="shared" si="1"/>
        <v>0</v>
      </c>
      <c r="N82" s="69" t="str">
        <f>IFERROR(VLOOKUP('PRECIFICAÇÃO '!$J82,TAXA!$A$2:$C$18,3,FALSE),"")</f>
        <v/>
      </c>
      <c r="O82" s="70">
        <f t="shared" si="2"/>
        <v>0</v>
      </c>
      <c r="P82" s="70">
        <f>IFERROR('PRECIFICAÇÃO '!$H82-'PRECIFICAÇÃO '!$M82-'PRECIFICAÇÃO '!$O82,0)</f>
        <v>0</v>
      </c>
      <c r="Q82" s="71" t="str">
        <f t="array" ref="Q82">IFERROR(INDEX(PROCEDIMENTOS!$D$2:$D$48,MATCH('PRECIFICAÇÃO '!$E82,PROCEDIMENTOS!$B$2:$B$48,0)),"")</f>
        <v/>
      </c>
      <c r="R82" s="70">
        <f t="shared" si="3"/>
        <v>0</v>
      </c>
      <c r="S82" s="72">
        <f t="shared" si="12"/>
        <v>0</v>
      </c>
      <c r="T82" s="72"/>
      <c r="U82" s="72">
        <f t="shared" si="13"/>
        <v>0</v>
      </c>
      <c r="V82" s="73">
        <f>'PRECIFICAÇÃO '!$Q82+'PRECIFICAÇÃO '!$R82+'PRECIFICAÇÃO '!$S82+'PRECIFICAÇÃO '!$T82+'PRECIFICAÇÃO '!$U82</f>
        <v>0</v>
      </c>
      <c r="W82" s="74">
        <f t="shared" si="6"/>
        <v>0</v>
      </c>
      <c r="X82" s="73">
        <f t="shared" si="7"/>
        <v>0</v>
      </c>
      <c r="Y82" s="75">
        <f t="shared" si="8"/>
        <v>0</v>
      </c>
      <c r="Z82" s="73">
        <f t="shared" si="9"/>
        <v>0</v>
      </c>
      <c r="AA82" s="73">
        <f t="shared" si="10"/>
        <v>0</v>
      </c>
    </row>
    <row r="83" ht="15.75" customHeight="1">
      <c r="A83" s="78"/>
      <c r="B83" s="61"/>
      <c r="C83" s="79"/>
      <c r="D83" s="65"/>
      <c r="E83" s="80"/>
      <c r="F83" s="64" t="str">
        <f t="array" ref="F83">IFERROR(INDEX(PROCEDIMENTOS!$A$2:$A$48,MATCH('PRECIFICAÇÃO '!$E83,PROCEDIMENTOS!$B$2:$B$48,0)),"")</f>
        <v/>
      </c>
      <c r="G83" s="65" t="str">
        <f t="array" ref="G83">IFERROR(INDEX(PROCEDIMENTOS!$C$2:$C$48,MATCH('PRECIFICAÇÃO '!$E83,PROCEDIMENTOS!$B$2:$B$48,0)),"")</f>
        <v/>
      </c>
      <c r="H83" s="67"/>
      <c r="I83" s="67"/>
      <c r="J83" s="80"/>
      <c r="K83" s="68"/>
      <c r="L83" s="69" t="str">
        <f>IFERROR(VLOOKUP('PRECIFICAÇÃO '!$J83,TAXA!$A$2:$C$18,2,FALSE),"")</f>
        <v/>
      </c>
      <c r="M83" s="70">
        <f t="shared" si="1"/>
        <v>0</v>
      </c>
      <c r="N83" s="69" t="str">
        <f>IFERROR(VLOOKUP('PRECIFICAÇÃO '!$J83,TAXA!$A$2:$C$18,3,FALSE),"")</f>
        <v/>
      </c>
      <c r="O83" s="70">
        <f t="shared" si="2"/>
        <v>0</v>
      </c>
      <c r="P83" s="70">
        <f>IFERROR('PRECIFICAÇÃO '!$H83-'PRECIFICAÇÃO '!$M83-'PRECIFICAÇÃO '!$O83,0)</f>
        <v>0</v>
      </c>
      <c r="Q83" s="71" t="str">
        <f t="array" ref="Q83">IFERROR(INDEX(PROCEDIMENTOS!$D$2:$D$48,MATCH('PRECIFICAÇÃO '!$E83,PROCEDIMENTOS!$B$2:$B$48,0)),"")</f>
        <v/>
      </c>
      <c r="R83" s="70">
        <f t="shared" si="3"/>
        <v>0</v>
      </c>
      <c r="S83" s="72">
        <f t="shared" si="12"/>
        <v>0</v>
      </c>
      <c r="T83" s="72"/>
      <c r="U83" s="72">
        <f t="shared" si="13"/>
        <v>0</v>
      </c>
      <c r="V83" s="73">
        <f>'PRECIFICAÇÃO '!$Q83+'PRECIFICAÇÃO '!$R83+'PRECIFICAÇÃO '!$S83+'PRECIFICAÇÃO '!$T83+'PRECIFICAÇÃO '!$U83</f>
        <v>0</v>
      </c>
      <c r="W83" s="74">
        <f t="shared" si="6"/>
        <v>0</v>
      </c>
      <c r="X83" s="73">
        <f t="shared" si="7"/>
        <v>0</v>
      </c>
      <c r="Y83" s="75">
        <f t="shared" si="8"/>
        <v>0</v>
      </c>
      <c r="Z83" s="73">
        <f t="shared" si="9"/>
        <v>0</v>
      </c>
      <c r="AA83" s="73">
        <f t="shared" si="10"/>
        <v>0</v>
      </c>
    </row>
    <row r="84" ht="15.75" customHeight="1">
      <c r="A84" s="78"/>
      <c r="B84" s="61"/>
      <c r="C84" s="79"/>
      <c r="D84" s="65"/>
      <c r="E84" s="80"/>
      <c r="F84" s="64" t="str">
        <f t="array" ref="F84">IFERROR(INDEX(PROCEDIMENTOS!$A$2:$A$48,MATCH('PRECIFICAÇÃO '!$E84,PROCEDIMENTOS!$B$2:$B$48,0)),"")</f>
        <v/>
      </c>
      <c r="G84" s="65" t="str">
        <f t="array" ref="G84">IFERROR(INDEX(PROCEDIMENTOS!$C$2:$C$48,MATCH('PRECIFICAÇÃO '!$E84,PROCEDIMENTOS!$B$2:$B$48,0)),"")</f>
        <v/>
      </c>
      <c r="H84" s="67"/>
      <c r="I84" s="67"/>
      <c r="J84" s="80"/>
      <c r="K84" s="68"/>
      <c r="L84" s="69" t="str">
        <f>IFERROR(VLOOKUP('PRECIFICAÇÃO '!$J84,TAXA!$A$2:$C$18,2,FALSE),"")</f>
        <v/>
      </c>
      <c r="M84" s="70">
        <f t="shared" si="1"/>
        <v>0</v>
      </c>
      <c r="N84" s="69" t="str">
        <f>IFERROR(VLOOKUP('PRECIFICAÇÃO '!$J84,TAXA!$A$2:$C$18,3,FALSE),"")</f>
        <v/>
      </c>
      <c r="O84" s="70">
        <f t="shared" si="2"/>
        <v>0</v>
      </c>
      <c r="P84" s="70">
        <f>IFERROR('PRECIFICAÇÃO '!$H84-'PRECIFICAÇÃO '!$M84-'PRECIFICAÇÃO '!$O84,0)</f>
        <v>0</v>
      </c>
      <c r="Q84" s="71"/>
      <c r="R84" s="70">
        <f t="shared" si="3"/>
        <v>0</v>
      </c>
      <c r="S84" s="72">
        <f t="shared" si="12"/>
        <v>0</v>
      </c>
      <c r="T84" s="72"/>
      <c r="U84" s="72">
        <f t="shared" si="13"/>
        <v>0</v>
      </c>
      <c r="V84" s="73">
        <f>'PRECIFICAÇÃO '!$Q84+'PRECIFICAÇÃO '!$R84+'PRECIFICAÇÃO '!$S84+'PRECIFICAÇÃO '!$T84+'PRECIFICAÇÃO '!$U84</f>
        <v>0</v>
      </c>
      <c r="W84" s="74">
        <f t="shared" si="6"/>
        <v>0</v>
      </c>
      <c r="X84" s="73">
        <f t="shared" si="7"/>
        <v>0</v>
      </c>
      <c r="Y84" s="75">
        <f t="shared" si="8"/>
        <v>0</v>
      </c>
      <c r="Z84" s="73">
        <f t="shared" si="9"/>
        <v>0</v>
      </c>
      <c r="AA84" s="73">
        <f t="shared" si="10"/>
        <v>0</v>
      </c>
    </row>
    <row r="85" ht="15.75" customHeight="1">
      <c r="A85" s="78"/>
      <c r="B85" s="61"/>
      <c r="C85" s="79"/>
      <c r="D85" s="65"/>
      <c r="E85" s="80"/>
      <c r="F85" s="64" t="str">
        <f t="array" ref="F85">IFERROR(INDEX(PROCEDIMENTOS!$A$2:$A$48,MATCH('PRECIFICAÇÃO '!$E85,PROCEDIMENTOS!$B$2:$B$48,0)),"")</f>
        <v/>
      </c>
      <c r="G85" s="65" t="str">
        <f t="array" ref="G85">IFERROR(INDEX(PROCEDIMENTOS!$C$2:$C$48,MATCH('PRECIFICAÇÃO '!$E85,PROCEDIMENTOS!$B$2:$B$48,0)),"")</f>
        <v/>
      </c>
      <c r="H85" s="67"/>
      <c r="I85" s="67"/>
      <c r="J85" s="80"/>
      <c r="K85" s="68"/>
      <c r="L85" s="69" t="str">
        <f>IFERROR(VLOOKUP('PRECIFICAÇÃO '!$J85,TAXA!$A$2:$C$18,2,FALSE),"")</f>
        <v/>
      </c>
      <c r="M85" s="70">
        <f t="shared" si="1"/>
        <v>0</v>
      </c>
      <c r="N85" s="69" t="str">
        <f>IFERROR(VLOOKUP('PRECIFICAÇÃO '!$J85,TAXA!$A$2:$C$18,3,FALSE),"")</f>
        <v/>
      </c>
      <c r="O85" s="70">
        <f t="shared" si="2"/>
        <v>0</v>
      </c>
      <c r="P85" s="70">
        <f>IFERROR('PRECIFICAÇÃO '!$H85-'PRECIFICAÇÃO '!$M85-'PRECIFICAÇÃO '!$O85,0)</f>
        <v>0</v>
      </c>
      <c r="Q85" s="71" t="str">
        <f t="array" ref="Q85">IFERROR(INDEX(PROCEDIMENTOS!$D$2:$D$48,MATCH('PRECIFICAÇÃO '!$E85,PROCEDIMENTOS!$B$2:$B$48,0)),"")</f>
        <v/>
      </c>
      <c r="R85" s="70">
        <f t="shared" si="3"/>
        <v>0</v>
      </c>
      <c r="S85" s="72">
        <f t="shared" si="12"/>
        <v>0</v>
      </c>
      <c r="T85" s="72"/>
      <c r="U85" s="72">
        <f t="shared" si="13"/>
        <v>0</v>
      </c>
      <c r="V85" s="73">
        <f>'PRECIFICAÇÃO '!$Q85+'PRECIFICAÇÃO '!$R85+'PRECIFICAÇÃO '!$S85+'PRECIFICAÇÃO '!$T85+'PRECIFICAÇÃO '!$U85</f>
        <v>0</v>
      </c>
      <c r="W85" s="74">
        <f t="shared" si="6"/>
        <v>0</v>
      </c>
      <c r="X85" s="73">
        <f t="shared" si="7"/>
        <v>0</v>
      </c>
      <c r="Y85" s="75">
        <f t="shared" si="8"/>
        <v>0</v>
      </c>
      <c r="Z85" s="73">
        <f t="shared" si="9"/>
        <v>0</v>
      </c>
      <c r="AA85" s="73">
        <f t="shared" si="10"/>
        <v>0</v>
      </c>
    </row>
    <row r="86" ht="15.75" customHeight="1">
      <c r="A86" s="78"/>
      <c r="B86" s="61"/>
      <c r="C86" s="79"/>
      <c r="D86" s="65"/>
      <c r="E86" s="80"/>
      <c r="F86" s="64" t="str">
        <f t="array" ref="F86">IFERROR(INDEX(PROCEDIMENTOS!$A$2:$A$48,MATCH('PRECIFICAÇÃO '!$E86,PROCEDIMENTOS!$B$2:$B$48,0)),"")</f>
        <v/>
      </c>
      <c r="G86" s="65" t="str">
        <f t="array" ref="G86">IFERROR(INDEX(PROCEDIMENTOS!$C$2:$C$48,MATCH('PRECIFICAÇÃO '!$E86,PROCEDIMENTOS!$B$2:$B$48,0)),"")</f>
        <v/>
      </c>
      <c r="H86" s="67"/>
      <c r="I86" s="67"/>
      <c r="J86" s="80"/>
      <c r="K86" s="68"/>
      <c r="L86" s="69" t="str">
        <f>IFERROR(VLOOKUP('PRECIFICAÇÃO '!$J86,TAXA!$A$2:$C$18,2,FALSE),"")</f>
        <v/>
      </c>
      <c r="M86" s="70">
        <f t="shared" si="1"/>
        <v>0</v>
      </c>
      <c r="N86" s="69" t="str">
        <f>IFERROR(VLOOKUP('PRECIFICAÇÃO '!$J86,TAXA!$A$2:$C$18,3,FALSE),"")</f>
        <v/>
      </c>
      <c r="O86" s="70">
        <f t="shared" si="2"/>
        <v>0</v>
      </c>
      <c r="P86" s="70">
        <f>IFERROR('PRECIFICAÇÃO '!$H86-'PRECIFICAÇÃO '!$M86-'PRECIFICAÇÃO '!$O86,0)</f>
        <v>0</v>
      </c>
      <c r="Q86" s="71" t="str">
        <f t="array" ref="Q86">IFERROR(INDEX(PROCEDIMENTOS!$D$2:$D$48,MATCH('PRECIFICAÇÃO '!$E86,PROCEDIMENTOS!$B$2:$B$48,0)),"")</f>
        <v/>
      </c>
      <c r="R86" s="70">
        <f t="shared" si="3"/>
        <v>0</v>
      </c>
      <c r="S86" s="72">
        <f t="shared" si="12"/>
        <v>0</v>
      </c>
      <c r="T86" s="72"/>
      <c r="U86" s="72">
        <f t="shared" si="13"/>
        <v>0</v>
      </c>
      <c r="V86" s="73">
        <f>'PRECIFICAÇÃO '!$Q86+'PRECIFICAÇÃO '!$R86+'PRECIFICAÇÃO '!$S86+'PRECIFICAÇÃO '!$T86+'PRECIFICAÇÃO '!$U86</f>
        <v>0</v>
      </c>
      <c r="W86" s="74">
        <f t="shared" si="6"/>
        <v>0</v>
      </c>
      <c r="X86" s="73">
        <f t="shared" si="7"/>
        <v>0</v>
      </c>
      <c r="Y86" s="75">
        <f t="shared" si="8"/>
        <v>0</v>
      </c>
      <c r="Z86" s="73">
        <f t="shared" si="9"/>
        <v>0</v>
      </c>
      <c r="AA86" s="73">
        <f t="shared" si="10"/>
        <v>0</v>
      </c>
    </row>
    <row r="87" ht="15.75" customHeight="1">
      <c r="A87" s="78"/>
      <c r="B87" s="61"/>
      <c r="C87" s="79"/>
      <c r="D87" s="65"/>
      <c r="E87" s="80"/>
      <c r="F87" s="64" t="str">
        <f t="array" ref="F87">IFERROR(INDEX(PROCEDIMENTOS!$A$2:$A$48,MATCH('PRECIFICAÇÃO '!$E87,PROCEDIMENTOS!$B$2:$B$48,0)),"")</f>
        <v/>
      </c>
      <c r="G87" s="65" t="str">
        <f t="array" ref="G87">IFERROR(INDEX(PROCEDIMENTOS!$C$2:$C$48,MATCH('PRECIFICAÇÃO '!$E87,PROCEDIMENTOS!$B$2:$B$48,0)),"")</f>
        <v/>
      </c>
      <c r="H87" s="67"/>
      <c r="I87" s="67"/>
      <c r="J87" s="80"/>
      <c r="K87" s="68"/>
      <c r="L87" s="69" t="str">
        <f>IFERROR(VLOOKUP('PRECIFICAÇÃO '!$J87,TAXA!$A$2:$C$18,2,FALSE),"")</f>
        <v/>
      </c>
      <c r="M87" s="70">
        <f t="shared" si="1"/>
        <v>0</v>
      </c>
      <c r="N87" s="69" t="str">
        <f>IFERROR(VLOOKUP('PRECIFICAÇÃO '!$J87,TAXA!$A$2:$C$18,3,FALSE),"")</f>
        <v/>
      </c>
      <c r="O87" s="70">
        <f t="shared" si="2"/>
        <v>0</v>
      </c>
      <c r="P87" s="70">
        <f>IFERROR('PRECIFICAÇÃO '!$H87-'PRECIFICAÇÃO '!$M87-'PRECIFICAÇÃO '!$O87,0)</f>
        <v>0</v>
      </c>
      <c r="Q87" s="71" t="str">
        <f t="array" ref="Q87">IFERROR(INDEX(PROCEDIMENTOS!$D$2:$D$48,MATCH('PRECIFICAÇÃO '!$E87,PROCEDIMENTOS!$B$2:$B$48,0)),"")</f>
        <v/>
      </c>
      <c r="R87" s="70">
        <f t="shared" si="3"/>
        <v>0</v>
      </c>
      <c r="S87" s="72">
        <f t="shared" si="12"/>
        <v>0</v>
      </c>
      <c r="T87" s="72"/>
      <c r="U87" s="72">
        <f t="shared" si="13"/>
        <v>0</v>
      </c>
      <c r="V87" s="73">
        <f>'PRECIFICAÇÃO '!$Q87+'PRECIFICAÇÃO '!$R87+'PRECIFICAÇÃO '!$S87+'PRECIFICAÇÃO '!$T87+'PRECIFICAÇÃO '!$U87</f>
        <v>0</v>
      </c>
      <c r="W87" s="74">
        <f t="shared" si="6"/>
        <v>0</v>
      </c>
      <c r="X87" s="73">
        <f t="shared" si="7"/>
        <v>0</v>
      </c>
      <c r="Y87" s="75">
        <f t="shared" si="8"/>
        <v>0</v>
      </c>
      <c r="Z87" s="73">
        <f t="shared" si="9"/>
        <v>0</v>
      </c>
      <c r="AA87" s="73">
        <f t="shared" si="10"/>
        <v>0</v>
      </c>
    </row>
    <row r="88" ht="15.75" customHeight="1">
      <c r="A88" s="78"/>
      <c r="B88" s="61"/>
      <c r="C88" s="79"/>
      <c r="D88" s="65"/>
      <c r="E88" s="80"/>
      <c r="F88" s="64" t="str">
        <f t="array" ref="F88">IFERROR(INDEX(PROCEDIMENTOS!$A$2:$A$48,MATCH('PRECIFICAÇÃO '!$E88,PROCEDIMENTOS!$B$2:$B$48,0)),"")</f>
        <v/>
      </c>
      <c r="G88" s="65" t="str">
        <f t="array" ref="G88">IFERROR(INDEX(PROCEDIMENTOS!$C$2:$C$48,MATCH('PRECIFICAÇÃO '!$E88,PROCEDIMENTOS!$B$2:$B$48,0)),"")</f>
        <v/>
      </c>
      <c r="H88" s="67"/>
      <c r="I88" s="67"/>
      <c r="J88" s="80"/>
      <c r="K88" s="68"/>
      <c r="L88" s="69" t="str">
        <f>IFERROR(VLOOKUP('PRECIFICAÇÃO '!$J88,TAXA!$A$2:$C$18,2,FALSE),"")</f>
        <v/>
      </c>
      <c r="M88" s="70">
        <f t="shared" si="1"/>
        <v>0</v>
      </c>
      <c r="N88" s="69" t="str">
        <f>IFERROR(VLOOKUP('PRECIFICAÇÃO '!$J88,TAXA!$A$2:$C$18,3,FALSE),"")</f>
        <v/>
      </c>
      <c r="O88" s="70">
        <f t="shared" si="2"/>
        <v>0</v>
      </c>
      <c r="P88" s="70">
        <f>IFERROR('PRECIFICAÇÃO '!$H88-'PRECIFICAÇÃO '!$M88-'PRECIFICAÇÃO '!$O88,0)</f>
        <v>0</v>
      </c>
      <c r="Q88" s="71" t="str">
        <f t="array" ref="Q88">IFERROR(INDEX(PROCEDIMENTOS!$D$2:$D$48,MATCH('PRECIFICAÇÃO '!$E88,PROCEDIMENTOS!$B$2:$B$48,0)),"")</f>
        <v/>
      </c>
      <c r="R88" s="70">
        <f t="shared" si="3"/>
        <v>0</v>
      </c>
      <c r="S88" s="72">
        <f t="shared" si="12"/>
        <v>0</v>
      </c>
      <c r="T88" s="72"/>
      <c r="U88" s="72">
        <f t="shared" si="13"/>
        <v>0</v>
      </c>
      <c r="V88" s="73">
        <f>'PRECIFICAÇÃO '!$Q88+'PRECIFICAÇÃO '!$R88+'PRECIFICAÇÃO '!$S88+'PRECIFICAÇÃO '!$T88+'PRECIFICAÇÃO '!$U88</f>
        <v>0</v>
      </c>
      <c r="W88" s="74">
        <f t="shared" si="6"/>
        <v>0</v>
      </c>
      <c r="X88" s="73">
        <f t="shared" si="7"/>
        <v>0</v>
      </c>
      <c r="Y88" s="75">
        <f t="shared" si="8"/>
        <v>0</v>
      </c>
      <c r="Z88" s="73">
        <f t="shared" si="9"/>
        <v>0</v>
      </c>
      <c r="AA88" s="73">
        <f t="shared" si="10"/>
        <v>0</v>
      </c>
    </row>
    <row r="89" ht="15.75" customHeight="1">
      <c r="A89" s="78"/>
      <c r="B89" s="61"/>
      <c r="C89" s="79"/>
      <c r="D89" s="65"/>
      <c r="E89" s="80"/>
      <c r="F89" s="64" t="str">
        <f t="array" ref="F89">IFERROR(INDEX(PROCEDIMENTOS!$A$2:$A$48,MATCH('PRECIFICAÇÃO '!$E89,PROCEDIMENTOS!$B$2:$B$48,0)),"")</f>
        <v/>
      </c>
      <c r="G89" s="65" t="str">
        <f t="array" ref="G89">IFERROR(INDEX(PROCEDIMENTOS!$C$2:$C$48,MATCH('PRECIFICAÇÃO '!$E89,PROCEDIMENTOS!$B$2:$B$48,0)),"")</f>
        <v/>
      </c>
      <c r="H89" s="67"/>
      <c r="I89" s="67"/>
      <c r="J89" s="80"/>
      <c r="K89" s="68"/>
      <c r="L89" s="69" t="str">
        <f>IFERROR(VLOOKUP('PRECIFICAÇÃO '!$J89,TAXA!$A$2:$C$18,2,FALSE),"")</f>
        <v/>
      </c>
      <c r="M89" s="70">
        <f t="shared" si="1"/>
        <v>0</v>
      </c>
      <c r="N89" s="69" t="str">
        <f>IFERROR(VLOOKUP('PRECIFICAÇÃO '!$J89,TAXA!$A$2:$C$18,3,FALSE),"")</f>
        <v/>
      </c>
      <c r="O89" s="70">
        <f t="shared" si="2"/>
        <v>0</v>
      </c>
      <c r="P89" s="70">
        <f>IFERROR('PRECIFICAÇÃO '!$H89-'PRECIFICAÇÃO '!$M89-'PRECIFICAÇÃO '!$O89,0)</f>
        <v>0</v>
      </c>
      <c r="Q89" s="71"/>
      <c r="R89" s="70">
        <f t="shared" si="3"/>
        <v>0</v>
      </c>
      <c r="S89" s="72">
        <f t="shared" si="12"/>
        <v>0</v>
      </c>
      <c r="T89" s="72"/>
      <c r="U89" s="72">
        <f t="shared" si="13"/>
        <v>0</v>
      </c>
      <c r="V89" s="73">
        <f>'PRECIFICAÇÃO '!$Q89+'PRECIFICAÇÃO '!$R89+'PRECIFICAÇÃO '!$S89+'PRECIFICAÇÃO '!$T89+'PRECIFICAÇÃO '!$U89</f>
        <v>0</v>
      </c>
      <c r="W89" s="74">
        <f t="shared" si="6"/>
        <v>0</v>
      </c>
      <c r="X89" s="73">
        <f t="shared" si="7"/>
        <v>0</v>
      </c>
      <c r="Y89" s="75">
        <f t="shared" si="8"/>
        <v>0</v>
      </c>
      <c r="Z89" s="73">
        <f t="shared" si="9"/>
        <v>0</v>
      </c>
      <c r="AA89" s="73">
        <f t="shared" si="10"/>
        <v>0</v>
      </c>
    </row>
    <row r="90" ht="15.75" customHeight="1">
      <c r="A90" s="78"/>
      <c r="B90" s="61"/>
      <c r="C90" s="79"/>
      <c r="D90" s="65"/>
      <c r="E90" s="80"/>
      <c r="F90" s="64" t="str">
        <f t="array" ref="F90">IFERROR(INDEX(PROCEDIMENTOS!$A$2:$A$48,MATCH('PRECIFICAÇÃO '!$E90,PROCEDIMENTOS!$B$2:$B$48,0)),"")</f>
        <v/>
      </c>
      <c r="G90" s="65" t="str">
        <f t="array" ref="G90">IFERROR(INDEX(PROCEDIMENTOS!$C$2:$C$48,MATCH('PRECIFICAÇÃO '!$E90,PROCEDIMENTOS!$B$2:$B$48,0)),"")</f>
        <v/>
      </c>
      <c r="H90" s="67"/>
      <c r="I90" s="67"/>
      <c r="J90" s="80"/>
      <c r="K90" s="68"/>
      <c r="L90" s="69" t="str">
        <f>IFERROR(VLOOKUP('PRECIFICAÇÃO '!$J90,TAXA!$A$2:$C$18,2,FALSE),"")</f>
        <v/>
      </c>
      <c r="M90" s="70">
        <f t="shared" si="1"/>
        <v>0</v>
      </c>
      <c r="N90" s="69" t="str">
        <f>IFERROR(VLOOKUP('PRECIFICAÇÃO '!$J90,TAXA!$A$2:$C$18,3,FALSE),"")</f>
        <v/>
      </c>
      <c r="O90" s="70">
        <f t="shared" si="2"/>
        <v>0</v>
      </c>
      <c r="P90" s="70">
        <f>IFERROR('PRECIFICAÇÃO '!$H90-'PRECIFICAÇÃO '!$M90-'PRECIFICAÇÃO '!$O90,0)</f>
        <v>0</v>
      </c>
      <c r="Q90" s="71" t="str">
        <f t="array" ref="Q90">IFERROR(INDEX(PROCEDIMENTOS!$D$2:$D$48,MATCH('PRECIFICAÇÃO '!$E90,PROCEDIMENTOS!$B$2:$B$48,0)),"")</f>
        <v/>
      </c>
      <c r="R90" s="70">
        <f t="shared" si="3"/>
        <v>0</v>
      </c>
      <c r="S90" s="72">
        <f t="shared" si="12"/>
        <v>0</v>
      </c>
      <c r="T90" s="72"/>
      <c r="U90" s="72">
        <f t="shared" si="13"/>
        <v>0</v>
      </c>
      <c r="V90" s="73">
        <f>'PRECIFICAÇÃO '!$Q90+'PRECIFICAÇÃO '!$R90+'PRECIFICAÇÃO '!$S90+'PRECIFICAÇÃO '!$T90+'PRECIFICAÇÃO '!$U90</f>
        <v>0</v>
      </c>
      <c r="W90" s="74">
        <f t="shared" si="6"/>
        <v>0</v>
      </c>
      <c r="X90" s="73">
        <f t="shared" si="7"/>
        <v>0</v>
      </c>
      <c r="Y90" s="75">
        <f t="shared" si="8"/>
        <v>0</v>
      </c>
      <c r="Z90" s="73">
        <f t="shared" si="9"/>
        <v>0</v>
      </c>
      <c r="AA90" s="73">
        <f t="shared" si="10"/>
        <v>0</v>
      </c>
    </row>
    <row r="91" ht="15.75" customHeight="1">
      <c r="A91" s="78"/>
      <c r="B91" s="61"/>
      <c r="C91" s="79"/>
      <c r="D91" s="65"/>
      <c r="E91" s="80"/>
      <c r="F91" s="64" t="str">
        <f t="array" ref="F91">IFERROR(INDEX(PROCEDIMENTOS!$A$2:$A$48,MATCH('PRECIFICAÇÃO '!$E91,PROCEDIMENTOS!$B$2:$B$48,0)),"")</f>
        <v/>
      </c>
      <c r="G91" s="65" t="str">
        <f t="array" ref="G91">IFERROR(INDEX(PROCEDIMENTOS!$C$2:$C$48,MATCH('PRECIFICAÇÃO '!$E91,PROCEDIMENTOS!$B$2:$B$48,0)),"")</f>
        <v/>
      </c>
      <c r="H91" s="67"/>
      <c r="I91" s="67"/>
      <c r="J91" s="80"/>
      <c r="K91" s="68"/>
      <c r="L91" s="69" t="str">
        <f>IFERROR(VLOOKUP('PRECIFICAÇÃO '!$J91,TAXA!$A$2:$C$18,2,FALSE),"")</f>
        <v/>
      </c>
      <c r="M91" s="70">
        <f t="shared" si="1"/>
        <v>0</v>
      </c>
      <c r="N91" s="69" t="str">
        <f>IFERROR(VLOOKUP('PRECIFICAÇÃO '!$J91,TAXA!$A$2:$C$18,3,FALSE),"")</f>
        <v/>
      </c>
      <c r="O91" s="70">
        <f t="shared" si="2"/>
        <v>0</v>
      </c>
      <c r="P91" s="70">
        <f>IFERROR('PRECIFICAÇÃO '!$H91-'PRECIFICAÇÃO '!$M91-'PRECIFICAÇÃO '!$O91,0)</f>
        <v>0</v>
      </c>
      <c r="Q91" s="71" t="str">
        <f t="array" ref="Q91">IFERROR(INDEX(PROCEDIMENTOS!$D$2:$D$48,MATCH('PRECIFICAÇÃO '!$E91,PROCEDIMENTOS!$B$2:$B$48,0)),"")</f>
        <v/>
      </c>
      <c r="R91" s="70">
        <f t="shared" si="3"/>
        <v>0</v>
      </c>
      <c r="S91" s="72">
        <f t="shared" si="12"/>
        <v>0</v>
      </c>
      <c r="T91" s="72"/>
      <c r="U91" s="72">
        <f t="shared" si="13"/>
        <v>0</v>
      </c>
      <c r="V91" s="73">
        <f>'PRECIFICAÇÃO '!$Q91+'PRECIFICAÇÃO '!$R91+'PRECIFICAÇÃO '!$S91+'PRECIFICAÇÃO '!$T91+'PRECIFICAÇÃO '!$U91</f>
        <v>0</v>
      </c>
      <c r="W91" s="74">
        <f t="shared" si="6"/>
        <v>0</v>
      </c>
      <c r="X91" s="73">
        <f t="shared" si="7"/>
        <v>0</v>
      </c>
      <c r="Y91" s="75">
        <f t="shared" si="8"/>
        <v>0</v>
      </c>
      <c r="Z91" s="73">
        <f t="shared" si="9"/>
        <v>0</v>
      </c>
      <c r="AA91" s="73">
        <f t="shared" si="10"/>
        <v>0</v>
      </c>
    </row>
    <row r="92" ht="15.75" customHeight="1">
      <c r="A92" s="78"/>
      <c r="B92" s="61"/>
      <c r="C92" s="79"/>
      <c r="D92" s="65"/>
      <c r="E92" s="80"/>
      <c r="F92" s="64" t="str">
        <f t="array" ref="F92">IFERROR(INDEX(PROCEDIMENTOS!$A$2:$A$48,MATCH('PRECIFICAÇÃO '!$E92,PROCEDIMENTOS!$B$2:$B$48,0)),"")</f>
        <v/>
      </c>
      <c r="G92" s="65" t="str">
        <f t="array" ref="G92">IFERROR(INDEX(PROCEDIMENTOS!$C$2:$C$48,MATCH('PRECIFICAÇÃO '!$E92,PROCEDIMENTOS!$B$2:$B$48,0)),"")</f>
        <v/>
      </c>
      <c r="H92" s="67"/>
      <c r="I92" s="67"/>
      <c r="J92" s="80"/>
      <c r="K92" s="68"/>
      <c r="L92" s="69" t="str">
        <f>IFERROR(VLOOKUP('PRECIFICAÇÃO '!$J92,TAXA!$A$2:$C$18,2,FALSE),"")</f>
        <v/>
      </c>
      <c r="M92" s="70">
        <f t="shared" si="1"/>
        <v>0</v>
      </c>
      <c r="N92" s="69" t="str">
        <f>IFERROR(VLOOKUP('PRECIFICAÇÃO '!$J92,TAXA!$A$2:$C$18,3,FALSE),"")</f>
        <v/>
      </c>
      <c r="O92" s="70">
        <f t="shared" si="2"/>
        <v>0</v>
      </c>
      <c r="P92" s="70">
        <f>IFERROR('PRECIFICAÇÃO '!$H92-'PRECIFICAÇÃO '!$M92-'PRECIFICAÇÃO '!$O92,0)</f>
        <v>0</v>
      </c>
      <c r="Q92" s="71" t="str">
        <f t="array" ref="Q92">IFERROR(INDEX(PROCEDIMENTOS!$D$2:$D$48,MATCH('PRECIFICAÇÃO '!$E92,PROCEDIMENTOS!$B$2:$B$48,0)),"")</f>
        <v/>
      </c>
      <c r="R92" s="70">
        <f t="shared" si="3"/>
        <v>0</v>
      </c>
      <c r="S92" s="72">
        <f t="shared" si="12"/>
        <v>0</v>
      </c>
      <c r="T92" s="72"/>
      <c r="U92" s="72">
        <f t="shared" si="13"/>
        <v>0</v>
      </c>
      <c r="V92" s="73">
        <f>'PRECIFICAÇÃO '!$Q92+'PRECIFICAÇÃO '!$R92+'PRECIFICAÇÃO '!$S92+'PRECIFICAÇÃO '!$T92+'PRECIFICAÇÃO '!$U92</f>
        <v>0</v>
      </c>
      <c r="W92" s="74">
        <f t="shared" si="6"/>
        <v>0</v>
      </c>
      <c r="X92" s="73">
        <f t="shared" si="7"/>
        <v>0</v>
      </c>
      <c r="Y92" s="75">
        <f t="shared" si="8"/>
        <v>0</v>
      </c>
      <c r="Z92" s="73">
        <f t="shared" si="9"/>
        <v>0</v>
      </c>
      <c r="AA92" s="73">
        <f t="shared" si="10"/>
        <v>0</v>
      </c>
    </row>
    <row r="93" ht="15.75" customHeight="1">
      <c r="A93" s="78"/>
      <c r="B93" s="61"/>
      <c r="C93" s="79"/>
      <c r="D93" s="65"/>
      <c r="E93" s="80"/>
      <c r="F93" s="64" t="str">
        <f t="array" ref="F93">IFERROR(INDEX(PROCEDIMENTOS!$A$2:$A$48,MATCH('PRECIFICAÇÃO '!$E93,PROCEDIMENTOS!$B$2:$B$48,0)),"")</f>
        <v/>
      </c>
      <c r="G93" s="65" t="str">
        <f t="array" ref="G93">IFERROR(INDEX(PROCEDIMENTOS!$C$2:$C$48,MATCH('PRECIFICAÇÃO '!$E93,PROCEDIMENTOS!$B$2:$B$48,0)),"")</f>
        <v/>
      </c>
      <c r="H93" s="67"/>
      <c r="I93" s="67"/>
      <c r="J93" s="80"/>
      <c r="K93" s="68"/>
      <c r="L93" s="69" t="str">
        <f>IFERROR(VLOOKUP('PRECIFICAÇÃO '!$J93,TAXA!$A$2:$C$18,2,FALSE),"")</f>
        <v/>
      </c>
      <c r="M93" s="70">
        <f t="shared" si="1"/>
        <v>0</v>
      </c>
      <c r="N93" s="69" t="str">
        <f>IFERROR(VLOOKUP('PRECIFICAÇÃO '!$J93,TAXA!$A$2:$C$18,3,FALSE),"")</f>
        <v/>
      </c>
      <c r="O93" s="70">
        <f t="shared" si="2"/>
        <v>0</v>
      </c>
      <c r="P93" s="70">
        <f>IFERROR('PRECIFICAÇÃO '!$H93-'PRECIFICAÇÃO '!$M93-'PRECIFICAÇÃO '!$O93,0)</f>
        <v>0</v>
      </c>
      <c r="Q93" s="71" t="str">
        <f t="array" ref="Q93">IFERROR(INDEX(PROCEDIMENTOS!$D$2:$D$48,MATCH('PRECIFICAÇÃO '!$E93,PROCEDIMENTOS!$B$2:$B$48,0)),"")</f>
        <v/>
      </c>
      <c r="R93" s="70">
        <f t="shared" si="3"/>
        <v>0</v>
      </c>
      <c r="S93" s="72">
        <f t="shared" si="12"/>
        <v>0</v>
      </c>
      <c r="T93" s="72"/>
      <c r="U93" s="72">
        <f t="shared" si="13"/>
        <v>0</v>
      </c>
      <c r="V93" s="73">
        <f>'PRECIFICAÇÃO '!$Q93+'PRECIFICAÇÃO '!$R93+'PRECIFICAÇÃO '!$S93+'PRECIFICAÇÃO '!$T93+'PRECIFICAÇÃO '!$U93</f>
        <v>0</v>
      </c>
      <c r="W93" s="74">
        <f t="shared" si="6"/>
        <v>0</v>
      </c>
      <c r="X93" s="73">
        <f t="shared" si="7"/>
        <v>0</v>
      </c>
      <c r="Y93" s="75">
        <f t="shared" si="8"/>
        <v>0</v>
      </c>
      <c r="Z93" s="73">
        <f t="shared" si="9"/>
        <v>0</v>
      </c>
      <c r="AA93" s="73">
        <f t="shared" si="10"/>
        <v>0</v>
      </c>
    </row>
    <row r="94" ht="15.75" customHeight="1">
      <c r="A94" s="78"/>
      <c r="B94" s="61"/>
      <c r="C94" s="79"/>
      <c r="D94" s="65"/>
      <c r="E94" s="80"/>
      <c r="F94" s="64" t="str">
        <f t="array" ref="F94">IFERROR(INDEX(PROCEDIMENTOS!$A$2:$A$48,MATCH('PRECIFICAÇÃO '!$E94,PROCEDIMENTOS!$B$2:$B$48,0)),"")</f>
        <v/>
      </c>
      <c r="G94" s="65" t="str">
        <f t="array" ref="G94">IFERROR(INDEX(PROCEDIMENTOS!$C$2:$C$48,MATCH('PRECIFICAÇÃO '!$E94,PROCEDIMENTOS!$B$2:$B$48,0)),"")</f>
        <v/>
      </c>
      <c r="H94" s="67"/>
      <c r="I94" s="67"/>
      <c r="J94" s="80"/>
      <c r="K94" s="68"/>
      <c r="L94" s="69" t="str">
        <f>IFERROR(VLOOKUP('PRECIFICAÇÃO '!$J94,TAXA!$A$2:$C$18,2,FALSE),"")</f>
        <v/>
      </c>
      <c r="M94" s="70">
        <f t="shared" si="1"/>
        <v>0</v>
      </c>
      <c r="N94" s="69" t="str">
        <f>IFERROR(VLOOKUP('PRECIFICAÇÃO '!$J94,TAXA!$A$2:$C$18,3,FALSE),"")</f>
        <v/>
      </c>
      <c r="O94" s="70">
        <f t="shared" si="2"/>
        <v>0</v>
      </c>
      <c r="P94" s="70">
        <f>IFERROR('PRECIFICAÇÃO '!$H94-'PRECIFICAÇÃO '!$M94-'PRECIFICAÇÃO '!$O94,0)</f>
        <v>0</v>
      </c>
      <c r="Q94" s="71" t="str">
        <f t="array" ref="Q94">IFERROR(INDEX(PROCEDIMENTOS!$D$2:$D$48,MATCH('PRECIFICAÇÃO '!$E94,PROCEDIMENTOS!$B$2:$B$48,0)),"")</f>
        <v/>
      </c>
      <c r="R94" s="70">
        <f t="shared" si="3"/>
        <v>0</v>
      </c>
      <c r="S94" s="72">
        <f t="shared" si="12"/>
        <v>0</v>
      </c>
      <c r="T94" s="72"/>
      <c r="U94" s="72">
        <f t="shared" si="13"/>
        <v>0</v>
      </c>
      <c r="V94" s="73">
        <f>'PRECIFICAÇÃO '!$Q94+'PRECIFICAÇÃO '!$R94+'PRECIFICAÇÃO '!$S94+'PRECIFICAÇÃO '!$T94+'PRECIFICAÇÃO '!$U94</f>
        <v>0</v>
      </c>
      <c r="W94" s="74">
        <f t="shared" si="6"/>
        <v>0</v>
      </c>
      <c r="X94" s="73">
        <f t="shared" si="7"/>
        <v>0</v>
      </c>
      <c r="Y94" s="75">
        <f t="shared" si="8"/>
        <v>0</v>
      </c>
      <c r="Z94" s="73">
        <f t="shared" si="9"/>
        <v>0</v>
      </c>
      <c r="AA94" s="73">
        <f t="shared" si="10"/>
        <v>0</v>
      </c>
    </row>
    <row r="95" ht="15.75" customHeight="1">
      <c r="A95" s="78"/>
      <c r="B95" s="61"/>
      <c r="C95" s="79"/>
      <c r="D95" s="65"/>
      <c r="E95" s="80"/>
      <c r="F95" s="64" t="str">
        <f t="array" ref="F95">IFERROR(INDEX(PROCEDIMENTOS!$A$2:$A$48,MATCH('PRECIFICAÇÃO '!$E95,PROCEDIMENTOS!$B$2:$B$48,0)),"")</f>
        <v/>
      </c>
      <c r="G95" s="65" t="str">
        <f t="array" ref="G95">IFERROR(INDEX(PROCEDIMENTOS!$C$2:$C$48,MATCH('PRECIFICAÇÃO '!$E95,PROCEDIMENTOS!$B$2:$B$48,0)),"")</f>
        <v/>
      </c>
      <c r="H95" s="67"/>
      <c r="I95" s="67"/>
      <c r="J95" s="80"/>
      <c r="K95" s="68"/>
      <c r="L95" s="69" t="str">
        <f>IFERROR(VLOOKUP('PRECIFICAÇÃO '!$J95,TAXA!$A$2:$C$18,2,FALSE),"")</f>
        <v/>
      </c>
      <c r="M95" s="70">
        <f t="shared" si="1"/>
        <v>0</v>
      </c>
      <c r="N95" s="69" t="str">
        <f>IFERROR(VLOOKUP('PRECIFICAÇÃO '!$J95,TAXA!$A$2:$C$18,3,FALSE),"")</f>
        <v/>
      </c>
      <c r="O95" s="70">
        <f t="shared" si="2"/>
        <v>0</v>
      </c>
      <c r="P95" s="70">
        <f>IFERROR('PRECIFICAÇÃO '!$H95-'PRECIFICAÇÃO '!$M95-'PRECIFICAÇÃO '!$O95,0)</f>
        <v>0</v>
      </c>
      <c r="Q95" s="71"/>
      <c r="R95" s="70">
        <f t="shared" si="3"/>
        <v>0</v>
      </c>
      <c r="S95" s="72">
        <f t="shared" si="12"/>
        <v>0</v>
      </c>
      <c r="T95" s="72"/>
      <c r="U95" s="72">
        <f t="shared" si="13"/>
        <v>0</v>
      </c>
      <c r="V95" s="73">
        <f>'PRECIFICAÇÃO '!$Q95+'PRECIFICAÇÃO '!$R95+'PRECIFICAÇÃO '!$S95+'PRECIFICAÇÃO '!$T95+'PRECIFICAÇÃO '!$U95</f>
        <v>0</v>
      </c>
      <c r="W95" s="74">
        <f t="shared" si="6"/>
        <v>0</v>
      </c>
      <c r="X95" s="73">
        <f t="shared" si="7"/>
        <v>0</v>
      </c>
      <c r="Y95" s="75">
        <f t="shared" si="8"/>
        <v>0</v>
      </c>
      <c r="Z95" s="73">
        <f t="shared" si="9"/>
        <v>0</v>
      </c>
      <c r="AA95" s="73">
        <f t="shared" si="10"/>
        <v>0</v>
      </c>
    </row>
    <row r="96" ht="15.75" customHeight="1">
      <c r="A96" s="78"/>
      <c r="B96" s="61"/>
      <c r="C96" s="79"/>
      <c r="D96" s="65"/>
      <c r="E96" s="80"/>
      <c r="F96" s="64" t="str">
        <f t="array" ref="F96">IFERROR(INDEX(PROCEDIMENTOS!$A$2:$A$48,MATCH('PRECIFICAÇÃO '!$E96,PROCEDIMENTOS!$B$2:$B$48,0)),"")</f>
        <v/>
      </c>
      <c r="G96" s="65" t="str">
        <f t="array" ref="G96">IFERROR(INDEX(PROCEDIMENTOS!$C$2:$C$48,MATCH('PRECIFICAÇÃO '!$E96,PROCEDIMENTOS!$B$2:$B$48,0)),"")</f>
        <v/>
      </c>
      <c r="H96" s="67"/>
      <c r="I96" s="67"/>
      <c r="J96" s="80"/>
      <c r="K96" s="68"/>
      <c r="L96" s="69" t="str">
        <f>IFERROR(VLOOKUP('PRECIFICAÇÃO '!$J96,TAXA!$A$2:$C$18,2,FALSE),"")</f>
        <v/>
      </c>
      <c r="M96" s="70">
        <f t="shared" si="1"/>
        <v>0</v>
      </c>
      <c r="N96" s="69" t="str">
        <f>IFERROR(VLOOKUP('PRECIFICAÇÃO '!$J96,TAXA!$A$2:$C$18,3,FALSE),"")</f>
        <v/>
      </c>
      <c r="O96" s="70">
        <f t="shared" si="2"/>
        <v>0</v>
      </c>
      <c r="P96" s="70">
        <f>IFERROR('PRECIFICAÇÃO '!$H96-'PRECIFICAÇÃO '!$M96-'PRECIFICAÇÃO '!$O96,0)</f>
        <v>0</v>
      </c>
      <c r="Q96" s="71"/>
      <c r="R96" s="70">
        <f t="shared" si="3"/>
        <v>0</v>
      </c>
      <c r="S96" s="72">
        <f t="shared" si="12"/>
        <v>0</v>
      </c>
      <c r="T96" s="72"/>
      <c r="U96" s="72">
        <f t="shared" si="13"/>
        <v>0</v>
      </c>
      <c r="V96" s="73">
        <f>'PRECIFICAÇÃO '!$Q96+'PRECIFICAÇÃO '!$R96+'PRECIFICAÇÃO '!$S96+'PRECIFICAÇÃO '!$T96+'PRECIFICAÇÃO '!$U96</f>
        <v>0</v>
      </c>
      <c r="W96" s="74">
        <f t="shared" si="6"/>
        <v>0</v>
      </c>
      <c r="X96" s="73">
        <f t="shared" si="7"/>
        <v>0</v>
      </c>
      <c r="Y96" s="75">
        <f t="shared" si="8"/>
        <v>0</v>
      </c>
      <c r="Z96" s="73">
        <f t="shared" si="9"/>
        <v>0</v>
      </c>
      <c r="AA96" s="73">
        <f t="shared" si="10"/>
        <v>0</v>
      </c>
    </row>
    <row r="97" ht="15.75" customHeight="1">
      <c r="A97" s="78"/>
      <c r="B97" s="61"/>
      <c r="C97" s="79"/>
      <c r="D97" s="65"/>
      <c r="E97" s="80"/>
      <c r="F97" s="64" t="str">
        <f t="array" ref="F97">IFERROR(INDEX(PROCEDIMENTOS!$A$2:$A$48,MATCH('PRECIFICAÇÃO '!$E97,PROCEDIMENTOS!$B$2:$B$48,0)),"")</f>
        <v/>
      </c>
      <c r="G97" s="65" t="str">
        <f t="array" ref="G97">IFERROR(INDEX(PROCEDIMENTOS!$C$2:$C$48,MATCH('PRECIFICAÇÃO '!$E97,PROCEDIMENTOS!$B$2:$B$48,0)),"")</f>
        <v/>
      </c>
      <c r="H97" s="67"/>
      <c r="I97" s="67"/>
      <c r="J97" s="80"/>
      <c r="K97" s="68"/>
      <c r="L97" s="69" t="str">
        <f>IFERROR(VLOOKUP('PRECIFICAÇÃO '!$J97,TAXA!$A$2:$C$18,2,FALSE),"")</f>
        <v/>
      </c>
      <c r="M97" s="70">
        <f t="shared" si="1"/>
        <v>0</v>
      </c>
      <c r="N97" s="69" t="str">
        <f>IFERROR(VLOOKUP('PRECIFICAÇÃO '!$J97,TAXA!$A$2:$C$18,3,FALSE),"")</f>
        <v/>
      </c>
      <c r="O97" s="70">
        <f t="shared" si="2"/>
        <v>0</v>
      </c>
      <c r="P97" s="70">
        <f>IFERROR('PRECIFICAÇÃO '!$H97-'PRECIFICAÇÃO '!$M97-'PRECIFICAÇÃO '!$O97,0)</f>
        <v>0</v>
      </c>
      <c r="Q97" s="71"/>
      <c r="R97" s="70">
        <f t="shared" si="3"/>
        <v>0</v>
      </c>
      <c r="S97" s="72">
        <f t="shared" si="12"/>
        <v>0</v>
      </c>
      <c r="T97" s="72"/>
      <c r="U97" s="72">
        <f t="shared" si="13"/>
        <v>0</v>
      </c>
      <c r="V97" s="73">
        <f>'PRECIFICAÇÃO '!$Q97+'PRECIFICAÇÃO '!$R97+'PRECIFICAÇÃO '!$S97+'PRECIFICAÇÃO '!$T97+'PRECIFICAÇÃO '!$U97</f>
        <v>0</v>
      </c>
      <c r="W97" s="74">
        <f t="shared" si="6"/>
        <v>0</v>
      </c>
      <c r="X97" s="73">
        <f t="shared" si="7"/>
        <v>0</v>
      </c>
      <c r="Y97" s="75">
        <f t="shared" si="8"/>
        <v>0</v>
      </c>
      <c r="Z97" s="73">
        <f t="shared" si="9"/>
        <v>0</v>
      </c>
      <c r="AA97" s="73">
        <f t="shared" si="10"/>
        <v>0</v>
      </c>
    </row>
    <row r="98" ht="15.75" customHeight="1">
      <c r="A98" s="78"/>
      <c r="B98" s="61"/>
      <c r="C98" s="79"/>
      <c r="D98" s="65"/>
      <c r="E98" s="80"/>
      <c r="F98" s="64" t="str">
        <f t="array" ref="F98">IFERROR(INDEX(PROCEDIMENTOS!$A$2:$A$48,MATCH('PRECIFICAÇÃO '!$E98,PROCEDIMENTOS!$B$2:$B$48,0)),"")</f>
        <v/>
      </c>
      <c r="G98" s="65" t="str">
        <f t="array" ref="G98">IFERROR(INDEX(PROCEDIMENTOS!$C$2:$C$48,MATCH('PRECIFICAÇÃO '!$E98,PROCEDIMENTOS!$B$2:$B$48,0)),"")</f>
        <v/>
      </c>
      <c r="H98" s="67"/>
      <c r="I98" s="67"/>
      <c r="J98" s="80"/>
      <c r="K98" s="68"/>
      <c r="L98" s="69" t="str">
        <f>IFERROR(VLOOKUP('PRECIFICAÇÃO '!$J98,TAXA!$A$2:$C$18,2,FALSE),"")</f>
        <v/>
      </c>
      <c r="M98" s="70">
        <f t="shared" si="1"/>
        <v>0</v>
      </c>
      <c r="N98" s="69" t="str">
        <f>IFERROR(VLOOKUP('PRECIFICAÇÃO '!$J98,TAXA!$A$2:$C$18,3,FALSE),"")</f>
        <v/>
      </c>
      <c r="O98" s="70">
        <f t="shared" si="2"/>
        <v>0</v>
      </c>
      <c r="P98" s="70">
        <f>IFERROR('PRECIFICAÇÃO '!$H98-'PRECIFICAÇÃO '!$M98-'PRECIFICAÇÃO '!$O98,0)</f>
        <v>0</v>
      </c>
      <c r="Q98" s="71"/>
      <c r="R98" s="70">
        <f t="shared" si="3"/>
        <v>0</v>
      </c>
      <c r="S98" s="72">
        <f t="shared" si="12"/>
        <v>0</v>
      </c>
      <c r="T98" s="72"/>
      <c r="U98" s="72">
        <f t="shared" si="13"/>
        <v>0</v>
      </c>
      <c r="V98" s="73">
        <f>'PRECIFICAÇÃO '!$Q98+'PRECIFICAÇÃO '!$R98+'PRECIFICAÇÃO '!$S98+'PRECIFICAÇÃO '!$T98+'PRECIFICAÇÃO '!$U98</f>
        <v>0</v>
      </c>
      <c r="W98" s="74">
        <f t="shared" si="6"/>
        <v>0</v>
      </c>
      <c r="X98" s="73">
        <f t="shared" si="7"/>
        <v>0</v>
      </c>
      <c r="Y98" s="75">
        <f t="shared" si="8"/>
        <v>0</v>
      </c>
      <c r="Z98" s="73">
        <f t="shared" si="9"/>
        <v>0</v>
      </c>
      <c r="AA98" s="73">
        <f t="shared" si="10"/>
        <v>0</v>
      </c>
    </row>
    <row r="99" ht="15.75" customHeight="1">
      <c r="A99" s="78"/>
      <c r="B99" s="61"/>
      <c r="C99" s="79"/>
      <c r="D99" s="65"/>
      <c r="E99" s="80"/>
      <c r="F99" s="64" t="str">
        <f t="array" ref="F99">IFERROR(INDEX(PROCEDIMENTOS!$A$2:$A$48,MATCH('PRECIFICAÇÃO '!$E99,PROCEDIMENTOS!$B$2:$B$48,0)),"")</f>
        <v/>
      </c>
      <c r="G99" s="65" t="str">
        <f t="array" ref="G99">IFERROR(INDEX(PROCEDIMENTOS!$C$2:$C$48,MATCH('PRECIFICAÇÃO '!$E99,PROCEDIMENTOS!$B$2:$B$48,0)),"")</f>
        <v/>
      </c>
      <c r="H99" s="67"/>
      <c r="I99" s="67"/>
      <c r="J99" s="80"/>
      <c r="K99" s="68"/>
      <c r="L99" s="69" t="str">
        <f>IFERROR(VLOOKUP('PRECIFICAÇÃO '!$J99,TAXA!$A$2:$C$18,2,FALSE),"")</f>
        <v/>
      </c>
      <c r="M99" s="70">
        <f t="shared" si="1"/>
        <v>0</v>
      </c>
      <c r="N99" s="69" t="str">
        <f>IFERROR(VLOOKUP('PRECIFICAÇÃO '!$J99,TAXA!$A$2:$C$18,3,FALSE),"")</f>
        <v/>
      </c>
      <c r="O99" s="70">
        <f t="shared" si="2"/>
        <v>0</v>
      </c>
      <c r="P99" s="70">
        <f>IFERROR('PRECIFICAÇÃO '!$H99-'PRECIFICAÇÃO '!$M99-'PRECIFICAÇÃO '!$O99,0)</f>
        <v>0</v>
      </c>
      <c r="Q99" s="71"/>
      <c r="R99" s="70">
        <f t="shared" si="3"/>
        <v>0</v>
      </c>
      <c r="S99" s="72">
        <f t="shared" si="12"/>
        <v>0</v>
      </c>
      <c r="T99" s="72"/>
      <c r="U99" s="72">
        <f t="shared" si="13"/>
        <v>0</v>
      </c>
      <c r="V99" s="73">
        <f>'PRECIFICAÇÃO '!$Q99+'PRECIFICAÇÃO '!$R99+'PRECIFICAÇÃO '!$S99+'PRECIFICAÇÃO '!$T99+'PRECIFICAÇÃO '!$U99</f>
        <v>0</v>
      </c>
      <c r="W99" s="74">
        <f t="shared" si="6"/>
        <v>0</v>
      </c>
      <c r="X99" s="73">
        <f t="shared" si="7"/>
        <v>0</v>
      </c>
      <c r="Y99" s="75">
        <f t="shared" si="8"/>
        <v>0</v>
      </c>
      <c r="Z99" s="73">
        <f t="shared" si="9"/>
        <v>0</v>
      </c>
      <c r="AA99" s="73">
        <f t="shared" si="10"/>
        <v>0</v>
      </c>
    </row>
    <row r="100" ht="15.75" customHeight="1">
      <c r="A100" s="78"/>
      <c r="B100" s="61"/>
      <c r="C100" s="79"/>
      <c r="D100" s="65"/>
      <c r="E100" s="80"/>
      <c r="F100" s="64" t="str">
        <f t="array" ref="F100">IFERROR(INDEX(PROCEDIMENTOS!$A$2:$A$48,MATCH('PRECIFICAÇÃO '!$E100,PROCEDIMENTOS!$B$2:$B$48,0)),"")</f>
        <v/>
      </c>
      <c r="G100" s="65" t="str">
        <f t="array" ref="G100">IFERROR(INDEX(PROCEDIMENTOS!$C$2:$C$48,MATCH('PRECIFICAÇÃO '!$E100,PROCEDIMENTOS!$B$2:$B$48,0)),"")</f>
        <v/>
      </c>
      <c r="H100" s="67"/>
      <c r="I100" s="67"/>
      <c r="J100" s="80"/>
      <c r="K100" s="68"/>
      <c r="L100" s="69" t="str">
        <f>IFERROR(VLOOKUP('PRECIFICAÇÃO '!$J100,TAXA!$A$2:$C$18,2,FALSE),"")</f>
        <v/>
      </c>
      <c r="M100" s="70">
        <f t="shared" si="1"/>
        <v>0</v>
      </c>
      <c r="N100" s="69" t="str">
        <f>IFERROR(VLOOKUP('PRECIFICAÇÃO '!$J100,TAXA!$A$2:$C$18,3,FALSE),"")</f>
        <v/>
      </c>
      <c r="O100" s="70">
        <f t="shared" si="2"/>
        <v>0</v>
      </c>
      <c r="P100" s="70">
        <f>IFERROR('PRECIFICAÇÃO '!$H100-'PRECIFICAÇÃO '!$M100-'PRECIFICAÇÃO '!$O100,0)</f>
        <v>0</v>
      </c>
      <c r="Q100" s="71"/>
      <c r="R100" s="70">
        <f t="shared" si="3"/>
        <v>0</v>
      </c>
      <c r="S100" s="72">
        <f t="shared" si="12"/>
        <v>0</v>
      </c>
      <c r="T100" s="72"/>
      <c r="U100" s="72">
        <f t="shared" si="13"/>
        <v>0</v>
      </c>
      <c r="V100" s="73">
        <f>'PRECIFICAÇÃO '!$Q100+'PRECIFICAÇÃO '!$R100+'PRECIFICAÇÃO '!$S100+'PRECIFICAÇÃO '!$T100+'PRECIFICAÇÃO '!$U100</f>
        <v>0</v>
      </c>
      <c r="W100" s="74">
        <f t="shared" si="6"/>
        <v>0</v>
      </c>
      <c r="X100" s="73">
        <f t="shared" si="7"/>
        <v>0</v>
      </c>
      <c r="Y100" s="75">
        <f t="shared" si="8"/>
        <v>0</v>
      </c>
      <c r="Z100" s="73">
        <f t="shared" si="9"/>
        <v>0</v>
      </c>
      <c r="AA100" s="73">
        <f t="shared" si="10"/>
        <v>0</v>
      </c>
    </row>
    <row r="101" ht="15.75" customHeight="1">
      <c r="A101" s="82"/>
      <c r="B101" s="83"/>
      <c r="C101" s="84"/>
      <c r="D101" s="84"/>
      <c r="E101" s="84"/>
      <c r="F101" s="84"/>
      <c r="G101" s="84"/>
      <c r="H101" s="85"/>
      <c r="I101" s="85"/>
      <c r="J101" s="84"/>
      <c r="K101" s="86"/>
      <c r="L101" s="87"/>
      <c r="M101" s="88"/>
      <c r="N101" s="87"/>
      <c r="O101" s="88"/>
      <c r="P101" s="88"/>
      <c r="Q101" s="88"/>
      <c r="R101" s="88"/>
      <c r="S101" s="89"/>
      <c r="T101" s="89"/>
      <c r="U101" s="89"/>
      <c r="V101" s="89"/>
      <c r="W101" s="90"/>
      <c r="X101" s="89"/>
      <c r="Y101" s="91"/>
      <c r="Z101" s="89"/>
      <c r="AA101" s="89"/>
    </row>
    <row r="102" ht="15.75" customHeight="1">
      <c r="A102" s="82"/>
      <c r="B102" s="83"/>
      <c r="C102" s="84"/>
      <c r="D102" s="84"/>
      <c r="E102" s="84"/>
      <c r="F102" s="84"/>
      <c r="G102" s="84"/>
      <c r="H102" s="85"/>
      <c r="I102" s="85"/>
      <c r="J102" s="84"/>
      <c r="K102" s="86"/>
      <c r="L102" s="87"/>
      <c r="M102" s="88"/>
      <c r="N102" s="87"/>
      <c r="O102" s="88"/>
      <c r="P102" s="88"/>
      <c r="Q102" s="88"/>
      <c r="R102" s="88"/>
      <c r="S102" s="89"/>
      <c r="T102" s="89"/>
      <c r="U102" s="89"/>
      <c r="V102" s="89"/>
      <c r="W102" s="90"/>
      <c r="X102" s="89"/>
      <c r="Y102" s="91"/>
      <c r="Z102" s="89"/>
      <c r="AA102" s="89"/>
    </row>
    <row r="103" ht="15.75" customHeight="1">
      <c r="A103" s="82"/>
      <c r="B103" s="83"/>
      <c r="C103" s="84"/>
      <c r="D103" s="84"/>
      <c r="E103" s="84"/>
      <c r="F103" s="84"/>
      <c r="G103" s="84"/>
      <c r="H103" s="85"/>
      <c r="I103" s="85"/>
      <c r="J103" s="84"/>
      <c r="K103" s="86"/>
      <c r="L103" s="87"/>
      <c r="M103" s="88"/>
      <c r="N103" s="87"/>
      <c r="O103" s="88"/>
      <c r="P103" s="88"/>
      <c r="Q103" s="88"/>
      <c r="R103" s="88"/>
      <c r="S103" s="89"/>
      <c r="T103" s="89"/>
      <c r="U103" s="89"/>
      <c r="V103" s="89"/>
      <c r="W103" s="90"/>
      <c r="X103" s="89"/>
      <c r="Y103" s="91"/>
      <c r="Z103" s="89"/>
      <c r="AA103" s="89"/>
    </row>
    <row r="104" ht="15.75" customHeight="1">
      <c r="A104" s="82"/>
      <c r="B104" s="83"/>
      <c r="C104" s="84"/>
      <c r="D104" s="84"/>
      <c r="E104" s="84"/>
      <c r="F104" s="84"/>
      <c r="G104" s="84"/>
      <c r="H104" s="85"/>
      <c r="I104" s="85"/>
      <c r="J104" s="84"/>
      <c r="K104" s="86"/>
      <c r="L104" s="87"/>
      <c r="M104" s="88"/>
      <c r="N104" s="87"/>
      <c r="O104" s="88"/>
      <c r="P104" s="88"/>
      <c r="Q104" s="88"/>
      <c r="R104" s="88"/>
      <c r="S104" s="89"/>
      <c r="T104" s="89"/>
      <c r="U104" s="89"/>
      <c r="V104" s="89"/>
      <c r="W104" s="90"/>
      <c r="X104" s="89"/>
      <c r="Y104" s="91"/>
      <c r="Z104" s="89"/>
      <c r="AA104" s="89"/>
    </row>
    <row r="105" ht="15.75" customHeight="1">
      <c r="A105" s="82"/>
      <c r="B105" s="83"/>
      <c r="C105" s="84"/>
      <c r="D105" s="84"/>
      <c r="E105" s="84"/>
      <c r="F105" s="84"/>
      <c r="G105" s="84"/>
      <c r="H105" s="85"/>
      <c r="I105" s="85"/>
      <c r="J105" s="84"/>
      <c r="K105" s="86"/>
      <c r="L105" s="87"/>
      <c r="M105" s="88"/>
      <c r="N105" s="87"/>
      <c r="O105" s="88"/>
      <c r="P105" s="88"/>
      <c r="Q105" s="88"/>
      <c r="R105" s="88"/>
      <c r="S105" s="89"/>
      <c r="T105" s="89"/>
      <c r="U105" s="89"/>
      <c r="V105" s="89"/>
      <c r="W105" s="90"/>
      <c r="X105" s="89"/>
      <c r="Y105" s="91"/>
      <c r="Z105" s="89"/>
      <c r="AA105" s="89"/>
    </row>
    <row r="106" ht="15.75" customHeight="1">
      <c r="A106" s="82"/>
      <c r="B106" s="83"/>
      <c r="C106" s="84"/>
      <c r="D106" s="84"/>
      <c r="E106" s="84"/>
      <c r="F106" s="84"/>
      <c r="G106" s="84"/>
      <c r="H106" s="85"/>
      <c r="I106" s="85"/>
      <c r="J106" s="84"/>
      <c r="K106" s="86"/>
      <c r="L106" s="87"/>
      <c r="M106" s="88"/>
      <c r="N106" s="87"/>
      <c r="O106" s="88"/>
      <c r="P106" s="88"/>
      <c r="Q106" s="88"/>
      <c r="R106" s="88"/>
      <c r="S106" s="89"/>
      <c r="T106" s="89"/>
      <c r="U106" s="89"/>
      <c r="V106" s="89"/>
      <c r="W106" s="90"/>
      <c r="X106" s="89"/>
      <c r="Y106" s="91"/>
      <c r="Z106" s="89"/>
      <c r="AA106" s="89"/>
    </row>
    <row r="107" ht="15.75" customHeight="1">
      <c r="A107" s="82"/>
      <c r="B107" s="83"/>
      <c r="C107" s="84"/>
      <c r="D107" s="84"/>
      <c r="E107" s="84"/>
      <c r="F107" s="84"/>
      <c r="G107" s="84"/>
      <c r="H107" s="85"/>
      <c r="I107" s="85"/>
      <c r="J107" s="84"/>
      <c r="K107" s="86"/>
      <c r="L107" s="87"/>
      <c r="M107" s="88"/>
      <c r="N107" s="87"/>
      <c r="O107" s="88"/>
      <c r="P107" s="88"/>
      <c r="Q107" s="88"/>
      <c r="R107" s="88"/>
      <c r="S107" s="89"/>
      <c r="T107" s="89"/>
      <c r="U107" s="89"/>
      <c r="V107" s="89"/>
      <c r="W107" s="90"/>
      <c r="X107" s="89"/>
      <c r="Y107" s="91"/>
      <c r="Z107" s="89"/>
      <c r="AA107" s="89"/>
    </row>
    <row r="108" ht="15.75" customHeight="1">
      <c r="A108" s="82"/>
      <c r="B108" s="83"/>
      <c r="C108" s="84"/>
      <c r="D108" s="84"/>
      <c r="E108" s="84"/>
      <c r="F108" s="84"/>
      <c r="G108" s="84"/>
      <c r="H108" s="85"/>
      <c r="I108" s="85"/>
      <c r="J108" s="84"/>
      <c r="K108" s="86"/>
      <c r="L108" s="87"/>
      <c r="M108" s="88"/>
      <c r="N108" s="87"/>
      <c r="O108" s="88"/>
      <c r="P108" s="88"/>
      <c r="Q108" s="88"/>
      <c r="R108" s="88"/>
      <c r="S108" s="89"/>
      <c r="T108" s="89"/>
      <c r="U108" s="89"/>
      <c r="V108" s="89"/>
      <c r="W108" s="90"/>
      <c r="X108" s="89"/>
      <c r="Y108" s="91"/>
      <c r="Z108" s="89"/>
      <c r="AA108" s="89"/>
    </row>
    <row r="109" ht="15.75" customHeight="1">
      <c r="A109" s="82"/>
      <c r="B109" s="83"/>
      <c r="C109" s="84"/>
      <c r="D109" s="84"/>
      <c r="E109" s="84"/>
      <c r="F109" s="84"/>
      <c r="G109" s="84"/>
      <c r="H109" s="85"/>
      <c r="I109" s="85"/>
      <c r="J109" s="84"/>
      <c r="K109" s="86"/>
      <c r="L109" s="87"/>
      <c r="M109" s="88"/>
      <c r="N109" s="87"/>
      <c r="O109" s="88"/>
      <c r="P109" s="88"/>
      <c r="Q109" s="88"/>
      <c r="R109" s="88"/>
      <c r="S109" s="89"/>
      <c r="T109" s="89"/>
      <c r="U109" s="89"/>
      <c r="V109" s="89"/>
      <c r="W109" s="90"/>
      <c r="X109" s="89"/>
      <c r="Y109" s="91"/>
      <c r="Z109" s="89"/>
      <c r="AA109" s="89"/>
    </row>
    <row r="110" ht="15.75" customHeight="1">
      <c r="A110" s="82"/>
      <c r="B110" s="83"/>
      <c r="C110" s="84"/>
      <c r="D110" s="84"/>
      <c r="E110" s="84"/>
      <c r="F110" s="84"/>
      <c r="G110" s="84"/>
      <c r="H110" s="85"/>
      <c r="I110" s="85"/>
      <c r="J110" s="84"/>
      <c r="K110" s="86"/>
      <c r="L110" s="87"/>
      <c r="M110" s="88"/>
      <c r="N110" s="87"/>
      <c r="O110" s="88"/>
      <c r="P110" s="88"/>
      <c r="Q110" s="88"/>
      <c r="R110" s="88"/>
      <c r="S110" s="89"/>
      <c r="T110" s="89"/>
      <c r="U110" s="89"/>
      <c r="V110" s="89"/>
      <c r="W110" s="90"/>
      <c r="X110" s="89"/>
      <c r="Y110" s="91"/>
      <c r="Z110" s="89"/>
      <c r="AA110" s="89"/>
    </row>
    <row r="111" ht="15.75" customHeight="1">
      <c r="A111" s="82"/>
      <c r="B111" s="83"/>
      <c r="C111" s="84"/>
      <c r="D111" s="84"/>
      <c r="E111" s="84"/>
      <c r="F111" s="84"/>
      <c r="G111" s="84"/>
      <c r="H111" s="85"/>
      <c r="I111" s="85"/>
      <c r="J111" s="84"/>
      <c r="K111" s="86"/>
      <c r="L111" s="87"/>
      <c r="M111" s="88"/>
      <c r="N111" s="87"/>
      <c r="O111" s="88"/>
      <c r="P111" s="88"/>
      <c r="Q111" s="88"/>
      <c r="R111" s="88"/>
      <c r="S111" s="89"/>
      <c r="T111" s="89"/>
      <c r="U111" s="89"/>
      <c r="V111" s="89"/>
      <c r="W111" s="90"/>
      <c r="X111" s="89"/>
      <c r="Y111" s="91"/>
      <c r="Z111" s="89"/>
      <c r="AA111" s="89"/>
    </row>
    <row r="112" ht="15.75" customHeight="1">
      <c r="A112" s="82"/>
      <c r="B112" s="83"/>
      <c r="C112" s="84"/>
      <c r="D112" s="84"/>
      <c r="E112" s="84"/>
      <c r="F112" s="84"/>
      <c r="G112" s="84"/>
      <c r="H112" s="85"/>
      <c r="I112" s="85"/>
      <c r="J112" s="84"/>
      <c r="K112" s="86"/>
      <c r="L112" s="87"/>
      <c r="M112" s="88"/>
      <c r="N112" s="87"/>
      <c r="O112" s="88"/>
      <c r="P112" s="88"/>
      <c r="Q112" s="88"/>
      <c r="R112" s="88"/>
      <c r="S112" s="89"/>
      <c r="T112" s="89"/>
      <c r="U112" s="89"/>
      <c r="V112" s="89"/>
      <c r="W112" s="90"/>
      <c r="X112" s="89"/>
      <c r="Y112" s="91"/>
      <c r="Z112" s="89"/>
      <c r="AA112" s="89"/>
    </row>
    <row r="113" ht="15.75" customHeight="1">
      <c r="A113" s="82"/>
      <c r="B113" s="83"/>
      <c r="C113" s="84"/>
      <c r="D113" s="84"/>
      <c r="E113" s="84"/>
      <c r="F113" s="84"/>
      <c r="G113" s="84"/>
      <c r="H113" s="85"/>
      <c r="I113" s="85"/>
      <c r="J113" s="84"/>
      <c r="K113" s="86"/>
      <c r="L113" s="87"/>
      <c r="M113" s="88"/>
      <c r="N113" s="87"/>
      <c r="O113" s="88"/>
      <c r="P113" s="88"/>
      <c r="Q113" s="88"/>
      <c r="R113" s="88"/>
      <c r="S113" s="89"/>
      <c r="T113" s="89"/>
      <c r="U113" s="89"/>
      <c r="V113" s="89"/>
      <c r="W113" s="90"/>
      <c r="X113" s="89"/>
      <c r="Y113" s="91"/>
      <c r="Z113" s="89"/>
      <c r="AA113" s="89"/>
    </row>
    <row r="114" ht="15.75" customHeight="1">
      <c r="A114" s="82"/>
      <c r="B114" s="83"/>
      <c r="C114" s="84"/>
      <c r="D114" s="84"/>
      <c r="E114" s="84"/>
      <c r="F114" s="84"/>
      <c r="G114" s="84"/>
      <c r="H114" s="85"/>
      <c r="I114" s="85"/>
      <c r="J114" s="84"/>
      <c r="K114" s="86"/>
      <c r="L114" s="87"/>
      <c r="M114" s="88"/>
      <c r="N114" s="87"/>
      <c r="O114" s="88"/>
      <c r="P114" s="88"/>
      <c r="Q114" s="88"/>
      <c r="R114" s="88"/>
      <c r="S114" s="89"/>
      <c r="T114" s="89"/>
      <c r="U114" s="89"/>
      <c r="V114" s="89"/>
      <c r="W114" s="90"/>
      <c r="X114" s="89"/>
      <c r="Y114" s="91"/>
      <c r="Z114" s="89"/>
      <c r="AA114" s="89"/>
    </row>
    <row r="115" ht="15.75" customHeight="1">
      <c r="A115" s="82"/>
      <c r="B115" s="83"/>
      <c r="C115" s="84"/>
      <c r="D115" s="84"/>
      <c r="E115" s="84"/>
      <c r="F115" s="84"/>
      <c r="G115" s="84"/>
      <c r="H115" s="85"/>
      <c r="I115" s="85"/>
      <c r="J115" s="84"/>
      <c r="K115" s="86"/>
      <c r="L115" s="87"/>
      <c r="M115" s="88"/>
      <c r="N115" s="87"/>
      <c r="O115" s="88"/>
      <c r="P115" s="88"/>
      <c r="Q115" s="88"/>
      <c r="R115" s="88"/>
      <c r="S115" s="89"/>
      <c r="T115" s="89"/>
      <c r="U115" s="89"/>
      <c r="V115" s="89"/>
      <c r="W115" s="90"/>
      <c r="X115" s="89"/>
      <c r="Y115" s="91"/>
      <c r="Z115" s="89"/>
      <c r="AA115" s="89"/>
    </row>
    <row r="116" ht="15.75" customHeight="1">
      <c r="A116" s="82"/>
      <c r="B116" s="83"/>
      <c r="C116" s="84"/>
      <c r="D116" s="84"/>
      <c r="E116" s="84"/>
      <c r="F116" s="84"/>
      <c r="G116" s="84"/>
      <c r="H116" s="85"/>
      <c r="I116" s="85"/>
      <c r="J116" s="84"/>
      <c r="K116" s="86"/>
      <c r="L116" s="87"/>
      <c r="M116" s="88"/>
      <c r="N116" s="87"/>
      <c r="O116" s="88"/>
      <c r="P116" s="88"/>
      <c r="Q116" s="88"/>
      <c r="R116" s="88"/>
      <c r="S116" s="89"/>
      <c r="T116" s="89"/>
      <c r="U116" s="89"/>
      <c r="V116" s="89"/>
      <c r="W116" s="90"/>
      <c r="X116" s="89"/>
      <c r="Y116" s="91"/>
      <c r="Z116" s="89"/>
      <c r="AA116" s="89"/>
    </row>
    <row r="117" ht="15.75" customHeight="1">
      <c r="A117" s="82"/>
      <c r="B117" s="83"/>
      <c r="C117" s="84"/>
      <c r="D117" s="84"/>
      <c r="E117" s="84"/>
      <c r="F117" s="84"/>
      <c r="G117" s="84"/>
      <c r="H117" s="85"/>
      <c r="I117" s="85"/>
      <c r="J117" s="84"/>
      <c r="K117" s="86"/>
      <c r="L117" s="87"/>
      <c r="M117" s="88"/>
      <c r="N117" s="87"/>
      <c r="O117" s="88"/>
      <c r="P117" s="88"/>
      <c r="Q117" s="88"/>
      <c r="R117" s="88"/>
      <c r="S117" s="89"/>
      <c r="T117" s="89"/>
      <c r="U117" s="89"/>
      <c r="V117" s="89"/>
      <c r="W117" s="90"/>
      <c r="X117" s="89"/>
      <c r="Y117" s="91"/>
      <c r="Z117" s="89"/>
      <c r="AA117" s="89"/>
    </row>
    <row r="118" ht="15.75" customHeight="1">
      <c r="A118" s="82"/>
      <c r="B118" s="83"/>
      <c r="C118" s="84"/>
      <c r="D118" s="84"/>
      <c r="E118" s="84"/>
      <c r="F118" s="84"/>
      <c r="G118" s="84"/>
      <c r="H118" s="85"/>
      <c r="I118" s="85"/>
      <c r="J118" s="84"/>
      <c r="K118" s="86"/>
      <c r="L118" s="87"/>
      <c r="M118" s="88"/>
      <c r="N118" s="87"/>
      <c r="O118" s="88"/>
      <c r="P118" s="88"/>
      <c r="Q118" s="88"/>
      <c r="R118" s="88"/>
      <c r="S118" s="89"/>
      <c r="T118" s="89"/>
      <c r="U118" s="89"/>
      <c r="V118" s="89"/>
      <c r="W118" s="90"/>
      <c r="X118" s="89"/>
      <c r="Y118" s="91"/>
      <c r="Z118" s="89"/>
      <c r="AA118" s="89"/>
    </row>
    <row r="119" ht="15.75" customHeight="1">
      <c r="A119" s="82"/>
      <c r="B119" s="83"/>
      <c r="C119" s="84"/>
      <c r="D119" s="84"/>
      <c r="E119" s="84"/>
      <c r="F119" s="84"/>
      <c r="G119" s="84"/>
      <c r="H119" s="85"/>
      <c r="I119" s="85"/>
      <c r="J119" s="84"/>
      <c r="K119" s="86"/>
      <c r="L119" s="87"/>
      <c r="M119" s="88"/>
      <c r="N119" s="87"/>
      <c r="O119" s="88"/>
      <c r="P119" s="88"/>
      <c r="Q119" s="88"/>
      <c r="R119" s="88"/>
      <c r="S119" s="89"/>
      <c r="T119" s="89"/>
      <c r="U119" s="89"/>
      <c r="V119" s="89"/>
      <c r="W119" s="90"/>
      <c r="X119" s="89"/>
      <c r="Y119" s="91"/>
      <c r="Z119" s="89"/>
      <c r="AA119" s="89"/>
    </row>
    <row r="120" ht="15.75" customHeight="1">
      <c r="A120" s="82"/>
      <c r="B120" s="83"/>
      <c r="C120" s="84"/>
      <c r="D120" s="84"/>
      <c r="E120" s="84"/>
      <c r="F120" s="84"/>
      <c r="G120" s="84"/>
      <c r="H120" s="85"/>
      <c r="I120" s="85"/>
      <c r="J120" s="84"/>
      <c r="K120" s="86"/>
      <c r="L120" s="87"/>
      <c r="M120" s="88"/>
      <c r="N120" s="87"/>
      <c r="O120" s="88"/>
      <c r="P120" s="88"/>
      <c r="Q120" s="88"/>
      <c r="R120" s="88"/>
      <c r="S120" s="89"/>
      <c r="T120" s="89"/>
      <c r="U120" s="89"/>
      <c r="V120" s="89"/>
      <c r="W120" s="90"/>
      <c r="X120" s="89"/>
      <c r="Y120" s="91"/>
      <c r="Z120" s="89"/>
      <c r="AA120" s="89"/>
    </row>
    <row r="121" ht="15.75" customHeight="1">
      <c r="A121" s="82"/>
      <c r="B121" s="83"/>
      <c r="C121" s="84"/>
      <c r="D121" s="84"/>
      <c r="E121" s="84"/>
      <c r="F121" s="84"/>
      <c r="G121" s="84"/>
      <c r="H121" s="85"/>
      <c r="I121" s="85"/>
      <c r="J121" s="84"/>
      <c r="K121" s="86"/>
      <c r="L121" s="87"/>
      <c r="M121" s="88"/>
      <c r="N121" s="87"/>
      <c r="O121" s="88"/>
      <c r="P121" s="88"/>
      <c r="Q121" s="88"/>
      <c r="R121" s="88"/>
      <c r="S121" s="89"/>
      <c r="T121" s="89"/>
      <c r="U121" s="89"/>
      <c r="V121" s="89"/>
      <c r="W121" s="90"/>
      <c r="X121" s="89"/>
      <c r="Y121" s="91"/>
      <c r="Z121" s="89"/>
      <c r="AA121" s="89"/>
    </row>
    <row r="122" ht="15.75" customHeight="1">
      <c r="A122" s="82"/>
      <c r="B122" s="83"/>
      <c r="C122" s="84"/>
      <c r="D122" s="84"/>
      <c r="E122" s="84"/>
      <c r="F122" s="84"/>
      <c r="G122" s="84"/>
      <c r="H122" s="85"/>
      <c r="I122" s="85"/>
      <c r="J122" s="84"/>
      <c r="K122" s="86"/>
      <c r="L122" s="87"/>
      <c r="M122" s="88"/>
      <c r="N122" s="87"/>
      <c r="O122" s="88"/>
      <c r="P122" s="88"/>
      <c r="Q122" s="88"/>
      <c r="R122" s="88"/>
      <c r="S122" s="89"/>
      <c r="T122" s="89"/>
      <c r="U122" s="89"/>
      <c r="V122" s="89"/>
      <c r="W122" s="90"/>
      <c r="X122" s="89"/>
      <c r="Y122" s="91"/>
      <c r="Z122" s="89"/>
      <c r="AA122" s="89"/>
    </row>
    <row r="123" ht="15.75" customHeight="1">
      <c r="A123" s="82"/>
      <c r="B123" s="83"/>
      <c r="C123" s="84"/>
      <c r="D123" s="84"/>
      <c r="E123" s="84"/>
      <c r="F123" s="84"/>
      <c r="G123" s="84"/>
      <c r="H123" s="85"/>
      <c r="I123" s="85"/>
      <c r="J123" s="84"/>
      <c r="K123" s="86"/>
      <c r="L123" s="87"/>
      <c r="M123" s="88"/>
      <c r="N123" s="87"/>
      <c r="O123" s="88"/>
      <c r="P123" s="88"/>
      <c r="Q123" s="88"/>
      <c r="R123" s="88"/>
      <c r="S123" s="89"/>
      <c r="T123" s="89"/>
      <c r="U123" s="89"/>
      <c r="V123" s="89"/>
      <c r="W123" s="90"/>
      <c r="X123" s="89"/>
      <c r="Y123" s="91"/>
      <c r="Z123" s="89"/>
      <c r="AA123" s="89"/>
    </row>
    <row r="124" ht="15.75" customHeight="1">
      <c r="A124" s="82"/>
      <c r="B124" s="83"/>
      <c r="C124" s="84"/>
      <c r="D124" s="84"/>
      <c r="E124" s="84"/>
      <c r="F124" s="84"/>
      <c r="G124" s="84"/>
      <c r="H124" s="85"/>
      <c r="I124" s="85"/>
      <c r="J124" s="84"/>
      <c r="K124" s="86"/>
      <c r="L124" s="87"/>
      <c r="M124" s="88"/>
      <c r="N124" s="87"/>
      <c r="O124" s="88"/>
      <c r="P124" s="88"/>
      <c r="Q124" s="88"/>
      <c r="R124" s="88"/>
      <c r="S124" s="89"/>
      <c r="T124" s="89"/>
      <c r="U124" s="89"/>
      <c r="V124" s="89"/>
      <c r="W124" s="90"/>
      <c r="X124" s="89"/>
      <c r="Y124" s="91"/>
      <c r="Z124" s="89"/>
      <c r="AA124" s="89"/>
    </row>
    <row r="125" ht="15.75" customHeight="1">
      <c r="A125" s="82"/>
      <c r="B125" s="83"/>
      <c r="C125" s="84"/>
      <c r="D125" s="84"/>
      <c r="E125" s="84"/>
      <c r="F125" s="84"/>
      <c r="G125" s="84"/>
      <c r="H125" s="85"/>
      <c r="I125" s="85"/>
      <c r="J125" s="84"/>
      <c r="K125" s="86"/>
      <c r="L125" s="87"/>
      <c r="M125" s="88"/>
      <c r="N125" s="87"/>
      <c r="O125" s="88"/>
      <c r="P125" s="88"/>
      <c r="Q125" s="88"/>
      <c r="R125" s="88"/>
      <c r="S125" s="89"/>
      <c r="T125" s="89"/>
      <c r="U125" s="89"/>
      <c r="V125" s="89"/>
      <c r="W125" s="90"/>
      <c r="X125" s="89"/>
      <c r="Y125" s="91"/>
      <c r="Z125" s="89"/>
      <c r="AA125" s="89"/>
    </row>
    <row r="126" ht="15.75" customHeight="1">
      <c r="A126" s="82"/>
      <c r="B126" s="83"/>
      <c r="C126" s="84"/>
      <c r="D126" s="84"/>
      <c r="E126" s="84"/>
      <c r="F126" s="84"/>
      <c r="G126" s="84"/>
      <c r="H126" s="85"/>
      <c r="I126" s="85"/>
      <c r="J126" s="84"/>
      <c r="K126" s="86"/>
      <c r="L126" s="87"/>
      <c r="M126" s="88"/>
      <c r="N126" s="87"/>
      <c r="O126" s="88"/>
      <c r="P126" s="88"/>
      <c r="Q126" s="88"/>
      <c r="R126" s="88"/>
      <c r="S126" s="89"/>
      <c r="T126" s="89"/>
      <c r="U126" s="89"/>
      <c r="V126" s="89"/>
      <c r="W126" s="90"/>
      <c r="X126" s="89"/>
      <c r="Y126" s="91"/>
      <c r="Z126" s="89"/>
      <c r="AA126" s="89"/>
    </row>
    <row r="127" ht="15.75" customHeight="1">
      <c r="A127" s="82"/>
      <c r="B127" s="83"/>
      <c r="C127" s="84"/>
      <c r="D127" s="84"/>
      <c r="E127" s="84"/>
      <c r="F127" s="84"/>
      <c r="G127" s="84"/>
      <c r="H127" s="85"/>
      <c r="I127" s="85"/>
      <c r="J127" s="84"/>
      <c r="K127" s="86"/>
      <c r="L127" s="87"/>
      <c r="M127" s="88"/>
      <c r="N127" s="87"/>
      <c r="O127" s="88"/>
      <c r="P127" s="88"/>
      <c r="Q127" s="88"/>
      <c r="R127" s="88"/>
      <c r="S127" s="89"/>
      <c r="T127" s="89"/>
      <c r="U127" s="89"/>
      <c r="V127" s="89"/>
      <c r="W127" s="90"/>
      <c r="X127" s="89"/>
      <c r="Y127" s="91"/>
      <c r="Z127" s="89"/>
      <c r="AA127" s="89"/>
    </row>
    <row r="128" ht="15.75" customHeight="1">
      <c r="A128" s="82"/>
      <c r="B128" s="83"/>
      <c r="C128" s="84"/>
      <c r="D128" s="84"/>
      <c r="E128" s="84"/>
      <c r="F128" s="84"/>
      <c r="G128" s="84"/>
      <c r="H128" s="85"/>
      <c r="I128" s="85"/>
      <c r="J128" s="84"/>
      <c r="K128" s="86"/>
      <c r="L128" s="87"/>
      <c r="M128" s="88"/>
      <c r="N128" s="87"/>
      <c r="O128" s="88"/>
      <c r="P128" s="88"/>
      <c r="Q128" s="88"/>
      <c r="R128" s="88"/>
      <c r="S128" s="89"/>
      <c r="T128" s="89"/>
      <c r="U128" s="89"/>
      <c r="V128" s="89"/>
      <c r="W128" s="90"/>
      <c r="X128" s="89"/>
      <c r="Y128" s="91"/>
      <c r="Z128" s="89"/>
      <c r="AA128" s="89"/>
    </row>
    <row r="129" ht="15.75" customHeight="1">
      <c r="A129" s="82"/>
      <c r="B129" s="83"/>
      <c r="C129" s="84"/>
      <c r="D129" s="84"/>
      <c r="E129" s="84"/>
      <c r="F129" s="84"/>
      <c r="G129" s="84"/>
      <c r="H129" s="85"/>
      <c r="I129" s="85"/>
      <c r="J129" s="84"/>
      <c r="K129" s="86"/>
      <c r="L129" s="87"/>
      <c r="M129" s="88"/>
      <c r="N129" s="87"/>
      <c r="O129" s="88"/>
      <c r="P129" s="88"/>
      <c r="Q129" s="88"/>
      <c r="R129" s="88"/>
      <c r="S129" s="89"/>
      <c r="T129" s="89"/>
      <c r="U129" s="89"/>
      <c r="V129" s="89"/>
      <c r="W129" s="90"/>
      <c r="X129" s="89"/>
      <c r="Y129" s="91"/>
      <c r="Z129" s="89"/>
      <c r="AA129" s="89"/>
    </row>
    <row r="130" ht="15.75" customHeight="1">
      <c r="A130" s="82"/>
      <c r="B130" s="83"/>
      <c r="C130" s="84"/>
      <c r="D130" s="84"/>
      <c r="E130" s="84"/>
      <c r="F130" s="84"/>
      <c r="G130" s="84"/>
      <c r="H130" s="85"/>
      <c r="I130" s="85"/>
      <c r="J130" s="84"/>
      <c r="K130" s="86"/>
      <c r="L130" s="87"/>
      <c r="M130" s="88"/>
      <c r="N130" s="87"/>
      <c r="O130" s="88"/>
      <c r="P130" s="88"/>
      <c r="Q130" s="88"/>
      <c r="R130" s="88"/>
      <c r="S130" s="89"/>
      <c r="T130" s="89"/>
      <c r="U130" s="89"/>
      <c r="V130" s="89"/>
      <c r="W130" s="90"/>
      <c r="X130" s="89"/>
      <c r="Y130" s="91"/>
      <c r="Z130" s="89"/>
      <c r="AA130" s="89"/>
    </row>
    <row r="131" ht="15.75" customHeight="1">
      <c r="A131" s="82"/>
      <c r="B131" s="83"/>
      <c r="C131" s="84"/>
      <c r="D131" s="84"/>
      <c r="E131" s="84"/>
      <c r="F131" s="84"/>
      <c r="G131" s="84"/>
      <c r="H131" s="85"/>
      <c r="I131" s="85"/>
      <c r="J131" s="84"/>
      <c r="K131" s="86"/>
      <c r="L131" s="87"/>
      <c r="M131" s="88"/>
      <c r="N131" s="87"/>
      <c r="O131" s="88"/>
      <c r="P131" s="88"/>
      <c r="Q131" s="88"/>
      <c r="R131" s="88"/>
      <c r="S131" s="89"/>
      <c r="T131" s="89"/>
      <c r="U131" s="89"/>
      <c r="V131" s="89"/>
      <c r="W131" s="90"/>
      <c r="X131" s="89"/>
      <c r="Y131" s="91"/>
      <c r="Z131" s="89"/>
      <c r="AA131" s="89"/>
    </row>
    <row r="132" ht="15.75" customHeight="1">
      <c r="A132" s="82"/>
      <c r="B132" s="83"/>
      <c r="C132" s="84"/>
      <c r="D132" s="84"/>
      <c r="E132" s="84"/>
      <c r="F132" s="84"/>
      <c r="G132" s="84"/>
      <c r="H132" s="85"/>
      <c r="I132" s="85"/>
      <c r="J132" s="84"/>
      <c r="K132" s="86"/>
      <c r="L132" s="87"/>
      <c r="M132" s="88"/>
      <c r="N132" s="87"/>
      <c r="O132" s="88"/>
      <c r="P132" s="88"/>
      <c r="Q132" s="88"/>
      <c r="R132" s="88"/>
      <c r="S132" s="89"/>
      <c r="T132" s="89"/>
      <c r="U132" s="89"/>
      <c r="V132" s="89"/>
      <c r="W132" s="90"/>
      <c r="X132" s="89"/>
      <c r="Y132" s="91"/>
      <c r="Z132" s="89"/>
      <c r="AA132" s="89"/>
    </row>
    <row r="133" ht="15.75" customHeight="1">
      <c r="A133" s="82"/>
      <c r="B133" s="83"/>
      <c r="C133" s="84"/>
      <c r="D133" s="84"/>
      <c r="E133" s="84"/>
      <c r="F133" s="84"/>
      <c r="G133" s="84"/>
      <c r="H133" s="85"/>
      <c r="I133" s="85"/>
      <c r="J133" s="84"/>
      <c r="K133" s="86"/>
      <c r="L133" s="87"/>
      <c r="M133" s="88"/>
      <c r="N133" s="87"/>
      <c r="O133" s="88"/>
      <c r="P133" s="88"/>
      <c r="Q133" s="88"/>
      <c r="R133" s="88"/>
      <c r="S133" s="89"/>
      <c r="T133" s="89"/>
      <c r="U133" s="89"/>
      <c r="V133" s="89"/>
      <c r="W133" s="90"/>
      <c r="X133" s="89"/>
      <c r="Y133" s="91"/>
      <c r="Z133" s="89"/>
      <c r="AA133" s="89"/>
    </row>
    <row r="134" ht="15.75" customHeight="1">
      <c r="A134" s="82"/>
      <c r="B134" s="83"/>
      <c r="C134" s="84"/>
      <c r="D134" s="84"/>
      <c r="E134" s="84"/>
      <c r="F134" s="84"/>
      <c r="G134" s="84"/>
      <c r="H134" s="85"/>
      <c r="I134" s="85"/>
      <c r="J134" s="84"/>
      <c r="K134" s="86"/>
      <c r="L134" s="87"/>
      <c r="M134" s="88"/>
      <c r="N134" s="87"/>
      <c r="O134" s="88"/>
      <c r="P134" s="88"/>
      <c r="Q134" s="88"/>
      <c r="R134" s="88"/>
      <c r="S134" s="89"/>
      <c r="T134" s="89"/>
      <c r="U134" s="89"/>
      <c r="V134" s="89"/>
      <c r="W134" s="90"/>
      <c r="X134" s="89"/>
      <c r="Y134" s="91"/>
      <c r="Z134" s="89"/>
      <c r="AA134" s="89"/>
    </row>
    <row r="135" ht="15.75" customHeight="1">
      <c r="A135" s="82"/>
      <c r="B135" s="83"/>
      <c r="C135" s="84"/>
      <c r="D135" s="84"/>
      <c r="E135" s="84"/>
      <c r="F135" s="84"/>
      <c r="G135" s="84"/>
      <c r="H135" s="85"/>
      <c r="I135" s="85"/>
      <c r="J135" s="84"/>
      <c r="K135" s="86"/>
      <c r="L135" s="87"/>
      <c r="M135" s="88"/>
      <c r="N135" s="87"/>
      <c r="O135" s="88"/>
      <c r="P135" s="88"/>
      <c r="Q135" s="88"/>
      <c r="R135" s="88"/>
      <c r="S135" s="89"/>
      <c r="T135" s="89"/>
      <c r="U135" s="89"/>
      <c r="V135" s="89"/>
      <c r="W135" s="90"/>
      <c r="X135" s="89"/>
      <c r="Y135" s="91"/>
      <c r="Z135" s="89"/>
      <c r="AA135" s="89"/>
    </row>
    <row r="136" ht="15.75" customHeight="1">
      <c r="A136" s="82"/>
      <c r="B136" s="83"/>
      <c r="C136" s="84"/>
      <c r="D136" s="84"/>
      <c r="E136" s="84"/>
      <c r="F136" s="84"/>
      <c r="G136" s="84"/>
      <c r="H136" s="85"/>
      <c r="I136" s="85"/>
      <c r="J136" s="84"/>
      <c r="K136" s="86"/>
      <c r="L136" s="87"/>
      <c r="M136" s="88"/>
      <c r="N136" s="87"/>
      <c r="O136" s="88"/>
      <c r="P136" s="88"/>
      <c r="Q136" s="88"/>
      <c r="R136" s="88"/>
      <c r="S136" s="89"/>
      <c r="T136" s="89"/>
      <c r="U136" s="89"/>
      <c r="V136" s="89"/>
      <c r="W136" s="90"/>
      <c r="X136" s="89"/>
      <c r="Y136" s="91"/>
      <c r="Z136" s="89"/>
      <c r="AA136" s="89"/>
    </row>
    <row r="137" ht="15.75" customHeight="1">
      <c r="A137" s="82"/>
      <c r="B137" s="83"/>
      <c r="C137" s="84"/>
      <c r="D137" s="84"/>
      <c r="E137" s="84"/>
      <c r="F137" s="84"/>
      <c r="G137" s="84"/>
      <c r="H137" s="85"/>
      <c r="I137" s="85"/>
      <c r="J137" s="84"/>
      <c r="K137" s="86"/>
      <c r="L137" s="87"/>
      <c r="M137" s="88"/>
      <c r="N137" s="87"/>
      <c r="O137" s="88"/>
      <c r="P137" s="88"/>
      <c r="Q137" s="88"/>
      <c r="R137" s="88"/>
      <c r="S137" s="89"/>
      <c r="T137" s="89"/>
      <c r="U137" s="89"/>
      <c r="V137" s="89"/>
      <c r="W137" s="90"/>
      <c r="X137" s="89"/>
      <c r="Y137" s="91"/>
      <c r="Z137" s="89"/>
      <c r="AA137" s="89"/>
    </row>
    <row r="138" ht="15.75" customHeight="1">
      <c r="A138" s="82"/>
      <c r="B138" s="83"/>
      <c r="C138" s="84"/>
      <c r="D138" s="84"/>
      <c r="E138" s="84"/>
      <c r="F138" s="84"/>
      <c r="G138" s="84"/>
      <c r="H138" s="85"/>
      <c r="I138" s="85"/>
      <c r="J138" s="84"/>
      <c r="K138" s="86"/>
      <c r="L138" s="87"/>
      <c r="M138" s="88"/>
      <c r="N138" s="87"/>
      <c r="O138" s="88"/>
      <c r="P138" s="88"/>
      <c r="Q138" s="88"/>
      <c r="R138" s="88"/>
      <c r="S138" s="89"/>
      <c r="T138" s="89"/>
      <c r="U138" s="89"/>
      <c r="V138" s="89"/>
      <c r="W138" s="90"/>
      <c r="X138" s="89"/>
      <c r="Y138" s="91"/>
      <c r="Z138" s="89"/>
      <c r="AA138" s="89"/>
    </row>
    <row r="139" ht="15.75" customHeight="1">
      <c r="A139" s="82"/>
      <c r="B139" s="83"/>
      <c r="C139" s="84"/>
      <c r="D139" s="84"/>
      <c r="E139" s="84"/>
      <c r="F139" s="84"/>
      <c r="G139" s="84"/>
      <c r="H139" s="85"/>
      <c r="I139" s="85"/>
      <c r="J139" s="84"/>
      <c r="K139" s="86"/>
      <c r="L139" s="87"/>
      <c r="M139" s="88"/>
      <c r="N139" s="87"/>
      <c r="O139" s="88"/>
      <c r="P139" s="88"/>
      <c r="Q139" s="88"/>
      <c r="R139" s="88"/>
      <c r="S139" s="89"/>
      <c r="T139" s="89"/>
      <c r="U139" s="89"/>
      <c r="V139" s="89"/>
      <c r="W139" s="90"/>
      <c r="X139" s="89"/>
      <c r="Y139" s="91"/>
      <c r="Z139" s="89"/>
      <c r="AA139" s="89"/>
    </row>
    <row r="140" ht="15.75" customHeight="1">
      <c r="A140" s="82"/>
      <c r="B140" s="83"/>
      <c r="C140" s="84"/>
      <c r="D140" s="84"/>
      <c r="E140" s="84"/>
      <c r="F140" s="84"/>
      <c r="G140" s="84"/>
      <c r="H140" s="85"/>
      <c r="I140" s="85"/>
      <c r="J140" s="84"/>
      <c r="K140" s="86"/>
      <c r="L140" s="87"/>
      <c r="M140" s="88"/>
      <c r="N140" s="87"/>
      <c r="O140" s="88"/>
      <c r="P140" s="88"/>
      <c r="Q140" s="88"/>
      <c r="R140" s="88"/>
      <c r="S140" s="89"/>
      <c r="T140" s="89"/>
      <c r="U140" s="89"/>
      <c r="V140" s="89"/>
      <c r="W140" s="90"/>
      <c r="X140" s="89"/>
      <c r="Y140" s="91"/>
      <c r="Z140" s="89"/>
      <c r="AA140" s="89"/>
    </row>
    <row r="141" ht="15.75" customHeight="1">
      <c r="A141" s="82"/>
      <c r="B141" s="83"/>
      <c r="C141" s="84"/>
      <c r="D141" s="84"/>
      <c r="E141" s="84"/>
      <c r="F141" s="84"/>
      <c r="G141" s="84"/>
      <c r="H141" s="85"/>
      <c r="I141" s="85"/>
      <c r="J141" s="84"/>
      <c r="K141" s="86"/>
      <c r="L141" s="87"/>
      <c r="M141" s="88"/>
      <c r="N141" s="87"/>
      <c r="O141" s="88"/>
      <c r="P141" s="88"/>
      <c r="Q141" s="88"/>
      <c r="R141" s="88"/>
      <c r="S141" s="89"/>
      <c r="T141" s="89"/>
      <c r="U141" s="89"/>
      <c r="V141" s="89"/>
      <c r="W141" s="90"/>
      <c r="X141" s="89"/>
      <c r="Y141" s="91"/>
      <c r="Z141" s="89"/>
      <c r="AA141" s="89"/>
    </row>
    <row r="142" ht="15.75" customHeight="1">
      <c r="A142" s="82"/>
      <c r="B142" s="83"/>
      <c r="C142" s="84"/>
      <c r="D142" s="84"/>
      <c r="E142" s="84"/>
      <c r="F142" s="84"/>
      <c r="G142" s="84"/>
      <c r="H142" s="85"/>
      <c r="I142" s="85"/>
      <c r="J142" s="84"/>
      <c r="K142" s="86"/>
      <c r="L142" s="87"/>
      <c r="M142" s="88"/>
      <c r="N142" s="87"/>
      <c r="O142" s="88"/>
      <c r="P142" s="88"/>
      <c r="Q142" s="88"/>
      <c r="R142" s="88"/>
      <c r="S142" s="89"/>
      <c r="T142" s="89"/>
      <c r="U142" s="89"/>
      <c r="V142" s="89"/>
      <c r="W142" s="90"/>
      <c r="X142" s="89"/>
      <c r="Y142" s="91"/>
      <c r="Z142" s="89"/>
      <c r="AA142" s="89"/>
    </row>
    <row r="143" ht="15.75" customHeight="1">
      <c r="A143" s="82"/>
      <c r="B143" s="83"/>
      <c r="C143" s="84"/>
      <c r="D143" s="84"/>
      <c r="E143" s="84"/>
      <c r="F143" s="84"/>
      <c r="G143" s="84"/>
      <c r="H143" s="85"/>
      <c r="I143" s="85"/>
      <c r="J143" s="84"/>
      <c r="K143" s="86"/>
      <c r="L143" s="87"/>
      <c r="M143" s="88"/>
      <c r="N143" s="87"/>
      <c r="O143" s="88"/>
      <c r="P143" s="88"/>
      <c r="Q143" s="88"/>
      <c r="R143" s="88"/>
      <c r="S143" s="89"/>
      <c r="T143" s="89"/>
      <c r="U143" s="89"/>
      <c r="V143" s="89"/>
      <c r="W143" s="90"/>
      <c r="X143" s="89"/>
      <c r="Y143" s="91"/>
      <c r="Z143" s="89"/>
      <c r="AA143" s="89"/>
    </row>
    <row r="144" ht="15.75" customHeight="1">
      <c r="A144" s="82"/>
      <c r="B144" s="83"/>
      <c r="C144" s="84"/>
      <c r="D144" s="84"/>
      <c r="E144" s="84"/>
      <c r="F144" s="84"/>
      <c r="G144" s="84"/>
      <c r="H144" s="85"/>
      <c r="I144" s="85"/>
      <c r="J144" s="84"/>
      <c r="K144" s="86"/>
      <c r="L144" s="87"/>
      <c r="M144" s="88"/>
      <c r="N144" s="87"/>
      <c r="O144" s="88"/>
      <c r="P144" s="88"/>
      <c r="Q144" s="88"/>
      <c r="R144" s="88"/>
      <c r="S144" s="89"/>
      <c r="T144" s="89"/>
      <c r="U144" s="89"/>
      <c r="V144" s="89"/>
      <c r="W144" s="90"/>
      <c r="X144" s="89"/>
      <c r="Y144" s="91"/>
      <c r="Z144" s="89"/>
      <c r="AA144" s="89"/>
    </row>
    <row r="145" ht="15.75" customHeight="1">
      <c r="A145" s="82"/>
      <c r="B145" s="83"/>
      <c r="C145" s="84"/>
      <c r="D145" s="84"/>
      <c r="E145" s="84"/>
      <c r="F145" s="84"/>
      <c r="G145" s="84"/>
      <c r="H145" s="85"/>
      <c r="I145" s="85"/>
      <c r="J145" s="84"/>
      <c r="K145" s="86"/>
      <c r="L145" s="87"/>
      <c r="M145" s="88"/>
      <c r="N145" s="87"/>
      <c r="O145" s="88"/>
      <c r="P145" s="88"/>
      <c r="Q145" s="88"/>
      <c r="R145" s="88"/>
      <c r="S145" s="89"/>
      <c r="T145" s="89"/>
      <c r="U145" s="89"/>
      <c r="V145" s="89"/>
      <c r="W145" s="90"/>
      <c r="X145" s="89"/>
      <c r="Y145" s="91"/>
      <c r="Z145" s="89"/>
      <c r="AA145" s="89"/>
    </row>
    <row r="146" ht="15.75" customHeight="1">
      <c r="A146" s="82"/>
      <c r="B146" s="83"/>
      <c r="C146" s="84"/>
      <c r="D146" s="84"/>
      <c r="E146" s="84"/>
      <c r="F146" s="84"/>
      <c r="G146" s="84"/>
      <c r="H146" s="85"/>
      <c r="I146" s="85"/>
      <c r="J146" s="84"/>
      <c r="K146" s="86"/>
      <c r="L146" s="87"/>
      <c r="M146" s="88"/>
      <c r="N146" s="87"/>
      <c r="O146" s="88"/>
      <c r="P146" s="88"/>
      <c r="Q146" s="88"/>
      <c r="R146" s="88"/>
      <c r="S146" s="89"/>
      <c r="T146" s="89"/>
      <c r="U146" s="89"/>
      <c r="V146" s="89"/>
      <c r="W146" s="90"/>
      <c r="X146" s="89"/>
      <c r="Y146" s="91"/>
      <c r="Z146" s="89"/>
      <c r="AA146" s="89"/>
    </row>
    <row r="147" ht="15.75" customHeight="1">
      <c r="A147" s="82"/>
      <c r="B147" s="83"/>
      <c r="C147" s="84"/>
      <c r="D147" s="84"/>
      <c r="E147" s="84"/>
      <c r="F147" s="84"/>
      <c r="G147" s="84"/>
      <c r="H147" s="85"/>
      <c r="I147" s="85"/>
      <c r="J147" s="84"/>
      <c r="K147" s="86"/>
      <c r="L147" s="87"/>
      <c r="M147" s="88"/>
      <c r="N147" s="87"/>
      <c r="O147" s="88"/>
      <c r="P147" s="88"/>
      <c r="Q147" s="88"/>
      <c r="R147" s="88"/>
      <c r="S147" s="89"/>
      <c r="T147" s="89"/>
      <c r="U147" s="89"/>
      <c r="V147" s="89"/>
      <c r="W147" s="90"/>
      <c r="X147" s="89"/>
      <c r="Y147" s="91"/>
      <c r="Z147" s="89"/>
      <c r="AA147" s="89"/>
    </row>
    <row r="148" ht="15.75" customHeight="1">
      <c r="A148" s="82"/>
      <c r="B148" s="83"/>
      <c r="C148" s="84"/>
      <c r="D148" s="84"/>
      <c r="E148" s="84"/>
      <c r="F148" s="84"/>
      <c r="G148" s="84"/>
      <c r="H148" s="85"/>
      <c r="I148" s="85"/>
      <c r="J148" s="84"/>
      <c r="K148" s="86"/>
      <c r="L148" s="87"/>
      <c r="M148" s="88"/>
      <c r="N148" s="87"/>
      <c r="O148" s="88"/>
      <c r="P148" s="88"/>
      <c r="Q148" s="88"/>
      <c r="R148" s="88"/>
      <c r="S148" s="89"/>
      <c r="T148" s="89"/>
      <c r="U148" s="89"/>
      <c r="V148" s="89"/>
      <c r="W148" s="90"/>
      <c r="X148" s="89"/>
      <c r="Y148" s="91"/>
      <c r="Z148" s="89"/>
      <c r="AA148" s="89"/>
    </row>
    <row r="149" ht="15.75" customHeight="1">
      <c r="A149" s="82"/>
      <c r="B149" s="83"/>
      <c r="C149" s="84"/>
      <c r="D149" s="84"/>
      <c r="E149" s="84"/>
      <c r="F149" s="84"/>
      <c r="G149" s="84"/>
      <c r="H149" s="85"/>
      <c r="I149" s="85"/>
      <c r="J149" s="84"/>
      <c r="K149" s="86"/>
      <c r="L149" s="87"/>
      <c r="M149" s="88"/>
      <c r="N149" s="87"/>
      <c r="O149" s="88"/>
      <c r="P149" s="88"/>
      <c r="Q149" s="88"/>
      <c r="R149" s="88"/>
      <c r="S149" s="89"/>
      <c r="T149" s="89"/>
      <c r="U149" s="89"/>
      <c r="V149" s="89"/>
      <c r="W149" s="90"/>
      <c r="X149" s="89"/>
      <c r="Y149" s="91"/>
      <c r="Z149" s="89"/>
      <c r="AA149" s="89"/>
    </row>
    <row r="150" ht="15.75" customHeight="1">
      <c r="A150" s="82"/>
      <c r="B150" s="83"/>
      <c r="C150" s="84"/>
      <c r="D150" s="84"/>
      <c r="E150" s="84"/>
      <c r="F150" s="84"/>
      <c r="G150" s="84"/>
      <c r="H150" s="85"/>
      <c r="I150" s="85"/>
      <c r="J150" s="84"/>
      <c r="K150" s="86"/>
      <c r="L150" s="87"/>
      <c r="M150" s="88"/>
      <c r="N150" s="87"/>
      <c r="O150" s="88"/>
      <c r="P150" s="88"/>
      <c r="Q150" s="88"/>
      <c r="R150" s="88"/>
      <c r="S150" s="89"/>
      <c r="T150" s="89"/>
      <c r="U150" s="89"/>
      <c r="V150" s="89"/>
      <c r="W150" s="90"/>
      <c r="X150" s="89"/>
      <c r="Y150" s="91"/>
      <c r="Z150" s="89"/>
      <c r="AA150" s="89"/>
    </row>
    <row r="151" ht="15.75" customHeight="1">
      <c r="A151" s="82"/>
      <c r="B151" s="83"/>
      <c r="C151" s="84"/>
      <c r="D151" s="84"/>
      <c r="E151" s="84"/>
      <c r="F151" s="84"/>
      <c r="G151" s="84"/>
      <c r="H151" s="85"/>
      <c r="I151" s="85"/>
      <c r="J151" s="84"/>
      <c r="K151" s="86"/>
      <c r="L151" s="87"/>
      <c r="M151" s="88"/>
      <c r="N151" s="87"/>
      <c r="O151" s="88"/>
      <c r="P151" s="88"/>
      <c r="Q151" s="88"/>
      <c r="R151" s="88"/>
      <c r="S151" s="89"/>
      <c r="T151" s="89"/>
      <c r="U151" s="89"/>
      <c r="V151" s="89"/>
      <c r="W151" s="90"/>
      <c r="X151" s="89"/>
      <c r="Y151" s="91"/>
      <c r="Z151" s="89"/>
      <c r="AA151" s="89"/>
    </row>
    <row r="152" ht="15.75" customHeight="1">
      <c r="A152" s="82"/>
      <c r="B152" s="83"/>
      <c r="C152" s="84"/>
      <c r="D152" s="84"/>
      <c r="E152" s="84"/>
      <c r="F152" s="84"/>
      <c r="G152" s="84"/>
      <c r="H152" s="85"/>
      <c r="I152" s="85"/>
      <c r="J152" s="84"/>
      <c r="K152" s="86"/>
      <c r="L152" s="87"/>
      <c r="M152" s="88"/>
      <c r="N152" s="87"/>
      <c r="O152" s="88"/>
      <c r="P152" s="88"/>
      <c r="Q152" s="88"/>
      <c r="R152" s="88"/>
      <c r="S152" s="89"/>
      <c r="T152" s="89"/>
      <c r="U152" s="89"/>
      <c r="V152" s="89"/>
      <c r="W152" s="90"/>
      <c r="X152" s="89"/>
      <c r="Y152" s="91"/>
      <c r="Z152" s="89"/>
      <c r="AA152" s="89"/>
    </row>
    <row r="153" ht="15.75" customHeight="1">
      <c r="A153" s="82"/>
      <c r="B153" s="83"/>
      <c r="C153" s="84"/>
      <c r="D153" s="84"/>
      <c r="E153" s="84"/>
      <c r="F153" s="84"/>
      <c r="G153" s="84"/>
      <c r="H153" s="85"/>
      <c r="I153" s="85"/>
      <c r="J153" s="84"/>
      <c r="K153" s="86"/>
      <c r="L153" s="87"/>
      <c r="M153" s="88"/>
      <c r="N153" s="87"/>
      <c r="O153" s="88"/>
      <c r="P153" s="88"/>
      <c r="Q153" s="88"/>
      <c r="R153" s="88"/>
      <c r="S153" s="89"/>
      <c r="T153" s="89"/>
      <c r="U153" s="89"/>
      <c r="V153" s="89"/>
      <c r="W153" s="90"/>
      <c r="X153" s="89"/>
      <c r="Y153" s="91"/>
      <c r="Z153" s="89"/>
      <c r="AA153" s="89"/>
    </row>
    <row r="154" ht="15.75" customHeight="1">
      <c r="A154" s="82"/>
      <c r="B154" s="83"/>
      <c r="C154" s="84"/>
      <c r="D154" s="84"/>
      <c r="E154" s="84"/>
      <c r="F154" s="84"/>
      <c r="G154" s="84"/>
      <c r="H154" s="85"/>
      <c r="I154" s="85"/>
      <c r="J154" s="84"/>
      <c r="K154" s="86"/>
      <c r="L154" s="87"/>
      <c r="M154" s="88"/>
      <c r="N154" s="87"/>
      <c r="O154" s="88"/>
      <c r="P154" s="88"/>
      <c r="Q154" s="88"/>
      <c r="R154" s="88"/>
      <c r="S154" s="89"/>
      <c r="T154" s="89"/>
      <c r="U154" s="89"/>
      <c r="V154" s="89"/>
      <c r="W154" s="90"/>
      <c r="X154" s="89"/>
      <c r="Y154" s="91"/>
      <c r="Z154" s="89"/>
      <c r="AA154" s="89"/>
    </row>
    <row r="155" ht="15.75" customHeight="1">
      <c r="A155" s="82"/>
      <c r="B155" s="83"/>
      <c r="C155" s="84"/>
      <c r="D155" s="84"/>
      <c r="E155" s="84"/>
      <c r="F155" s="84"/>
      <c r="G155" s="84"/>
      <c r="H155" s="85"/>
      <c r="I155" s="85"/>
      <c r="J155" s="84"/>
      <c r="K155" s="86"/>
      <c r="L155" s="87"/>
      <c r="M155" s="88"/>
      <c r="N155" s="87"/>
      <c r="O155" s="88"/>
      <c r="P155" s="88"/>
      <c r="Q155" s="88"/>
      <c r="R155" s="88"/>
      <c r="S155" s="89"/>
      <c r="T155" s="89"/>
      <c r="U155" s="89"/>
      <c r="V155" s="89"/>
      <c r="W155" s="90"/>
      <c r="X155" s="89"/>
      <c r="Y155" s="91"/>
      <c r="Z155" s="89"/>
      <c r="AA155" s="89"/>
    </row>
    <row r="156" ht="15.75" customHeight="1">
      <c r="A156" s="82"/>
      <c r="B156" s="83"/>
      <c r="C156" s="84"/>
      <c r="D156" s="84"/>
      <c r="E156" s="84"/>
      <c r="F156" s="84"/>
      <c r="G156" s="84"/>
      <c r="H156" s="85"/>
      <c r="I156" s="85"/>
      <c r="J156" s="84"/>
      <c r="K156" s="86"/>
      <c r="L156" s="87"/>
      <c r="M156" s="88"/>
      <c r="N156" s="87"/>
      <c r="O156" s="88"/>
      <c r="P156" s="88"/>
      <c r="Q156" s="88"/>
      <c r="R156" s="88"/>
      <c r="S156" s="89"/>
      <c r="T156" s="89"/>
      <c r="U156" s="89"/>
      <c r="V156" s="89"/>
      <c r="W156" s="90"/>
      <c r="X156" s="89"/>
      <c r="Y156" s="91"/>
      <c r="Z156" s="89"/>
      <c r="AA156" s="89"/>
    </row>
    <row r="157" ht="15.75" customHeight="1">
      <c r="A157" s="82"/>
      <c r="B157" s="83"/>
      <c r="C157" s="84"/>
      <c r="D157" s="84"/>
      <c r="E157" s="84"/>
      <c r="F157" s="84"/>
      <c r="G157" s="84"/>
      <c r="H157" s="85"/>
      <c r="I157" s="85"/>
      <c r="J157" s="84"/>
      <c r="K157" s="86"/>
      <c r="L157" s="87"/>
      <c r="M157" s="88"/>
      <c r="N157" s="87"/>
      <c r="O157" s="88"/>
      <c r="P157" s="88"/>
      <c r="Q157" s="88"/>
      <c r="R157" s="88"/>
      <c r="S157" s="89"/>
      <c r="T157" s="89"/>
      <c r="U157" s="89"/>
      <c r="V157" s="89"/>
      <c r="W157" s="90"/>
      <c r="X157" s="89"/>
      <c r="Y157" s="91"/>
      <c r="Z157" s="89"/>
      <c r="AA157" s="89"/>
    </row>
    <row r="158" ht="15.75" customHeight="1">
      <c r="A158" s="82"/>
      <c r="B158" s="83"/>
      <c r="C158" s="84"/>
      <c r="D158" s="84"/>
      <c r="E158" s="84"/>
      <c r="F158" s="84"/>
      <c r="G158" s="84"/>
      <c r="H158" s="85"/>
      <c r="I158" s="85"/>
      <c r="J158" s="84"/>
      <c r="K158" s="86"/>
      <c r="L158" s="87"/>
      <c r="M158" s="88"/>
      <c r="N158" s="87"/>
      <c r="O158" s="88"/>
      <c r="P158" s="88"/>
      <c r="Q158" s="88"/>
      <c r="R158" s="88"/>
      <c r="S158" s="89"/>
      <c r="T158" s="89"/>
      <c r="U158" s="89"/>
      <c r="V158" s="89"/>
      <c r="W158" s="90"/>
      <c r="X158" s="89"/>
      <c r="Y158" s="91"/>
      <c r="Z158" s="89"/>
      <c r="AA158" s="89"/>
    </row>
    <row r="159" ht="15.75" customHeight="1">
      <c r="A159" s="82"/>
      <c r="B159" s="83"/>
      <c r="C159" s="84"/>
      <c r="D159" s="84"/>
      <c r="E159" s="84"/>
      <c r="F159" s="84"/>
      <c r="G159" s="84"/>
      <c r="H159" s="85"/>
      <c r="I159" s="85"/>
      <c r="J159" s="84"/>
      <c r="K159" s="86"/>
      <c r="L159" s="87"/>
      <c r="M159" s="88"/>
      <c r="N159" s="87"/>
      <c r="O159" s="88"/>
      <c r="P159" s="88"/>
      <c r="Q159" s="88"/>
      <c r="R159" s="88"/>
      <c r="S159" s="89"/>
      <c r="T159" s="89"/>
      <c r="U159" s="89"/>
      <c r="V159" s="89"/>
      <c r="W159" s="90"/>
      <c r="X159" s="89"/>
      <c r="Y159" s="91"/>
      <c r="Z159" s="89"/>
      <c r="AA159" s="89"/>
    </row>
    <row r="160" ht="15.75" customHeight="1">
      <c r="A160" s="82"/>
      <c r="B160" s="83"/>
      <c r="C160" s="84"/>
      <c r="D160" s="84"/>
      <c r="E160" s="84"/>
      <c r="F160" s="84"/>
      <c r="G160" s="84"/>
      <c r="H160" s="85"/>
      <c r="I160" s="85"/>
      <c r="J160" s="84"/>
      <c r="K160" s="86"/>
      <c r="L160" s="87"/>
      <c r="M160" s="88"/>
      <c r="N160" s="87"/>
      <c r="O160" s="88"/>
      <c r="P160" s="88"/>
      <c r="Q160" s="88"/>
      <c r="R160" s="88"/>
      <c r="S160" s="89"/>
      <c r="T160" s="89"/>
      <c r="U160" s="89"/>
      <c r="V160" s="89"/>
      <c r="W160" s="90"/>
      <c r="X160" s="89"/>
      <c r="Y160" s="91"/>
      <c r="Z160" s="89"/>
      <c r="AA160" s="89"/>
    </row>
    <row r="161" ht="15.75" customHeight="1">
      <c r="A161" s="82"/>
      <c r="B161" s="83"/>
      <c r="C161" s="84"/>
      <c r="D161" s="84"/>
      <c r="E161" s="84"/>
      <c r="F161" s="84"/>
      <c r="G161" s="84"/>
      <c r="H161" s="85"/>
      <c r="I161" s="85"/>
      <c r="J161" s="84"/>
      <c r="K161" s="86"/>
      <c r="L161" s="87"/>
      <c r="M161" s="88"/>
      <c r="N161" s="87"/>
      <c r="O161" s="88"/>
      <c r="P161" s="88"/>
      <c r="Q161" s="88"/>
      <c r="R161" s="88"/>
      <c r="S161" s="89"/>
      <c r="T161" s="89"/>
      <c r="U161" s="89"/>
      <c r="V161" s="89"/>
      <c r="W161" s="90"/>
      <c r="X161" s="89"/>
      <c r="Y161" s="91"/>
      <c r="Z161" s="89"/>
      <c r="AA161" s="89"/>
    </row>
    <row r="162" ht="15.75" customHeight="1">
      <c r="A162" s="82"/>
      <c r="B162" s="83"/>
      <c r="C162" s="84"/>
      <c r="D162" s="84"/>
      <c r="E162" s="84"/>
      <c r="F162" s="84"/>
      <c r="G162" s="84"/>
      <c r="H162" s="85"/>
      <c r="I162" s="85"/>
      <c r="J162" s="84"/>
      <c r="K162" s="86"/>
      <c r="L162" s="87"/>
      <c r="M162" s="88"/>
      <c r="N162" s="87"/>
      <c r="O162" s="88"/>
      <c r="P162" s="88"/>
      <c r="Q162" s="88"/>
      <c r="R162" s="88"/>
      <c r="S162" s="89"/>
      <c r="T162" s="89"/>
      <c r="U162" s="89"/>
      <c r="V162" s="89"/>
      <c r="W162" s="90"/>
      <c r="X162" s="89"/>
      <c r="Y162" s="91"/>
      <c r="Z162" s="89"/>
      <c r="AA162" s="89"/>
    </row>
    <row r="163" ht="15.75" customHeight="1">
      <c r="A163" s="82"/>
      <c r="B163" s="83"/>
      <c r="C163" s="84"/>
      <c r="D163" s="84"/>
      <c r="E163" s="84"/>
      <c r="F163" s="84"/>
      <c r="G163" s="84"/>
      <c r="H163" s="85"/>
      <c r="I163" s="85"/>
      <c r="J163" s="84"/>
      <c r="K163" s="86"/>
      <c r="L163" s="87"/>
      <c r="M163" s="88"/>
      <c r="N163" s="87"/>
      <c r="O163" s="88"/>
      <c r="P163" s="88"/>
      <c r="Q163" s="88"/>
      <c r="R163" s="88"/>
      <c r="S163" s="89"/>
      <c r="T163" s="89"/>
      <c r="U163" s="89"/>
      <c r="V163" s="89"/>
      <c r="W163" s="90"/>
      <c r="X163" s="89"/>
      <c r="Y163" s="91"/>
      <c r="Z163" s="89"/>
      <c r="AA163" s="89"/>
    </row>
    <row r="164" ht="15.75" customHeight="1">
      <c r="A164" s="82"/>
      <c r="B164" s="83"/>
      <c r="C164" s="84"/>
      <c r="D164" s="84"/>
      <c r="E164" s="84"/>
      <c r="F164" s="84"/>
      <c r="G164" s="84"/>
      <c r="H164" s="85"/>
      <c r="I164" s="85"/>
      <c r="J164" s="84"/>
      <c r="K164" s="86"/>
      <c r="L164" s="87"/>
      <c r="M164" s="88"/>
      <c r="N164" s="87"/>
      <c r="O164" s="88"/>
      <c r="P164" s="88"/>
      <c r="Q164" s="88"/>
      <c r="R164" s="88"/>
      <c r="S164" s="89"/>
      <c r="T164" s="89"/>
      <c r="U164" s="89"/>
      <c r="V164" s="89"/>
      <c r="W164" s="90"/>
      <c r="X164" s="89"/>
      <c r="Y164" s="91"/>
      <c r="Z164" s="89"/>
      <c r="AA164" s="89"/>
    </row>
    <row r="165" ht="15.75" customHeight="1">
      <c r="A165" s="82"/>
      <c r="B165" s="83"/>
      <c r="C165" s="84"/>
      <c r="D165" s="84"/>
      <c r="E165" s="84"/>
      <c r="F165" s="84"/>
      <c r="G165" s="84"/>
      <c r="H165" s="85"/>
      <c r="I165" s="85"/>
      <c r="J165" s="84"/>
      <c r="K165" s="86"/>
      <c r="L165" s="87"/>
      <c r="M165" s="88"/>
      <c r="N165" s="87"/>
      <c r="O165" s="88"/>
      <c r="P165" s="88"/>
      <c r="Q165" s="88"/>
      <c r="R165" s="88"/>
      <c r="S165" s="89"/>
      <c r="T165" s="89"/>
      <c r="U165" s="89"/>
      <c r="V165" s="89"/>
      <c r="W165" s="90"/>
      <c r="X165" s="89"/>
      <c r="Y165" s="91"/>
      <c r="Z165" s="89"/>
      <c r="AA165" s="89"/>
    </row>
    <row r="166" ht="15.75" customHeight="1">
      <c r="A166" s="82"/>
      <c r="B166" s="83"/>
      <c r="C166" s="84"/>
      <c r="D166" s="84"/>
      <c r="E166" s="84"/>
      <c r="F166" s="84"/>
      <c r="G166" s="84"/>
      <c r="H166" s="85"/>
      <c r="I166" s="85"/>
      <c r="J166" s="84"/>
      <c r="K166" s="86"/>
      <c r="L166" s="87"/>
      <c r="M166" s="88"/>
      <c r="N166" s="87"/>
      <c r="O166" s="88"/>
      <c r="P166" s="88"/>
      <c r="Q166" s="88"/>
      <c r="R166" s="88"/>
      <c r="S166" s="89"/>
      <c r="T166" s="89"/>
      <c r="U166" s="89"/>
      <c r="V166" s="89"/>
      <c r="W166" s="90"/>
      <c r="X166" s="89"/>
      <c r="Y166" s="91"/>
      <c r="Z166" s="89"/>
      <c r="AA166" s="89"/>
    </row>
    <row r="167" ht="15.75" customHeight="1">
      <c r="A167" s="82"/>
      <c r="B167" s="83"/>
      <c r="C167" s="84"/>
      <c r="D167" s="84"/>
      <c r="E167" s="84"/>
      <c r="F167" s="84"/>
      <c r="G167" s="84"/>
      <c r="H167" s="85"/>
      <c r="I167" s="85"/>
      <c r="J167" s="84"/>
      <c r="K167" s="86"/>
      <c r="L167" s="87"/>
      <c r="M167" s="88"/>
      <c r="N167" s="87"/>
      <c r="O167" s="88"/>
      <c r="P167" s="88"/>
      <c r="Q167" s="88"/>
      <c r="R167" s="88"/>
      <c r="S167" s="89"/>
      <c r="T167" s="89"/>
      <c r="U167" s="89"/>
      <c r="V167" s="89"/>
      <c r="W167" s="90"/>
      <c r="X167" s="89"/>
      <c r="Y167" s="91"/>
      <c r="Z167" s="89"/>
      <c r="AA167" s="89"/>
    </row>
    <row r="168" ht="15.75" customHeight="1">
      <c r="A168" s="82"/>
      <c r="B168" s="83"/>
      <c r="C168" s="84"/>
      <c r="D168" s="84"/>
      <c r="E168" s="84"/>
      <c r="F168" s="84"/>
      <c r="G168" s="84"/>
      <c r="H168" s="85"/>
      <c r="I168" s="85"/>
      <c r="J168" s="84"/>
      <c r="K168" s="86"/>
      <c r="L168" s="87"/>
      <c r="M168" s="88"/>
      <c r="N168" s="87"/>
      <c r="O168" s="88"/>
      <c r="P168" s="88"/>
      <c r="Q168" s="88"/>
      <c r="R168" s="88"/>
      <c r="S168" s="89"/>
      <c r="T168" s="89"/>
      <c r="U168" s="89"/>
      <c r="V168" s="89"/>
      <c r="W168" s="90"/>
      <c r="X168" s="89"/>
      <c r="Y168" s="91"/>
      <c r="Z168" s="89"/>
      <c r="AA168" s="89"/>
    </row>
    <row r="169" ht="15.75" customHeight="1">
      <c r="A169" s="82"/>
      <c r="B169" s="83"/>
      <c r="C169" s="84"/>
      <c r="D169" s="84"/>
      <c r="E169" s="84"/>
      <c r="F169" s="84"/>
      <c r="G169" s="84"/>
      <c r="H169" s="85"/>
      <c r="I169" s="85"/>
      <c r="J169" s="84"/>
      <c r="K169" s="86"/>
      <c r="L169" s="87"/>
      <c r="M169" s="88"/>
      <c r="N169" s="87"/>
      <c r="O169" s="88"/>
      <c r="P169" s="88"/>
      <c r="Q169" s="88"/>
      <c r="R169" s="88"/>
      <c r="S169" s="89"/>
      <c r="T169" s="89"/>
      <c r="U169" s="89"/>
      <c r="V169" s="89"/>
      <c r="W169" s="90"/>
      <c r="X169" s="89"/>
      <c r="Y169" s="91"/>
      <c r="Z169" s="89"/>
      <c r="AA169" s="89"/>
    </row>
    <row r="170" ht="15.75" customHeight="1">
      <c r="A170" s="82"/>
      <c r="B170" s="83"/>
      <c r="C170" s="84"/>
      <c r="D170" s="84"/>
      <c r="E170" s="84"/>
      <c r="F170" s="84"/>
      <c r="G170" s="84"/>
      <c r="H170" s="85"/>
      <c r="I170" s="85"/>
      <c r="J170" s="84"/>
      <c r="K170" s="86"/>
      <c r="L170" s="87"/>
      <c r="M170" s="88"/>
      <c r="N170" s="87"/>
      <c r="O170" s="88"/>
      <c r="P170" s="88"/>
      <c r="Q170" s="88"/>
      <c r="R170" s="88"/>
      <c r="S170" s="89"/>
      <c r="T170" s="89"/>
      <c r="U170" s="89"/>
      <c r="V170" s="89"/>
      <c r="W170" s="90"/>
      <c r="X170" s="89"/>
      <c r="Y170" s="91"/>
      <c r="Z170" s="89"/>
      <c r="AA170" s="89"/>
    </row>
    <row r="171" ht="15.75" customHeight="1">
      <c r="A171" s="82"/>
      <c r="B171" s="83"/>
      <c r="C171" s="84"/>
      <c r="D171" s="84"/>
      <c r="E171" s="84"/>
      <c r="F171" s="84"/>
      <c r="G171" s="84"/>
      <c r="H171" s="85"/>
      <c r="I171" s="85"/>
      <c r="J171" s="84"/>
      <c r="K171" s="86"/>
      <c r="L171" s="87"/>
      <c r="M171" s="88"/>
      <c r="N171" s="87"/>
      <c r="O171" s="88"/>
      <c r="P171" s="88"/>
      <c r="Q171" s="88"/>
      <c r="R171" s="88"/>
      <c r="S171" s="89"/>
      <c r="T171" s="89"/>
      <c r="U171" s="89"/>
      <c r="V171" s="89"/>
      <c r="W171" s="90"/>
      <c r="X171" s="89"/>
      <c r="Y171" s="91"/>
      <c r="Z171" s="89"/>
      <c r="AA171" s="89"/>
    </row>
    <row r="172" ht="15.75" customHeight="1">
      <c r="A172" s="82"/>
      <c r="B172" s="83"/>
      <c r="C172" s="84"/>
      <c r="D172" s="84"/>
      <c r="E172" s="84"/>
      <c r="F172" s="84"/>
      <c r="G172" s="84"/>
      <c r="H172" s="85"/>
      <c r="I172" s="85"/>
      <c r="J172" s="84"/>
      <c r="K172" s="86"/>
      <c r="L172" s="87"/>
      <c r="M172" s="88"/>
      <c r="N172" s="87"/>
      <c r="O172" s="88"/>
      <c r="P172" s="88"/>
      <c r="Q172" s="88"/>
      <c r="R172" s="88"/>
      <c r="S172" s="89"/>
      <c r="T172" s="89"/>
      <c r="U172" s="89"/>
      <c r="V172" s="89"/>
      <c r="W172" s="90"/>
      <c r="X172" s="89"/>
      <c r="Y172" s="91"/>
      <c r="Z172" s="89"/>
      <c r="AA172" s="89"/>
    </row>
    <row r="173" ht="15.75" customHeight="1">
      <c r="A173" s="82"/>
      <c r="B173" s="83"/>
      <c r="C173" s="84"/>
      <c r="D173" s="84"/>
      <c r="E173" s="84"/>
      <c r="F173" s="84"/>
      <c r="G173" s="84"/>
      <c r="H173" s="85"/>
      <c r="I173" s="85"/>
      <c r="J173" s="84"/>
      <c r="K173" s="86"/>
      <c r="L173" s="87"/>
      <c r="M173" s="88"/>
      <c r="N173" s="87"/>
      <c r="O173" s="88"/>
      <c r="P173" s="88"/>
      <c r="Q173" s="88"/>
      <c r="R173" s="88"/>
      <c r="S173" s="89"/>
      <c r="T173" s="89"/>
      <c r="U173" s="89"/>
      <c r="V173" s="89"/>
      <c r="W173" s="90"/>
      <c r="X173" s="89"/>
      <c r="Y173" s="91"/>
      <c r="Z173" s="89"/>
      <c r="AA173" s="89"/>
    </row>
    <row r="174" ht="15.75" customHeight="1">
      <c r="A174" s="82"/>
      <c r="B174" s="83"/>
      <c r="C174" s="84"/>
      <c r="D174" s="84"/>
      <c r="E174" s="84"/>
      <c r="F174" s="84"/>
      <c r="G174" s="84"/>
      <c r="H174" s="85"/>
      <c r="I174" s="85"/>
      <c r="J174" s="84"/>
      <c r="K174" s="86"/>
      <c r="L174" s="87"/>
      <c r="M174" s="88"/>
      <c r="N174" s="87"/>
      <c r="O174" s="88"/>
      <c r="P174" s="88"/>
      <c r="Q174" s="88"/>
      <c r="R174" s="88"/>
      <c r="S174" s="89"/>
      <c r="T174" s="89"/>
      <c r="U174" s="89"/>
      <c r="V174" s="89"/>
      <c r="W174" s="90"/>
      <c r="X174" s="89"/>
      <c r="Y174" s="91"/>
      <c r="Z174" s="89"/>
      <c r="AA174" s="89"/>
    </row>
    <row r="175" ht="15.75" customHeight="1">
      <c r="A175" s="82"/>
      <c r="B175" s="83"/>
      <c r="C175" s="84"/>
      <c r="D175" s="84"/>
      <c r="E175" s="84"/>
      <c r="F175" s="84"/>
      <c r="G175" s="84"/>
      <c r="H175" s="85"/>
      <c r="I175" s="85"/>
      <c r="J175" s="84"/>
      <c r="K175" s="86"/>
      <c r="L175" s="87"/>
      <c r="M175" s="88"/>
      <c r="N175" s="87"/>
      <c r="O175" s="88"/>
      <c r="P175" s="88"/>
      <c r="Q175" s="88"/>
      <c r="R175" s="88"/>
      <c r="S175" s="89"/>
      <c r="T175" s="89"/>
      <c r="U175" s="89"/>
      <c r="V175" s="89"/>
      <c r="W175" s="90"/>
      <c r="X175" s="89"/>
      <c r="Y175" s="91"/>
      <c r="Z175" s="89"/>
      <c r="AA175" s="89"/>
    </row>
    <row r="176" ht="15.75" customHeight="1">
      <c r="A176" s="82"/>
      <c r="B176" s="83"/>
      <c r="C176" s="84"/>
      <c r="D176" s="84"/>
      <c r="E176" s="84"/>
      <c r="F176" s="84"/>
      <c r="G176" s="84"/>
      <c r="H176" s="85"/>
      <c r="I176" s="85"/>
      <c r="J176" s="84"/>
      <c r="K176" s="86"/>
      <c r="L176" s="87"/>
      <c r="M176" s="88"/>
      <c r="N176" s="87"/>
      <c r="O176" s="88"/>
      <c r="P176" s="88"/>
      <c r="Q176" s="88"/>
      <c r="R176" s="88"/>
      <c r="S176" s="89"/>
      <c r="T176" s="89"/>
      <c r="U176" s="89"/>
      <c r="V176" s="89"/>
      <c r="W176" s="90"/>
      <c r="X176" s="89"/>
      <c r="Y176" s="91"/>
      <c r="Z176" s="89"/>
      <c r="AA176" s="89"/>
    </row>
    <row r="177" ht="15.75" customHeight="1">
      <c r="A177" s="82"/>
      <c r="B177" s="83"/>
      <c r="C177" s="84"/>
      <c r="D177" s="84"/>
      <c r="E177" s="84"/>
      <c r="F177" s="84"/>
      <c r="G177" s="84"/>
      <c r="H177" s="85"/>
      <c r="I177" s="85"/>
      <c r="J177" s="84"/>
      <c r="K177" s="86"/>
      <c r="L177" s="87"/>
      <c r="M177" s="88"/>
      <c r="N177" s="87"/>
      <c r="O177" s="88"/>
      <c r="P177" s="88"/>
      <c r="Q177" s="88"/>
      <c r="R177" s="88"/>
      <c r="S177" s="89"/>
      <c r="T177" s="89"/>
      <c r="U177" s="89"/>
      <c r="V177" s="89"/>
      <c r="W177" s="90"/>
      <c r="X177" s="89"/>
      <c r="Y177" s="91"/>
      <c r="Z177" s="89"/>
      <c r="AA177" s="89"/>
    </row>
    <row r="178" ht="15.75" customHeight="1">
      <c r="A178" s="82"/>
      <c r="B178" s="83"/>
      <c r="C178" s="84"/>
      <c r="D178" s="84"/>
      <c r="E178" s="84"/>
      <c r="F178" s="84"/>
      <c r="G178" s="84"/>
      <c r="H178" s="85"/>
      <c r="I178" s="85"/>
      <c r="J178" s="84"/>
      <c r="K178" s="86"/>
      <c r="L178" s="87"/>
      <c r="M178" s="88"/>
      <c r="N178" s="87"/>
      <c r="O178" s="88"/>
      <c r="P178" s="88"/>
      <c r="Q178" s="88"/>
      <c r="R178" s="88"/>
      <c r="S178" s="89"/>
      <c r="T178" s="89"/>
      <c r="U178" s="89"/>
      <c r="V178" s="89"/>
      <c r="W178" s="90"/>
      <c r="X178" s="89"/>
      <c r="Y178" s="91"/>
      <c r="Z178" s="89"/>
      <c r="AA178" s="89"/>
    </row>
    <row r="179" ht="15.75" customHeight="1">
      <c r="A179" s="82"/>
      <c r="B179" s="83"/>
      <c r="C179" s="84"/>
      <c r="D179" s="84"/>
      <c r="E179" s="84"/>
      <c r="F179" s="84"/>
      <c r="G179" s="84"/>
      <c r="H179" s="85"/>
      <c r="I179" s="85"/>
      <c r="J179" s="84"/>
      <c r="K179" s="86"/>
      <c r="L179" s="87"/>
      <c r="M179" s="88"/>
      <c r="N179" s="87"/>
      <c r="O179" s="88"/>
      <c r="P179" s="88"/>
      <c r="Q179" s="88"/>
      <c r="R179" s="88"/>
      <c r="S179" s="89"/>
      <c r="T179" s="89"/>
      <c r="U179" s="89"/>
      <c r="V179" s="89"/>
      <c r="W179" s="90"/>
      <c r="X179" s="89"/>
      <c r="Y179" s="91"/>
      <c r="Z179" s="89"/>
      <c r="AA179" s="89"/>
    </row>
    <row r="180" ht="15.75" customHeight="1">
      <c r="A180" s="82"/>
      <c r="B180" s="83"/>
      <c r="C180" s="84"/>
      <c r="D180" s="84"/>
      <c r="E180" s="84"/>
      <c r="F180" s="84"/>
      <c r="G180" s="84"/>
      <c r="H180" s="85"/>
      <c r="I180" s="85"/>
      <c r="J180" s="84"/>
      <c r="K180" s="86"/>
      <c r="L180" s="87"/>
      <c r="M180" s="88"/>
      <c r="N180" s="87"/>
      <c r="O180" s="88"/>
      <c r="P180" s="88"/>
      <c r="Q180" s="88"/>
      <c r="R180" s="88"/>
      <c r="S180" s="89"/>
      <c r="T180" s="89"/>
      <c r="U180" s="89"/>
      <c r="V180" s="89"/>
      <c r="W180" s="90"/>
      <c r="X180" s="89"/>
      <c r="Y180" s="91"/>
      <c r="Z180" s="89"/>
      <c r="AA180" s="89"/>
    </row>
    <row r="181" ht="15.75" customHeight="1">
      <c r="A181" s="82"/>
      <c r="B181" s="83"/>
      <c r="C181" s="84"/>
      <c r="D181" s="84"/>
      <c r="E181" s="84"/>
      <c r="F181" s="84"/>
      <c r="G181" s="84"/>
      <c r="H181" s="85"/>
      <c r="I181" s="85"/>
      <c r="J181" s="84"/>
      <c r="K181" s="86"/>
      <c r="L181" s="87"/>
      <c r="M181" s="88"/>
      <c r="N181" s="87"/>
      <c r="O181" s="88"/>
      <c r="P181" s="88"/>
      <c r="Q181" s="88"/>
      <c r="R181" s="88"/>
      <c r="S181" s="89"/>
      <c r="T181" s="89"/>
      <c r="U181" s="89"/>
      <c r="V181" s="89"/>
      <c r="W181" s="90"/>
      <c r="X181" s="89"/>
      <c r="Y181" s="91"/>
      <c r="Z181" s="89"/>
      <c r="AA181" s="89"/>
    </row>
    <row r="182" ht="15.75" customHeight="1">
      <c r="A182" s="82"/>
      <c r="B182" s="83"/>
      <c r="C182" s="84"/>
      <c r="D182" s="84"/>
      <c r="E182" s="84"/>
      <c r="F182" s="84"/>
      <c r="G182" s="84"/>
      <c r="H182" s="85"/>
      <c r="I182" s="85"/>
      <c r="J182" s="84"/>
      <c r="K182" s="86"/>
      <c r="L182" s="87"/>
      <c r="M182" s="88"/>
      <c r="N182" s="87"/>
      <c r="O182" s="88"/>
      <c r="P182" s="88"/>
      <c r="Q182" s="88"/>
      <c r="R182" s="88"/>
      <c r="S182" s="89"/>
      <c r="T182" s="89"/>
      <c r="U182" s="89"/>
      <c r="V182" s="89"/>
      <c r="W182" s="90"/>
      <c r="X182" s="89"/>
      <c r="Y182" s="91"/>
      <c r="Z182" s="89"/>
      <c r="AA182" s="89"/>
    </row>
    <row r="183" ht="15.75" customHeight="1">
      <c r="A183" s="82"/>
      <c r="B183" s="83"/>
      <c r="C183" s="84"/>
      <c r="D183" s="84"/>
      <c r="E183" s="84"/>
      <c r="F183" s="84"/>
      <c r="G183" s="84"/>
      <c r="H183" s="85"/>
      <c r="I183" s="85"/>
      <c r="J183" s="84"/>
      <c r="K183" s="86"/>
      <c r="L183" s="87"/>
      <c r="M183" s="88"/>
      <c r="N183" s="87"/>
      <c r="O183" s="88"/>
      <c r="P183" s="88"/>
      <c r="Q183" s="88"/>
      <c r="R183" s="88"/>
      <c r="S183" s="89"/>
      <c r="T183" s="89"/>
      <c r="U183" s="89"/>
      <c r="V183" s="89"/>
      <c r="W183" s="90"/>
      <c r="X183" s="89"/>
      <c r="Y183" s="91"/>
      <c r="Z183" s="89"/>
      <c r="AA183" s="89"/>
    </row>
    <row r="184" ht="15.75" customHeight="1">
      <c r="A184" s="82"/>
      <c r="B184" s="83"/>
      <c r="C184" s="84"/>
      <c r="D184" s="84"/>
      <c r="E184" s="84"/>
      <c r="F184" s="84"/>
      <c r="G184" s="84"/>
      <c r="H184" s="85"/>
      <c r="I184" s="85"/>
      <c r="J184" s="84"/>
      <c r="K184" s="86"/>
      <c r="L184" s="87"/>
      <c r="M184" s="88"/>
      <c r="N184" s="87"/>
      <c r="O184" s="88"/>
      <c r="P184" s="88"/>
      <c r="Q184" s="88"/>
      <c r="R184" s="88"/>
      <c r="S184" s="89"/>
      <c r="T184" s="89"/>
      <c r="U184" s="89"/>
      <c r="V184" s="89"/>
      <c r="W184" s="90"/>
      <c r="X184" s="89"/>
      <c r="Y184" s="91"/>
      <c r="Z184" s="89"/>
      <c r="AA184" s="89"/>
    </row>
    <row r="185" ht="15.75" customHeight="1">
      <c r="A185" s="82"/>
      <c r="B185" s="83"/>
      <c r="C185" s="84"/>
      <c r="D185" s="84"/>
      <c r="E185" s="84"/>
      <c r="F185" s="84"/>
      <c r="G185" s="84"/>
      <c r="H185" s="85"/>
      <c r="I185" s="85"/>
      <c r="J185" s="84"/>
      <c r="K185" s="86"/>
      <c r="L185" s="87"/>
      <c r="M185" s="88"/>
      <c r="N185" s="87"/>
      <c r="O185" s="88"/>
      <c r="P185" s="88"/>
      <c r="Q185" s="88"/>
      <c r="R185" s="88"/>
      <c r="S185" s="89"/>
      <c r="T185" s="89"/>
      <c r="U185" s="89"/>
      <c r="V185" s="89"/>
      <c r="W185" s="90"/>
      <c r="X185" s="89"/>
      <c r="Y185" s="91"/>
      <c r="Z185" s="89"/>
      <c r="AA185" s="89"/>
    </row>
    <row r="186" ht="15.75" customHeight="1">
      <c r="A186" s="82"/>
      <c r="B186" s="83"/>
      <c r="C186" s="84"/>
      <c r="D186" s="84"/>
      <c r="E186" s="84"/>
      <c r="F186" s="84"/>
      <c r="G186" s="84"/>
      <c r="H186" s="85"/>
      <c r="I186" s="85"/>
      <c r="J186" s="84"/>
      <c r="K186" s="86"/>
      <c r="L186" s="87"/>
      <c r="M186" s="88"/>
      <c r="N186" s="87"/>
      <c r="O186" s="88"/>
      <c r="P186" s="88"/>
      <c r="Q186" s="88"/>
      <c r="R186" s="88"/>
      <c r="S186" s="89"/>
      <c r="T186" s="89"/>
      <c r="U186" s="89"/>
      <c r="V186" s="89"/>
      <c r="W186" s="90"/>
      <c r="X186" s="89"/>
      <c r="Y186" s="91"/>
      <c r="Z186" s="89"/>
      <c r="AA186" s="89"/>
    </row>
    <row r="187" ht="15.75" customHeight="1">
      <c r="A187" s="82"/>
      <c r="B187" s="83"/>
      <c r="C187" s="84"/>
      <c r="D187" s="84"/>
      <c r="E187" s="84"/>
      <c r="F187" s="84"/>
      <c r="G187" s="84"/>
      <c r="H187" s="85"/>
      <c r="I187" s="85"/>
      <c r="J187" s="84"/>
      <c r="K187" s="86"/>
      <c r="L187" s="87"/>
      <c r="M187" s="88"/>
      <c r="N187" s="87"/>
      <c r="O187" s="88"/>
      <c r="P187" s="88"/>
      <c r="Q187" s="88"/>
      <c r="R187" s="88"/>
      <c r="S187" s="89"/>
      <c r="T187" s="89"/>
      <c r="U187" s="89"/>
      <c r="V187" s="89"/>
      <c r="W187" s="90"/>
      <c r="X187" s="89"/>
      <c r="Y187" s="91"/>
      <c r="Z187" s="89"/>
      <c r="AA187" s="89"/>
    </row>
    <row r="188" ht="15.75" customHeight="1">
      <c r="A188" s="82"/>
      <c r="B188" s="83"/>
      <c r="C188" s="84"/>
      <c r="D188" s="84"/>
      <c r="E188" s="84"/>
      <c r="F188" s="84"/>
      <c r="G188" s="84"/>
      <c r="H188" s="85"/>
      <c r="I188" s="85"/>
      <c r="J188" s="84"/>
      <c r="K188" s="86"/>
      <c r="L188" s="87"/>
      <c r="M188" s="88"/>
      <c r="N188" s="87"/>
      <c r="O188" s="88"/>
      <c r="P188" s="88"/>
      <c r="Q188" s="88"/>
      <c r="R188" s="88"/>
      <c r="S188" s="89"/>
      <c r="T188" s="89"/>
      <c r="U188" s="89"/>
      <c r="V188" s="89"/>
      <c r="W188" s="90"/>
      <c r="X188" s="89"/>
      <c r="Y188" s="91"/>
      <c r="Z188" s="89"/>
      <c r="AA188" s="89"/>
    </row>
    <row r="189" ht="15.75" customHeight="1">
      <c r="A189" s="82"/>
      <c r="B189" s="83"/>
      <c r="C189" s="84"/>
      <c r="D189" s="84"/>
      <c r="E189" s="84"/>
      <c r="F189" s="84"/>
      <c r="G189" s="84"/>
      <c r="H189" s="85"/>
      <c r="I189" s="85"/>
      <c r="J189" s="84"/>
      <c r="K189" s="86"/>
      <c r="L189" s="87"/>
      <c r="M189" s="88"/>
      <c r="N189" s="87"/>
      <c r="O189" s="88"/>
      <c r="P189" s="88"/>
      <c r="Q189" s="88"/>
      <c r="R189" s="88"/>
      <c r="S189" s="89"/>
      <c r="T189" s="89"/>
      <c r="U189" s="89"/>
      <c r="V189" s="89"/>
      <c r="W189" s="90"/>
      <c r="X189" s="89"/>
      <c r="Y189" s="91"/>
      <c r="Z189" s="89"/>
      <c r="AA189" s="89"/>
    </row>
    <row r="190" ht="15.75" customHeight="1">
      <c r="A190" s="82"/>
      <c r="B190" s="83"/>
      <c r="C190" s="84"/>
      <c r="D190" s="84"/>
      <c r="E190" s="84"/>
      <c r="F190" s="84"/>
      <c r="G190" s="84"/>
      <c r="H190" s="85"/>
      <c r="I190" s="85"/>
      <c r="J190" s="84"/>
      <c r="K190" s="86"/>
      <c r="L190" s="87"/>
      <c r="M190" s="88"/>
      <c r="N190" s="87"/>
      <c r="O190" s="88"/>
      <c r="P190" s="88"/>
      <c r="Q190" s="88"/>
      <c r="R190" s="88"/>
      <c r="S190" s="89"/>
      <c r="T190" s="89"/>
      <c r="U190" s="89"/>
      <c r="V190" s="89"/>
      <c r="W190" s="90"/>
      <c r="X190" s="89"/>
      <c r="Y190" s="91"/>
      <c r="Z190" s="89"/>
      <c r="AA190" s="89"/>
    </row>
    <row r="191" ht="15.75" customHeight="1">
      <c r="A191" s="82"/>
      <c r="B191" s="83"/>
      <c r="C191" s="84"/>
      <c r="D191" s="84"/>
      <c r="E191" s="84"/>
      <c r="F191" s="84"/>
      <c r="G191" s="84"/>
      <c r="H191" s="85"/>
      <c r="I191" s="85"/>
      <c r="J191" s="84"/>
      <c r="K191" s="86"/>
      <c r="L191" s="87"/>
      <c r="M191" s="88"/>
      <c r="N191" s="87"/>
      <c r="O191" s="88"/>
      <c r="P191" s="88"/>
      <c r="Q191" s="88"/>
      <c r="R191" s="88"/>
      <c r="S191" s="89"/>
      <c r="T191" s="89"/>
      <c r="U191" s="89"/>
      <c r="V191" s="89"/>
      <c r="W191" s="90"/>
      <c r="X191" s="89"/>
      <c r="Y191" s="91"/>
      <c r="Z191" s="89"/>
      <c r="AA191" s="89"/>
    </row>
    <row r="192" ht="15.75" customHeight="1">
      <c r="A192" s="82"/>
      <c r="B192" s="83"/>
      <c r="C192" s="84"/>
      <c r="D192" s="84"/>
      <c r="E192" s="84"/>
      <c r="F192" s="84"/>
      <c r="G192" s="84"/>
      <c r="H192" s="85"/>
      <c r="I192" s="85"/>
      <c r="J192" s="84"/>
      <c r="K192" s="86"/>
      <c r="L192" s="87"/>
      <c r="M192" s="88"/>
      <c r="N192" s="87"/>
      <c r="O192" s="88"/>
      <c r="P192" s="88"/>
      <c r="Q192" s="88"/>
      <c r="R192" s="88"/>
      <c r="S192" s="89"/>
      <c r="T192" s="89"/>
      <c r="U192" s="89"/>
      <c r="V192" s="89"/>
      <c r="W192" s="90"/>
      <c r="X192" s="89"/>
      <c r="Y192" s="91"/>
      <c r="Z192" s="89"/>
      <c r="AA192" s="89"/>
    </row>
    <row r="193" ht="15.75" customHeight="1">
      <c r="A193" s="82"/>
      <c r="B193" s="83"/>
      <c r="C193" s="84"/>
      <c r="D193" s="84"/>
      <c r="E193" s="84"/>
      <c r="F193" s="84"/>
      <c r="G193" s="84"/>
      <c r="H193" s="85"/>
      <c r="I193" s="85"/>
      <c r="J193" s="84"/>
      <c r="K193" s="86"/>
      <c r="L193" s="87"/>
      <c r="M193" s="88"/>
      <c r="N193" s="87"/>
      <c r="O193" s="88"/>
      <c r="P193" s="88"/>
      <c r="Q193" s="88"/>
      <c r="R193" s="88"/>
      <c r="S193" s="89"/>
      <c r="T193" s="89"/>
      <c r="U193" s="89"/>
      <c r="V193" s="89"/>
      <c r="W193" s="90"/>
      <c r="X193" s="89"/>
      <c r="Y193" s="91"/>
      <c r="Z193" s="89"/>
      <c r="AA193" s="89"/>
    </row>
    <row r="194" ht="15.75" customHeight="1">
      <c r="A194" s="82"/>
      <c r="B194" s="83"/>
      <c r="C194" s="84"/>
      <c r="D194" s="84"/>
      <c r="E194" s="84"/>
      <c r="F194" s="84"/>
      <c r="G194" s="84"/>
      <c r="H194" s="85"/>
      <c r="I194" s="85"/>
      <c r="J194" s="84"/>
      <c r="K194" s="86"/>
      <c r="L194" s="87"/>
      <c r="M194" s="88"/>
      <c r="N194" s="87"/>
      <c r="O194" s="88"/>
      <c r="P194" s="88"/>
      <c r="Q194" s="88"/>
      <c r="R194" s="88"/>
      <c r="S194" s="89"/>
      <c r="T194" s="89"/>
      <c r="U194" s="89"/>
      <c r="V194" s="89"/>
      <c r="W194" s="90"/>
      <c r="X194" s="89"/>
      <c r="Y194" s="91"/>
      <c r="Z194" s="89"/>
      <c r="AA194" s="89"/>
    </row>
    <row r="195" ht="15.75" customHeight="1">
      <c r="A195" s="82"/>
      <c r="B195" s="83"/>
      <c r="C195" s="84"/>
      <c r="D195" s="84"/>
      <c r="E195" s="84"/>
      <c r="F195" s="84"/>
      <c r="G195" s="84"/>
      <c r="H195" s="85"/>
      <c r="I195" s="85"/>
      <c r="J195" s="84"/>
      <c r="K195" s="86"/>
      <c r="L195" s="87"/>
      <c r="M195" s="88"/>
      <c r="N195" s="87"/>
      <c r="O195" s="88"/>
      <c r="P195" s="88"/>
      <c r="Q195" s="88"/>
      <c r="R195" s="88"/>
      <c r="S195" s="89"/>
      <c r="T195" s="89"/>
      <c r="U195" s="89"/>
      <c r="V195" s="89"/>
      <c r="W195" s="90"/>
      <c r="X195" s="89"/>
      <c r="Y195" s="91"/>
      <c r="Z195" s="89"/>
      <c r="AA195" s="89"/>
    </row>
    <row r="196" ht="15.75" customHeight="1">
      <c r="A196" s="82"/>
      <c r="B196" s="83"/>
      <c r="C196" s="84"/>
      <c r="D196" s="84"/>
      <c r="E196" s="84"/>
      <c r="F196" s="84"/>
      <c r="G196" s="84"/>
      <c r="H196" s="85"/>
      <c r="I196" s="85"/>
      <c r="J196" s="84"/>
      <c r="K196" s="86"/>
      <c r="L196" s="87"/>
      <c r="M196" s="88"/>
      <c r="N196" s="87"/>
      <c r="O196" s="88"/>
      <c r="P196" s="88"/>
      <c r="Q196" s="88"/>
      <c r="R196" s="88"/>
      <c r="S196" s="89"/>
      <c r="T196" s="89"/>
      <c r="U196" s="89"/>
      <c r="V196" s="89"/>
      <c r="W196" s="90"/>
      <c r="X196" s="89"/>
      <c r="Y196" s="91"/>
      <c r="Z196" s="89"/>
      <c r="AA196" s="89"/>
    </row>
    <row r="197" ht="15.75" customHeight="1">
      <c r="A197" s="82"/>
      <c r="B197" s="83"/>
      <c r="C197" s="84"/>
      <c r="D197" s="84"/>
      <c r="E197" s="84"/>
      <c r="F197" s="84"/>
      <c r="G197" s="84"/>
      <c r="H197" s="85"/>
      <c r="I197" s="85"/>
      <c r="J197" s="84"/>
      <c r="K197" s="86"/>
      <c r="L197" s="87"/>
      <c r="M197" s="88"/>
      <c r="N197" s="87"/>
      <c r="O197" s="88"/>
      <c r="P197" s="88"/>
      <c r="Q197" s="88"/>
      <c r="R197" s="88"/>
      <c r="S197" s="89"/>
      <c r="T197" s="89"/>
      <c r="U197" s="89"/>
      <c r="V197" s="89"/>
      <c r="W197" s="90"/>
      <c r="X197" s="89"/>
      <c r="Y197" s="91"/>
      <c r="Z197" s="89"/>
      <c r="AA197" s="89"/>
    </row>
    <row r="198" ht="15.75" customHeight="1">
      <c r="A198" s="82"/>
      <c r="B198" s="83"/>
      <c r="C198" s="84"/>
      <c r="D198" s="84"/>
      <c r="E198" s="84"/>
      <c r="F198" s="84"/>
      <c r="G198" s="84"/>
      <c r="H198" s="85"/>
      <c r="I198" s="85"/>
      <c r="J198" s="84"/>
      <c r="K198" s="86"/>
      <c r="L198" s="87"/>
      <c r="M198" s="88"/>
      <c r="N198" s="87"/>
      <c r="O198" s="88"/>
      <c r="P198" s="88"/>
      <c r="Q198" s="88"/>
      <c r="R198" s="88"/>
      <c r="S198" s="89"/>
      <c r="T198" s="89"/>
      <c r="U198" s="89"/>
      <c r="V198" s="89"/>
      <c r="W198" s="90"/>
      <c r="X198" s="89"/>
      <c r="Y198" s="91"/>
      <c r="Z198" s="89"/>
      <c r="AA198" s="89"/>
    </row>
    <row r="199" ht="15.75" customHeight="1">
      <c r="A199" s="82"/>
      <c r="B199" s="83"/>
      <c r="C199" s="84"/>
      <c r="D199" s="84"/>
      <c r="E199" s="84"/>
      <c r="F199" s="84"/>
      <c r="G199" s="84"/>
      <c r="H199" s="85"/>
      <c r="I199" s="85"/>
      <c r="J199" s="84"/>
      <c r="K199" s="86"/>
      <c r="L199" s="87"/>
      <c r="M199" s="88"/>
      <c r="N199" s="87"/>
      <c r="O199" s="88"/>
      <c r="P199" s="88"/>
      <c r="Q199" s="88"/>
      <c r="R199" s="88"/>
      <c r="S199" s="89"/>
      <c r="T199" s="89"/>
      <c r="U199" s="89"/>
      <c r="V199" s="89"/>
      <c r="W199" s="90"/>
      <c r="X199" s="89"/>
      <c r="Y199" s="91"/>
      <c r="Z199" s="89"/>
      <c r="AA199" s="89"/>
    </row>
    <row r="200" ht="15.75" customHeight="1">
      <c r="A200" s="82"/>
      <c r="B200" s="83"/>
      <c r="C200" s="84"/>
      <c r="D200" s="84"/>
      <c r="E200" s="84"/>
      <c r="F200" s="84"/>
      <c r="G200" s="84"/>
      <c r="H200" s="85"/>
      <c r="I200" s="85"/>
      <c r="J200" s="84"/>
      <c r="K200" s="86"/>
      <c r="L200" s="87"/>
      <c r="M200" s="88"/>
      <c r="N200" s="87"/>
      <c r="O200" s="88"/>
      <c r="P200" s="88"/>
      <c r="Q200" s="88"/>
      <c r="R200" s="88"/>
      <c r="S200" s="89"/>
      <c r="T200" s="89"/>
      <c r="U200" s="89"/>
      <c r="V200" s="89"/>
      <c r="W200" s="90"/>
      <c r="X200" s="89"/>
      <c r="Y200" s="91"/>
      <c r="Z200" s="89"/>
      <c r="AA200" s="89"/>
    </row>
    <row r="201" ht="15.75" customHeight="1">
      <c r="A201" s="82"/>
      <c r="B201" s="83"/>
      <c r="C201" s="84"/>
      <c r="D201" s="84"/>
      <c r="E201" s="84"/>
      <c r="F201" s="84"/>
      <c r="G201" s="84"/>
      <c r="H201" s="85"/>
      <c r="I201" s="85"/>
      <c r="J201" s="84"/>
      <c r="K201" s="86"/>
      <c r="L201" s="87"/>
      <c r="M201" s="88"/>
      <c r="N201" s="87"/>
      <c r="O201" s="88"/>
      <c r="P201" s="88"/>
      <c r="Q201" s="88"/>
      <c r="R201" s="88"/>
      <c r="S201" s="89"/>
      <c r="T201" s="89"/>
      <c r="U201" s="89"/>
      <c r="V201" s="89"/>
      <c r="W201" s="90"/>
      <c r="X201" s="89"/>
      <c r="Y201" s="91"/>
      <c r="Z201" s="89"/>
      <c r="AA201" s="89"/>
    </row>
    <row r="202" ht="15.75" customHeight="1">
      <c r="A202" s="82"/>
      <c r="B202" s="83"/>
      <c r="C202" s="84"/>
      <c r="D202" s="84"/>
      <c r="E202" s="84"/>
      <c r="F202" s="84"/>
      <c r="G202" s="84"/>
      <c r="H202" s="85"/>
      <c r="I202" s="85"/>
      <c r="J202" s="84"/>
      <c r="K202" s="86"/>
      <c r="L202" s="87"/>
      <c r="M202" s="88"/>
      <c r="N202" s="87"/>
      <c r="O202" s="88"/>
      <c r="P202" s="88"/>
      <c r="Q202" s="88"/>
      <c r="R202" s="88"/>
      <c r="S202" s="89"/>
      <c r="T202" s="89"/>
      <c r="U202" s="89"/>
      <c r="V202" s="89"/>
      <c r="W202" s="90"/>
      <c r="X202" s="89"/>
      <c r="Y202" s="91"/>
      <c r="Z202" s="89"/>
      <c r="AA202" s="89"/>
    </row>
    <row r="203" ht="15.75" customHeight="1">
      <c r="A203" s="82"/>
      <c r="B203" s="83"/>
      <c r="C203" s="84"/>
      <c r="D203" s="84"/>
      <c r="E203" s="84"/>
      <c r="F203" s="84"/>
      <c r="G203" s="84"/>
      <c r="H203" s="85"/>
      <c r="I203" s="85"/>
      <c r="J203" s="84"/>
      <c r="K203" s="86"/>
      <c r="L203" s="87"/>
      <c r="M203" s="88"/>
      <c r="N203" s="87"/>
      <c r="O203" s="88"/>
      <c r="P203" s="88"/>
      <c r="Q203" s="88"/>
      <c r="R203" s="88"/>
      <c r="S203" s="89"/>
      <c r="T203" s="89"/>
      <c r="U203" s="89"/>
      <c r="V203" s="89"/>
      <c r="W203" s="90"/>
      <c r="X203" s="89"/>
      <c r="Y203" s="91"/>
      <c r="Z203" s="89"/>
      <c r="AA203" s="89"/>
    </row>
    <row r="204" ht="15.75" customHeight="1">
      <c r="A204" s="82"/>
      <c r="B204" s="83"/>
      <c r="C204" s="84"/>
      <c r="D204" s="84"/>
      <c r="E204" s="84"/>
      <c r="F204" s="84"/>
      <c r="G204" s="84"/>
      <c r="H204" s="85"/>
      <c r="I204" s="85"/>
      <c r="J204" s="84"/>
      <c r="K204" s="86"/>
      <c r="L204" s="87"/>
      <c r="M204" s="88"/>
      <c r="N204" s="87"/>
      <c r="O204" s="88"/>
      <c r="P204" s="88"/>
      <c r="Q204" s="88"/>
      <c r="R204" s="88"/>
      <c r="S204" s="89"/>
      <c r="T204" s="89"/>
      <c r="U204" s="89"/>
      <c r="V204" s="89"/>
      <c r="W204" s="90"/>
      <c r="X204" s="89"/>
      <c r="Y204" s="91"/>
      <c r="Z204" s="89"/>
      <c r="AA204" s="89"/>
    </row>
    <row r="205" ht="15.75" customHeight="1">
      <c r="A205" s="82"/>
      <c r="B205" s="83"/>
      <c r="C205" s="84"/>
      <c r="D205" s="84"/>
      <c r="E205" s="84"/>
      <c r="F205" s="84"/>
      <c r="G205" s="84"/>
      <c r="H205" s="85"/>
      <c r="I205" s="85"/>
      <c r="J205" s="84"/>
      <c r="K205" s="86"/>
      <c r="L205" s="87"/>
      <c r="M205" s="88"/>
      <c r="N205" s="87"/>
      <c r="O205" s="88"/>
      <c r="P205" s="88"/>
      <c r="Q205" s="88"/>
      <c r="R205" s="88"/>
      <c r="S205" s="89"/>
      <c r="T205" s="89"/>
      <c r="U205" s="89"/>
      <c r="V205" s="89"/>
      <c r="W205" s="90"/>
      <c r="X205" s="89"/>
      <c r="Y205" s="91"/>
      <c r="Z205" s="89"/>
      <c r="AA205" s="89"/>
    </row>
    <row r="206" ht="15.75" customHeight="1">
      <c r="A206" s="82"/>
      <c r="B206" s="83"/>
      <c r="C206" s="84"/>
      <c r="D206" s="84"/>
      <c r="E206" s="84"/>
      <c r="F206" s="84"/>
      <c r="G206" s="84"/>
      <c r="H206" s="85"/>
      <c r="I206" s="85"/>
      <c r="J206" s="84"/>
      <c r="K206" s="86"/>
      <c r="L206" s="87"/>
      <c r="M206" s="88"/>
      <c r="N206" s="87"/>
      <c r="O206" s="88"/>
      <c r="P206" s="88"/>
      <c r="Q206" s="88"/>
      <c r="R206" s="88"/>
      <c r="S206" s="89"/>
      <c r="T206" s="89"/>
      <c r="U206" s="89"/>
      <c r="V206" s="89"/>
      <c r="W206" s="90"/>
      <c r="X206" s="89"/>
      <c r="Y206" s="91"/>
      <c r="Z206" s="89"/>
      <c r="AA206" s="89"/>
    </row>
    <row r="207" ht="15.75" customHeight="1">
      <c r="A207" s="82"/>
      <c r="B207" s="84"/>
      <c r="C207" s="84"/>
      <c r="D207" s="84"/>
      <c r="E207" s="84"/>
      <c r="F207" s="84"/>
      <c r="G207" s="84"/>
      <c r="H207" s="85"/>
      <c r="I207" s="84"/>
      <c r="J207" s="84"/>
      <c r="K207" s="86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92"/>
      <c r="Z207" s="84"/>
      <c r="AA207" s="84"/>
    </row>
    <row r="208" ht="15.75" customHeight="1">
      <c r="A208" s="82"/>
      <c r="B208" s="84"/>
      <c r="C208" s="84"/>
      <c r="D208" s="84"/>
      <c r="E208" s="84"/>
      <c r="F208" s="84"/>
      <c r="G208" s="84"/>
      <c r="H208" s="85"/>
      <c r="I208" s="84"/>
      <c r="J208" s="84"/>
      <c r="K208" s="86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92"/>
      <c r="Z208" s="84"/>
      <c r="AA208" s="84"/>
    </row>
    <row r="209" ht="15.75" customHeight="1">
      <c r="A209" s="82"/>
      <c r="B209" s="84"/>
      <c r="C209" s="84"/>
      <c r="D209" s="84"/>
      <c r="E209" s="84"/>
      <c r="F209" s="84"/>
      <c r="G209" s="84"/>
      <c r="H209" s="85"/>
      <c r="I209" s="84"/>
      <c r="J209" s="84"/>
      <c r="K209" s="86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92"/>
      <c r="Z209" s="84"/>
      <c r="AA209" s="84"/>
    </row>
    <row r="210" ht="15.75" customHeight="1">
      <c r="A210" s="82"/>
      <c r="B210" s="84"/>
      <c r="C210" s="84"/>
      <c r="D210" s="84"/>
      <c r="E210" s="84"/>
      <c r="F210" s="84"/>
      <c r="G210" s="84"/>
      <c r="H210" s="85"/>
      <c r="I210" s="84"/>
      <c r="J210" s="84"/>
      <c r="K210" s="86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92"/>
      <c r="Z210" s="84"/>
      <c r="AA210" s="84"/>
    </row>
    <row r="211" ht="15.75" customHeight="1">
      <c r="A211" s="82"/>
      <c r="B211" s="84"/>
      <c r="C211" s="84"/>
      <c r="D211" s="84"/>
      <c r="E211" s="84"/>
      <c r="F211" s="84"/>
      <c r="G211" s="84"/>
      <c r="H211" s="85"/>
      <c r="I211" s="84"/>
      <c r="J211" s="84"/>
      <c r="K211" s="86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92"/>
      <c r="Z211" s="84"/>
      <c r="AA211" s="84"/>
    </row>
    <row r="212" ht="15.75" customHeight="1">
      <c r="A212" s="82"/>
      <c r="B212" s="84"/>
      <c r="C212" s="84"/>
      <c r="D212" s="84"/>
      <c r="E212" s="84"/>
      <c r="F212" s="84"/>
      <c r="G212" s="84"/>
      <c r="H212" s="85"/>
      <c r="I212" s="84"/>
      <c r="J212" s="84"/>
      <c r="K212" s="86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92"/>
      <c r="Z212" s="84"/>
      <c r="AA212" s="84"/>
    </row>
    <row r="213" ht="15.75" customHeight="1">
      <c r="A213" s="82"/>
      <c r="B213" s="84"/>
      <c r="C213" s="84"/>
      <c r="D213" s="84"/>
      <c r="E213" s="84"/>
      <c r="F213" s="84"/>
      <c r="G213" s="84"/>
      <c r="H213" s="85"/>
      <c r="I213" s="84"/>
      <c r="J213" s="84"/>
      <c r="K213" s="86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92"/>
      <c r="Z213" s="84"/>
      <c r="AA213" s="84"/>
    </row>
    <row r="214" ht="15.75" customHeight="1">
      <c r="A214" s="82"/>
      <c r="B214" s="84"/>
      <c r="C214" s="84"/>
      <c r="D214" s="84"/>
      <c r="E214" s="84"/>
      <c r="F214" s="84"/>
      <c r="G214" s="84"/>
      <c r="H214" s="85"/>
      <c r="I214" s="84"/>
      <c r="J214" s="84"/>
      <c r="K214" s="86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92"/>
      <c r="Z214" s="84"/>
      <c r="AA214" s="84"/>
    </row>
    <row r="215" ht="15.75" customHeight="1">
      <c r="A215" s="82"/>
      <c r="B215" s="84"/>
      <c r="C215" s="84"/>
      <c r="D215" s="84"/>
      <c r="E215" s="84"/>
      <c r="F215" s="84"/>
      <c r="G215" s="84"/>
      <c r="H215" s="85"/>
      <c r="I215" s="84"/>
      <c r="J215" s="84"/>
      <c r="K215" s="86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92"/>
      <c r="Z215" s="84"/>
      <c r="AA215" s="84"/>
    </row>
    <row r="216" ht="15.75" customHeight="1">
      <c r="A216" s="82"/>
      <c r="B216" s="84"/>
      <c r="C216" s="84"/>
      <c r="D216" s="84"/>
      <c r="E216" s="84"/>
      <c r="F216" s="84"/>
      <c r="G216" s="84"/>
      <c r="H216" s="85"/>
      <c r="I216" s="84"/>
      <c r="J216" s="84"/>
      <c r="K216" s="86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92"/>
      <c r="Z216" s="84"/>
      <c r="AA216" s="84"/>
    </row>
    <row r="217" ht="15.75" customHeight="1">
      <c r="A217" s="82"/>
      <c r="B217" s="84"/>
      <c r="C217" s="84"/>
      <c r="D217" s="84"/>
      <c r="E217" s="84"/>
      <c r="F217" s="84"/>
      <c r="G217" s="84"/>
      <c r="H217" s="85"/>
      <c r="I217" s="84"/>
      <c r="J217" s="84"/>
      <c r="K217" s="86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92"/>
      <c r="Z217" s="84"/>
      <c r="AA217" s="84"/>
    </row>
    <row r="218" ht="15.75" customHeight="1">
      <c r="A218" s="82"/>
      <c r="B218" s="84"/>
      <c r="C218" s="84"/>
      <c r="D218" s="84"/>
      <c r="E218" s="84"/>
      <c r="F218" s="84"/>
      <c r="G218" s="84"/>
      <c r="H218" s="85"/>
      <c r="I218" s="84"/>
      <c r="J218" s="84"/>
      <c r="K218" s="86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92"/>
      <c r="Z218" s="84"/>
      <c r="AA218" s="84"/>
    </row>
    <row r="219" ht="15.75" customHeight="1">
      <c r="A219" s="82"/>
      <c r="B219" s="84"/>
      <c r="C219" s="84"/>
      <c r="D219" s="84"/>
      <c r="E219" s="84"/>
      <c r="F219" s="84"/>
      <c r="G219" s="84"/>
      <c r="H219" s="85"/>
      <c r="I219" s="84"/>
      <c r="J219" s="84"/>
      <c r="K219" s="86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92"/>
      <c r="Z219" s="84"/>
      <c r="AA219" s="84"/>
    </row>
    <row r="220" ht="15.75" customHeight="1">
      <c r="A220" s="82"/>
      <c r="B220" s="84"/>
      <c r="C220" s="84"/>
      <c r="D220" s="84"/>
      <c r="E220" s="84"/>
      <c r="F220" s="84"/>
      <c r="G220" s="84"/>
      <c r="H220" s="85"/>
      <c r="I220" s="84"/>
      <c r="J220" s="84"/>
      <c r="K220" s="86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92"/>
      <c r="Z220" s="84"/>
      <c r="AA220" s="84"/>
    </row>
    <row r="221" ht="15.75" customHeight="1">
      <c r="A221" s="82"/>
      <c r="B221" s="84"/>
      <c r="C221" s="84"/>
      <c r="D221" s="84"/>
      <c r="E221" s="84"/>
      <c r="F221" s="84"/>
      <c r="G221" s="84"/>
      <c r="H221" s="85"/>
      <c r="I221" s="84"/>
      <c r="J221" s="84"/>
      <c r="K221" s="86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92"/>
      <c r="Z221" s="84"/>
      <c r="AA221" s="84"/>
    </row>
    <row r="222" ht="15.75" customHeight="1">
      <c r="A222" s="82"/>
      <c r="B222" s="84"/>
      <c r="C222" s="84"/>
      <c r="D222" s="84"/>
      <c r="E222" s="84"/>
      <c r="F222" s="84"/>
      <c r="G222" s="84"/>
      <c r="H222" s="85"/>
      <c r="I222" s="84"/>
      <c r="J222" s="84"/>
      <c r="K222" s="86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92"/>
      <c r="Z222" s="84"/>
      <c r="AA222" s="84"/>
    </row>
    <row r="223" ht="15.75" customHeight="1">
      <c r="A223" s="82"/>
      <c r="B223" s="84"/>
      <c r="C223" s="84"/>
      <c r="D223" s="84"/>
      <c r="E223" s="84"/>
      <c r="F223" s="84"/>
      <c r="G223" s="84"/>
      <c r="H223" s="85"/>
      <c r="I223" s="84"/>
      <c r="J223" s="84"/>
      <c r="K223" s="86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92"/>
      <c r="Z223" s="84"/>
      <c r="AA223" s="84"/>
    </row>
    <row r="224" ht="15.75" customHeight="1">
      <c r="A224" s="82"/>
      <c r="B224" s="84"/>
      <c r="C224" s="84"/>
      <c r="D224" s="84"/>
      <c r="E224" s="84"/>
      <c r="F224" s="84"/>
      <c r="G224" s="84"/>
      <c r="H224" s="85"/>
      <c r="I224" s="84"/>
      <c r="J224" s="84"/>
      <c r="K224" s="86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92"/>
      <c r="Z224" s="84"/>
      <c r="AA224" s="84"/>
    </row>
    <row r="225" ht="15.75" customHeight="1">
      <c r="A225" s="82"/>
      <c r="B225" s="84"/>
      <c r="C225" s="84"/>
      <c r="D225" s="84"/>
      <c r="E225" s="84"/>
      <c r="F225" s="84"/>
      <c r="G225" s="84"/>
      <c r="H225" s="85"/>
      <c r="I225" s="84"/>
      <c r="J225" s="84"/>
      <c r="K225" s="86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92"/>
      <c r="Z225" s="84"/>
      <c r="AA225" s="84"/>
    </row>
    <row r="226" ht="15.75" customHeight="1">
      <c r="A226" s="82"/>
      <c r="B226" s="84"/>
      <c r="C226" s="84"/>
      <c r="D226" s="84"/>
      <c r="E226" s="84"/>
      <c r="F226" s="84"/>
      <c r="G226" s="84"/>
      <c r="H226" s="85"/>
      <c r="I226" s="84"/>
      <c r="J226" s="84"/>
      <c r="K226" s="86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92"/>
      <c r="Z226" s="84"/>
      <c r="AA226" s="84"/>
    </row>
    <row r="227" ht="15.75" customHeight="1">
      <c r="A227" s="82"/>
      <c r="B227" s="84"/>
      <c r="C227" s="84"/>
      <c r="D227" s="84"/>
      <c r="E227" s="84"/>
      <c r="F227" s="84"/>
      <c r="G227" s="84"/>
      <c r="H227" s="85"/>
      <c r="I227" s="84"/>
      <c r="J227" s="84"/>
      <c r="K227" s="86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92"/>
      <c r="Z227" s="84"/>
      <c r="AA227" s="84"/>
    </row>
    <row r="228" ht="15.75" customHeight="1">
      <c r="A228" s="82"/>
      <c r="B228" s="84"/>
      <c r="C228" s="84"/>
      <c r="D228" s="84"/>
      <c r="E228" s="84"/>
      <c r="F228" s="84"/>
      <c r="G228" s="84"/>
      <c r="H228" s="85"/>
      <c r="I228" s="84"/>
      <c r="J228" s="84"/>
      <c r="K228" s="86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92"/>
      <c r="Z228" s="84"/>
      <c r="AA228" s="84"/>
    </row>
    <row r="229" ht="15.75" customHeight="1">
      <c r="A229" s="82"/>
      <c r="B229" s="84"/>
      <c r="C229" s="84"/>
      <c r="D229" s="84"/>
      <c r="E229" s="84"/>
      <c r="F229" s="84"/>
      <c r="G229" s="84"/>
      <c r="H229" s="85"/>
      <c r="I229" s="84"/>
      <c r="J229" s="84"/>
      <c r="K229" s="86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92"/>
      <c r="Z229" s="84"/>
      <c r="AA229" s="84"/>
    </row>
    <row r="230" ht="15.75" customHeight="1">
      <c r="A230" s="82"/>
      <c r="B230" s="84"/>
      <c r="C230" s="84"/>
      <c r="D230" s="84"/>
      <c r="E230" s="84"/>
      <c r="F230" s="84"/>
      <c r="G230" s="84"/>
      <c r="H230" s="85"/>
      <c r="I230" s="84"/>
      <c r="J230" s="84"/>
      <c r="K230" s="86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92"/>
      <c r="Z230" s="84"/>
      <c r="AA230" s="84"/>
    </row>
    <row r="231" ht="15.75" customHeight="1">
      <c r="A231" s="82"/>
      <c r="B231" s="84"/>
      <c r="C231" s="84"/>
      <c r="D231" s="84"/>
      <c r="E231" s="84"/>
      <c r="F231" s="84"/>
      <c r="G231" s="84"/>
      <c r="H231" s="85"/>
      <c r="I231" s="84"/>
      <c r="J231" s="84"/>
      <c r="K231" s="86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92"/>
      <c r="Z231" s="84"/>
      <c r="AA231" s="84"/>
    </row>
    <row r="232" ht="15.75" customHeight="1">
      <c r="A232" s="82"/>
      <c r="B232" s="84"/>
      <c r="C232" s="84"/>
      <c r="D232" s="84"/>
      <c r="E232" s="84"/>
      <c r="F232" s="84"/>
      <c r="G232" s="84"/>
      <c r="H232" s="85"/>
      <c r="I232" s="84"/>
      <c r="J232" s="84"/>
      <c r="K232" s="86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92"/>
      <c r="Z232" s="84"/>
      <c r="AA232" s="84"/>
    </row>
    <row r="233" ht="15.75" customHeight="1">
      <c r="A233" s="82"/>
      <c r="B233" s="84"/>
      <c r="C233" s="84"/>
      <c r="D233" s="84"/>
      <c r="E233" s="84"/>
      <c r="F233" s="84"/>
      <c r="G233" s="84"/>
      <c r="H233" s="85"/>
      <c r="I233" s="84"/>
      <c r="J233" s="84"/>
      <c r="K233" s="86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92"/>
      <c r="Z233" s="84"/>
      <c r="AA233" s="84"/>
    </row>
    <row r="234" ht="15.75" customHeight="1">
      <c r="A234" s="82"/>
      <c r="B234" s="84"/>
      <c r="C234" s="84"/>
      <c r="D234" s="84"/>
      <c r="E234" s="84"/>
      <c r="F234" s="84"/>
      <c r="G234" s="84"/>
      <c r="H234" s="85"/>
      <c r="I234" s="84"/>
      <c r="J234" s="84"/>
      <c r="K234" s="86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92"/>
      <c r="Z234" s="84"/>
      <c r="AA234" s="84"/>
    </row>
    <row r="235" ht="15.75" customHeight="1">
      <c r="A235" s="82"/>
      <c r="B235" s="84"/>
      <c r="C235" s="84"/>
      <c r="D235" s="84"/>
      <c r="E235" s="84"/>
      <c r="F235" s="84"/>
      <c r="G235" s="84"/>
      <c r="H235" s="85"/>
      <c r="I235" s="84"/>
      <c r="J235" s="84"/>
      <c r="K235" s="86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92"/>
      <c r="Z235" s="84"/>
      <c r="AA235" s="84"/>
    </row>
    <row r="236" ht="15.75" customHeight="1">
      <c r="A236" s="82"/>
      <c r="B236" s="84"/>
      <c r="C236" s="84"/>
      <c r="D236" s="84"/>
      <c r="E236" s="84"/>
      <c r="F236" s="84"/>
      <c r="G236" s="84"/>
      <c r="H236" s="85"/>
      <c r="I236" s="84"/>
      <c r="J236" s="84"/>
      <c r="K236" s="86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92"/>
      <c r="Z236" s="84"/>
      <c r="AA236" s="84"/>
    </row>
    <row r="237" ht="15.75" customHeight="1">
      <c r="A237" s="82"/>
      <c r="B237" s="84"/>
      <c r="C237" s="84"/>
      <c r="D237" s="84"/>
      <c r="E237" s="84"/>
      <c r="F237" s="84"/>
      <c r="G237" s="84"/>
      <c r="H237" s="85"/>
      <c r="I237" s="84"/>
      <c r="J237" s="84"/>
      <c r="K237" s="86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92"/>
      <c r="Z237" s="84"/>
      <c r="AA237" s="84"/>
    </row>
    <row r="238" ht="15.75" customHeight="1">
      <c r="A238" s="82"/>
      <c r="B238" s="84"/>
      <c r="C238" s="84"/>
      <c r="D238" s="84"/>
      <c r="E238" s="84"/>
      <c r="F238" s="84"/>
      <c r="G238" s="84"/>
      <c r="H238" s="85"/>
      <c r="I238" s="84"/>
      <c r="J238" s="84"/>
      <c r="K238" s="86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92"/>
      <c r="Z238" s="84"/>
      <c r="AA238" s="84"/>
    </row>
    <row r="239" ht="15.75" customHeight="1">
      <c r="A239" s="82"/>
      <c r="B239" s="84"/>
      <c r="C239" s="84"/>
      <c r="D239" s="84"/>
      <c r="E239" s="84"/>
      <c r="F239" s="84"/>
      <c r="G239" s="84"/>
      <c r="H239" s="85"/>
      <c r="I239" s="84"/>
      <c r="J239" s="84"/>
      <c r="K239" s="86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92"/>
      <c r="Z239" s="84"/>
      <c r="AA239" s="84"/>
    </row>
    <row r="240" ht="15.75" customHeight="1">
      <c r="A240" s="82"/>
      <c r="B240" s="84"/>
      <c r="C240" s="84"/>
      <c r="D240" s="84"/>
      <c r="E240" s="84"/>
      <c r="F240" s="84"/>
      <c r="G240" s="84"/>
      <c r="H240" s="85"/>
      <c r="I240" s="84"/>
      <c r="J240" s="84"/>
      <c r="K240" s="86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92"/>
      <c r="Z240" s="84"/>
      <c r="AA240" s="84"/>
    </row>
    <row r="241" ht="15.75" customHeight="1">
      <c r="A241" s="82"/>
      <c r="B241" s="84"/>
      <c r="C241" s="84"/>
      <c r="D241" s="84"/>
      <c r="E241" s="84"/>
      <c r="F241" s="84"/>
      <c r="G241" s="84"/>
      <c r="H241" s="85"/>
      <c r="I241" s="84"/>
      <c r="J241" s="84"/>
      <c r="K241" s="86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92"/>
      <c r="Z241" s="84"/>
      <c r="AA241" s="84"/>
    </row>
    <row r="242" ht="15.75" customHeight="1">
      <c r="A242" s="82"/>
      <c r="B242" s="84"/>
      <c r="C242" s="84"/>
      <c r="D242" s="84"/>
      <c r="E242" s="84"/>
      <c r="F242" s="84"/>
      <c r="G242" s="84"/>
      <c r="H242" s="85"/>
      <c r="I242" s="84"/>
      <c r="J242" s="84"/>
      <c r="K242" s="86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92"/>
      <c r="Z242" s="84"/>
      <c r="AA242" s="84"/>
    </row>
    <row r="243" ht="15.75" customHeight="1">
      <c r="A243" s="82"/>
      <c r="B243" s="84"/>
      <c r="C243" s="84"/>
      <c r="D243" s="84"/>
      <c r="E243" s="84"/>
      <c r="F243" s="84"/>
      <c r="G243" s="84"/>
      <c r="H243" s="85"/>
      <c r="I243" s="84"/>
      <c r="J243" s="84"/>
      <c r="K243" s="86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92"/>
      <c r="Z243" s="84"/>
      <c r="AA243" s="84"/>
    </row>
    <row r="244" ht="15.75" customHeight="1">
      <c r="A244" s="82"/>
      <c r="B244" s="84"/>
      <c r="C244" s="84"/>
      <c r="D244" s="84"/>
      <c r="E244" s="84"/>
      <c r="F244" s="84"/>
      <c r="G244" s="84"/>
      <c r="H244" s="85"/>
      <c r="I244" s="84"/>
      <c r="J244" s="84"/>
      <c r="K244" s="86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92"/>
      <c r="Z244" s="84"/>
      <c r="AA244" s="84"/>
    </row>
    <row r="245" ht="15.75" customHeight="1">
      <c r="A245" s="82"/>
      <c r="B245" s="84"/>
      <c r="C245" s="84"/>
      <c r="D245" s="84"/>
      <c r="E245" s="84"/>
      <c r="F245" s="84"/>
      <c r="G245" s="84"/>
      <c r="H245" s="85"/>
      <c r="I245" s="84"/>
      <c r="J245" s="84"/>
      <c r="K245" s="86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92"/>
      <c r="Z245" s="84"/>
      <c r="AA245" s="84"/>
    </row>
    <row r="246" ht="15.75" customHeight="1">
      <c r="A246" s="82"/>
      <c r="B246" s="84"/>
      <c r="C246" s="84"/>
      <c r="D246" s="84"/>
      <c r="E246" s="84"/>
      <c r="F246" s="84"/>
      <c r="G246" s="84"/>
      <c r="H246" s="85"/>
      <c r="I246" s="84"/>
      <c r="J246" s="84"/>
      <c r="K246" s="86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92"/>
      <c r="Z246" s="84"/>
      <c r="AA246" s="84"/>
    </row>
    <row r="247" ht="15.75" customHeight="1">
      <c r="A247" s="82"/>
      <c r="B247" s="84"/>
      <c r="C247" s="84"/>
      <c r="D247" s="84"/>
      <c r="E247" s="84"/>
      <c r="F247" s="84"/>
      <c r="G247" s="84"/>
      <c r="H247" s="85"/>
      <c r="I247" s="84"/>
      <c r="J247" s="84"/>
      <c r="K247" s="86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92"/>
      <c r="Z247" s="84"/>
      <c r="AA247" s="84"/>
    </row>
    <row r="248" ht="15.75" customHeight="1">
      <c r="A248" s="82"/>
      <c r="B248" s="84"/>
      <c r="C248" s="84"/>
      <c r="D248" s="84"/>
      <c r="E248" s="84"/>
      <c r="F248" s="84"/>
      <c r="G248" s="84"/>
      <c r="H248" s="85"/>
      <c r="I248" s="84"/>
      <c r="J248" s="84"/>
      <c r="K248" s="86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92"/>
      <c r="Z248" s="84"/>
      <c r="AA248" s="84"/>
    </row>
    <row r="249" ht="15.75" customHeight="1">
      <c r="A249" s="82"/>
      <c r="B249" s="84"/>
      <c r="C249" s="84"/>
      <c r="D249" s="84"/>
      <c r="E249" s="84"/>
      <c r="F249" s="84"/>
      <c r="G249" s="84"/>
      <c r="H249" s="85"/>
      <c r="I249" s="84"/>
      <c r="J249" s="84"/>
      <c r="K249" s="86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92"/>
      <c r="Z249" s="84"/>
      <c r="AA249" s="84"/>
    </row>
    <row r="250" ht="15.75" customHeight="1">
      <c r="A250" s="82"/>
      <c r="B250" s="84"/>
      <c r="C250" s="84"/>
      <c r="D250" s="84"/>
      <c r="E250" s="84"/>
      <c r="F250" s="84"/>
      <c r="G250" s="84"/>
      <c r="H250" s="85"/>
      <c r="I250" s="84"/>
      <c r="J250" s="84"/>
      <c r="K250" s="86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92"/>
      <c r="Z250" s="84"/>
      <c r="AA250" s="84"/>
    </row>
    <row r="251" ht="15.75" customHeight="1">
      <c r="A251" s="82"/>
      <c r="B251" s="84"/>
      <c r="C251" s="84"/>
      <c r="D251" s="84"/>
      <c r="E251" s="84"/>
      <c r="F251" s="84"/>
      <c r="G251" s="84"/>
      <c r="H251" s="85"/>
      <c r="I251" s="84"/>
      <c r="J251" s="84"/>
      <c r="K251" s="86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92"/>
      <c r="Z251" s="84"/>
      <c r="AA251" s="84"/>
    </row>
    <row r="252" ht="15.75" customHeight="1">
      <c r="A252" s="82"/>
      <c r="B252" s="84"/>
      <c r="C252" s="84"/>
      <c r="D252" s="84"/>
      <c r="E252" s="84"/>
      <c r="F252" s="84"/>
      <c r="G252" s="84"/>
      <c r="H252" s="85"/>
      <c r="I252" s="84"/>
      <c r="J252" s="84"/>
      <c r="K252" s="86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92"/>
      <c r="Z252" s="84"/>
      <c r="AA252" s="84"/>
    </row>
    <row r="253" ht="15.75" customHeight="1">
      <c r="A253" s="82"/>
      <c r="B253" s="84"/>
      <c r="C253" s="84"/>
      <c r="D253" s="84"/>
      <c r="E253" s="84"/>
      <c r="F253" s="84"/>
      <c r="G253" s="84"/>
      <c r="H253" s="85"/>
      <c r="I253" s="84"/>
      <c r="J253" s="84"/>
      <c r="K253" s="86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92"/>
      <c r="Z253" s="84"/>
      <c r="AA253" s="84"/>
    </row>
    <row r="254" ht="15.75" customHeight="1">
      <c r="A254" s="82"/>
      <c r="B254" s="84"/>
      <c r="C254" s="84"/>
      <c r="D254" s="84"/>
      <c r="E254" s="84"/>
      <c r="F254" s="84"/>
      <c r="G254" s="84"/>
      <c r="H254" s="85"/>
      <c r="I254" s="84"/>
      <c r="J254" s="84"/>
      <c r="K254" s="86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92"/>
      <c r="Z254" s="84"/>
      <c r="AA254" s="84"/>
    </row>
    <row r="255" ht="15.75" customHeight="1">
      <c r="A255" s="82"/>
      <c r="B255" s="84"/>
      <c r="C255" s="84"/>
      <c r="D255" s="84"/>
      <c r="E255" s="84"/>
      <c r="F255" s="84"/>
      <c r="G255" s="84"/>
      <c r="H255" s="85"/>
      <c r="I255" s="84"/>
      <c r="J255" s="84"/>
      <c r="K255" s="86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92"/>
      <c r="Z255" s="84"/>
      <c r="AA255" s="84"/>
    </row>
    <row r="256" ht="15.75" customHeight="1">
      <c r="A256" s="82"/>
      <c r="B256" s="84"/>
      <c r="C256" s="84"/>
      <c r="D256" s="84"/>
      <c r="E256" s="84"/>
      <c r="F256" s="84"/>
      <c r="G256" s="84"/>
      <c r="H256" s="85"/>
      <c r="I256" s="84"/>
      <c r="J256" s="84"/>
      <c r="K256" s="86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92"/>
      <c r="Z256" s="84"/>
      <c r="AA256" s="84"/>
    </row>
    <row r="257" ht="15.75" customHeight="1">
      <c r="A257" s="82"/>
      <c r="B257" s="84"/>
      <c r="C257" s="84"/>
      <c r="D257" s="84"/>
      <c r="E257" s="84"/>
      <c r="F257" s="84"/>
      <c r="G257" s="84"/>
      <c r="H257" s="85"/>
      <c r="I257" s="84"/>
      <c r="J257" s="84"/>
      <c r="K257" s="86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92"/>
      <c r="Z257" s="84"/>
      <c r="AA257" s="84"/>
    </row>
    <row r="258" ht="15.75" customHeight="1">
      <c r="A258" s="82"/>
      <c r="B258" s="84"/>
      <c r="C258" s="84"/>
      <c r="D258" s="84"/>
      <c r="E258" s="84"/>
      <c r="F258" s="84"/>
      <c r="G258" s="84"/>
      <c r="H258" s="85"/>
      <c r="I258" s="84"/>
      <c r="J258" s="84"/>
      <c r="K258" s="86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92"/>
      <c r="Z258" s="84"/>
      <c r="AA258" s="84"/>
    </row>
    <row r="259" ht="15.75" customHeight="1">
      <c r="A259" s="82"/>
      <c r="B259" s="84"/>
      <c r="C259" s="84"/>
      <c r="D259" s="84"/>
      <c r="E259" s="84"/>
      <c r="F259" s="84"/>
      <c r="G259" s="84"/>
      <c r="H259" s="85"/>
      <c r="I259" s="84"/>
      <c r="J259" s="84"/>
      <c r="K259" s="86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92"/>
      <c r="Z259" s="84"/>
      <c r="AA259" s="84"/>
    </row>
    <row r="260" ht="15.75" customHeight="1">
      <c r="A260" s="82"/>
      <c r="B260" s="84"/>
      <c r="C260" s="84"/>
      <c r="D260" s="84"/>
      <c r="E260" s="84"/>
      <c r="F260" s="84"/>
      <c r="G260" s="84"/>
      <c r="H260" s="85"/>
      <c r="I260" s="84"/>
      <c r="J260" s="84"/>
      <c r="K260" s="86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92"/>
      <c r="Z260" s="84"/>
      <c r="AA260" s="84"/>
    </row>
    <row r="261" ht="15.75" customHeight="1">
      <c r="A261" s="82"/>
      <c r="B261" s="84"/>
      <c r="C261" s="84"/>
      <c r="D261" s="84"/>
      <c r="E261" s="84"/>
      <c r="F261" s="84"/>
      <c r="G261" s="84"/>
      <c r="H261" s="85"/>
      <c r="I261" s="84"/>
      <c r="J261" s="84"/>
      <c r="K261" s="86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92"/>
      <c r="Z261" s="84"/>
      <c r="AA261" s="84"/>
    </row>
    <row r="262" ht="15.75" customHeight="1">
      <c r="A262" s="82"/>
      <c r="B262" s="84"/>
      <c r="C262" s="84"/>
      <c r="D262" s="84"/>
      <c r="E262" s="84"/>
      <c r="F262" s="84"/>
      <c r="G262" s="84"/>
      <c r="H262" s="85"/>
      <c r="I262" s="84"/>
      <c r="J262" s="84"/>
      <c r="K262" s="86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92"/>
      <c r="Z262" s="84"/>
      <c r="AA262" s="84"/>
    </row>
    <row r="263" ht="15.75" customHeight="1">
      <c r="A263" s="82"/>
      <c r="B263" s="84"/>
      <c r="C263" s="84"/>
      <c r="D263" s="84"/>
      <c r="E263" s="84"/>
      <c r="F263" s="84"/>
      <c r="G263" s="84"/>
      <c r="H263" s="85"/>
      <c r="I263" s="84"/>
      <c r="J263" s="84"/>
      <c r="K263" s="86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92"/>
      <c r="Z263" s="84"/>
      <c r="AA263" s="84"/>
    </row>
    <row r="264" ht="15.75" customHeight="1">
      <c r="A264" s="82"/>
      <c r="B264" s="84"/>
      <c r="C264" s="84"/>
      <c r="D264" s="84"/>
      <c r="E264" s="84"/>
      <c r="F264" s="84"/>
      <c r="G264" s="84"/>
      <c r="H264" s="85"/>
      <c r="I264" s="84"/>
      <c r="J264" s="84"/>
      <c r="K264" s="86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92"/>
      <c r="Z264" s="84"/>
      <c r="AA264" s="84"/>
    </row>
    <row r="265" ht="15.75" customHeight="1">
      <c r="A265" s="82"/>
      <c r="B265" s="84"/>
      <c r="C265" s="84"/>
      <c r="D265" s="84"/>
      <c r="E265" s="84"/>
      <c r="F265" s="84"/>
      <c r="G265" s="84"/>
      <c r="H265" s="85"/>
      <c r="I265" s="84"/>
      <c r="J265" s="84"/>
      <c r="K265" s="86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92"/>
      <c r="Z265" s="84"/>
      <c r="AA265" s="84"/>
    </row>
    <row r="266" ht="15.75" customHeight="1">
      <c r="A266" s="82"/>
      <c r="B266" s="84"/>
      <c r="C266" s="84"/>
      <c r="D266" s="84"/>
      <c r="E266" s="84"/>
      <c r="F266" s="84"/>
      <c r="G266" s="84"/>
      <c r="H266" s="85"/>
      <c r="I266" s="84"/>
      <c r="J266" s="84"/>
      <c r="K266" s="86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92"/>
      <c r="Z266" s="84"/>
      <c r="AA266" s="84"/>
    </row>
    <row r="267" ht="15.75" customHeight="1">
      <c r="A267" s="82"/>
      <c r="B267" s="84"/>
      <c r="C267" s="84"/>
      <c r="D267" s="84"/>
      <c r="E267" s="84"/>
      <c r="F267" s="84"/>
      <c r="G267" s="84"/>
      <c r="H267" s="85"/>
      <c r="I267" s="84"/>
      <c r="J267" s="84"/>
      <c r="K267" s="86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92"/>
      <c r="Z267" s="84"/>
      <c r="AA267" s="84"/>
    </row>
    <row r="268" ht="15.75" customHeight="1">
      <c r="A268" s="82"/>
      <c r="B268" s="84"/>
      <c r="C268" s="84"/>
      <c r="D268" s="84"/>
      <c r="E268" s="84"/>
      <c r="F268" s="84"/>
      <c r="G268" s="84"/>
      <c r="H268" s="85"/>
      <c r="I268" s="84"/>
      <c r="J268" s="84"/>
      <c r="K268" s="86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92"/>
      <c r="Z268" s="84"/>
      <c r="AA268" s="84"/>
    </row>
    <row r="269" ht="15.75" customHeight="1">
      <c r="A269" s="82"/>
      <c r="B269" s="84"/>
      <c r="C269" s="84"/>
      <c r="D269" s="84"/>
      <c r="E269" s="84"/>
      <c r="F269" s="84"/>
      <c r="G269" s="84"/>
      <c r="H269" s="85"/>
      <c r="I269" s="84"/>
      <c r="J269" s="84"/>
      <c r="K269" s="86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92"/>
      <c r="Z269" s="84"/>
      <c r="AA269" s="84"/>
    </row>
    <row r="270" ht="15.75" customHeight="1">
      <c r="A270" s="82"/>
      <c r="B270" s="84"/>
      <c r="C270" s="84"/>
      <c r="D270" s="84"/>
      <c r="E270" s="84"/>
      <c r="F270" s="84"/>
      <c r="G270" s="84"/>
      <c r="H270" s="85"/>
      <c r="I270" s="84"/>
      <c r="J270" s="84"/>
      <c r="K270" s="86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92"/>
      <c r="Z270" s="84"/>
      <c r="AA270" s="84"/>
    </row>
    <row r="271" ht="15.75" customHeight="1">
      <c r="A271" s="82"/>
      <c r="B271" s="84"/>
      <c r="C271" s="84"/>
      <c r="D271" s="84"/>
      <c r="E271" s="84"/>
      <c r="F271" s="84"/>
      <c r="G271" s="84"/>
      <c r="H271" s="85"/>
      <c r="I271" s="84"/>
      <c r="J271" s="84"/>
      <c r="K271" s="86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92"/>
      <c r="Z271" s="84"/>
      <c r="AA271" s="84"/>
    </row>
    <row r="272" ht="15.75" customHeight="1">
      <c r="A272" s="82"/>
      <c r="B272" s="84"/>
      <c r="C272" s="84"/>
      <c r="D272" s="84"/>
      <c r="E272" s="84"/>
      <c r="F272" s="84"/>
      <c r="G272" s="84"/>
      <c r="H272" s="85"/>
      <c r="I272" s="84"/>
      <c r="J272" s="84"/>
      <c r="K272" s="86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92"/>
      <c r="Z272" s="84"/>
      <c r="AA272" s="84"/>
    </row>
    <row r="273" ht="15.75" customHeight="1">
      <c r="A273" s="82"/>
      <c r="B273" s="84"/>
      <c r="C273" s="84"/>
      <c r="D273" s="84"/>
      <c r="E273" s="84"/>
      <c r="F273" s="84"/>
      <c r="G273" s="84"/>
      <c r="H273" s="85"/>
      <c r="I273" s="84"/>
      <c r="J273" s="84"/>
      <c r="K273" s="86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92"/>
      <c r="Z273" s="84"/>
      <c r="AA273" s="84"/>
    </row>
    <row r="274" ht="15.75" customHeight="1">
      <c r="A274" s="82"/>
      <c r="B274" s="84"/>
      <c r="C274" s="84"/>
      <c r="D274" s="84"/>
      <c r="E274" s="84"/>
      <c r="F274" s="84"/>
      <c r="G274" s="84"/>
      <c r="H274" s="85"/>
      <c r="I274" s="84"/>
      <c r="J274" s="84"/>
      <c r="K274" s="86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92"/>
      <c r="Z274" s="84"/>
      <c r="AA274" s="84"/>
    </row>
    <row r="275" ht="15.75" customHeight="1">
      <c r="A275" s="82"/>
      <c r="B275" s="84"/>
      <c r="C275" s="84"/>
      <c r="D275" s="84"/>
      <c r="E275" s="84"/>
      <c r="F275" s="84"/>
      <c r="G275" s="84"/>
      <c r="H275" s="85"/>
      <c r="I275" s="84"/>
      <c r="J275" s="84"/>
      <c r="K275" s="86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92"/>
      <c r="Z275" s="84"/>
      <c r="AA275" s="84"/>
    </row>
    <row r="276" ht="15.75" customHeight="1">
      <c r="A276" s="82"/>
      <c r="B276" s="84"/>
      <c r="C276" s="84"/>
      <c r="D276" s="84"/>
      <c r="E276" s="84"/>
      <c r="F276" s="84"/>
      <c r="G276" s="84"/>
      <c r="H276" s="85"/>
      <c r="I276" s="84"/>
      <c r="J276" s="84"/>
      <c r="K276" s="86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92"/>
      <c r="Z276" s="84"/>
      <c r="AA276" s="84"/>
    </row>
    <row r="277" ht="15.75" customHeight="1">
      <c r="A277" s="82"/>
      <c r="B277" s="84"/>
      <c r="C277" s="84"/>
      <c r="D277" s="84"/>
      <c r="E277" s="84"/>
      <c r="F277" s="84"/>
      <c r="G277" s="84"/>
      <c r="H277" s="85"/>
      <c r="I277" s="84"/>
      <c r="J277" s="84"/>
      <c r="K277" s="86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92"/>
      <c r="Z277" s="84"/>
      <c r="AA277" s="84"/>
    </row>
    <row r="278" ht="15.75" customHeight="1">
      <c r="A278" s="82"/>
      <c r="B278" s="84"/>
      <c r="C278" s="84"/>
      <c r="D278" s="84"/>
      <c r="E278" s="84"/>
      <c r="F278" s="84"/>
      <c r="G278" s="84"/>
      <c r="H278" s="85"/>
      <c r="I278" s="84"/>
      <c r="J278" s="84"/>
      <c r="K278" s="86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92"/>
      <c r="Z278" s="84"/>
      <c r="AA278" s="84"/>
    </row>
    <row r="279" ht="15.75" customHeight="1">
      <c r="A279" s="82"/>
      <c r="B279" s="84"/>
      <c r="C279" s="84"/>
      <c r="D279" s="84"/>
      <c r="E279" s="84"/>
      <c r="F279" s="84"/>
      <c r="G279" s="84"/>
      <c r="H279" s="85"/>
      <c r="I279" s="84"/>
      <c r="J279" s="84"/>
      <c r="K279" s="86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92"/>
      <c r="Z279" s="84"/>
      <c r="AA279" s="84"/>
    </row>
    <row r="280" ht="15.75" customHeight="1">
      <c r="A280" s="82"/>
      <c r="B280" s="84"/>
      <c r="C280" s="84"/>
      <c r="D280" s="84"/>
      <c r="E280" s="84"/>
      <c r="F280" s="84"/>
      <c r="G280" s="84"/>
      <c r="H280" s="85"/>
      <c r="I280" s="84"/>
      <c r="J280" s="84"/>
      <c r="K280" s="86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92"/>
      <c r="Z280" s="84"/>
      <c r="AA280" s="84"/>
    </row>
    <row r="281" ht="15.75" customHeight="1">
      <c r="A281" s="82"/>
      <c r="B281" s="84"/>
      <c r="C281" s="84"/>
      <c r="D281" s="84"/>
      <c r="E281" s="84"/>
      <c r="F281" s="84"/>
      <c r="G281" s="84"/>
      <c r="H281" s="85"/>
      <c r="I281" s="84"/>
      <c r="J281" s="84"/>
      <c r="K281" s="86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92"/>
      <c r="Z281" s="84"/>
      <c r="AA281" s="84"/>
    </row>
    <row r="282" ht="15.75" customHeight="1">
      <c r="A282" s="82"/>
      <c r="B282" s="84"/>
      <c r="C282" s="84"/>
      <c r="D282" s="84"/>
      <c r="E282" s="84"/>
      <c r="F282" s="84"/>
      <c r="G282" s="84"/>
      <c r="H282" s="85"/>
      <c r="I282" s="84"/>
      <c r="J282" s="84"/>
      <c r="K282" s="86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92"/>
      <c r="Z282" s="84"/>
      <c r="AA282" s="84"/>
    </row>
    <row r="283" ht="15.75" customHeight="1">
      <c r="A283" s="82"/>
      <c r="B283" s="84"/>
      <c r="C283" s="84"/>
      <c r="D283" s="84"/>
      <c r="E283" s="84"/>
      <c r="F283" s="84"/>
      <c r="G283" s="84"/>
      <c r="H283" s="85"/>
      <c r="I283" s="84"/>
      <c r="J283" s="84"/>
      <c r="K283" s="86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92"/>
      <c r="Z283" s="84"/>
      <c r="AA283" s="84"/>
    </row>
    <row r="284" ht="15.75" customHeight="1">
      <c r="A284" s="82"/>
      <c r="B284" s="84"/>
      <c r="C284" s="84"/>
      <c r="D284" s="84"/>
      <c r="E284" s="84"/>
      <c r="F284" s="84"/>
      <c r="G284" s="84"/>
      <c r="H284" s="85"/>
      <c r="I284" s="84"/>
      <c r="J284" s="84"/>
      <c r="K284" s="86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92"/>
      <c r="Z284" s="84"/>
      <c r="AA284" s="84"/>
    </row>
    <row r="285" ht="15.75" customHeight="1">
      <c r="A285" s="82"/>
      <c r="B285" s="84"/>
      <c r="C285" s="84"/>
      <c r="D285" s="84"/>
      <c r="E285" s="84"/>
      <c r="F285" s="84"/>
      <c r="G285" s="84"/>
      <c r="H285" s="85"/>
      <c r="I285" s="84"/>
      <c r="J285" s="84"/>
      <c r="K285" s="86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92"/>
      <c r="Z285" s="84"/>
      <c r="AA285" s="84"/>
    </row>
    <row r="286" ht="15.75" customHeight="1">
      <c r="A286" s="82"/>
      <c r="B286" s="84"/>
      <c r="C286" s="84"/>
      <c r="D286" s="84"/>
      <c r="E286" s="84"/>
      <c r="F286" s="84"/>
      <c r="G286" s="84"/>
      <c r="H286" s="85"/>
      <c r="I286" s="84"/>
      <c r="J286" s="84"/>
      <c r="K286" s="86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92"/>
      <c r="Z286" s="84"/>
      <c r="AA286" s="84"/>
    </row>
    <row r="287" ht="15.75" customHeight="1">
      <c r="A287" s="82"/>
      <c r="B287" s="84"/>
      <c r="C287" s="84"/>
      <c r="D287" s="84"/>
      <c r="E287" s="84"/>
      <c r="F287" s="84"/>
      <c r="G287" s="84"/>
      <c r="H287" s="85"/>
      <c r="I287" s="84"/>
      <c r="J287" s="84"/>
      <c r="K287" s="86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92"/>
      <c r="Z287" s="84"/>
      <c r="AA287" s="84"/>
    </row>
    <row r="288" ht="15.75" customHeight="1">
      <c r="A288" s="82"/>
      <c r="B288" s="84"/>
      <c r="C288" s="84"/>
      <c r="D288" s="84"/>
      <c r="E288" s="84"/>
      <c r="F288" s="84"/>
      <c r="G288" s="84"/>
      <c r="H288" s="85"/>
      <c r="I288" s="84"/>
      <c r="J288" s="84"/>
      <c r="K288" s="86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92"/>
      <c r="Z288" s="84"/>
      <c r="AA288" s="84"/>
    </row>
    <row r="289" ht="15.75" customHeight="1">
      <c r="A289" s="82"/>
      <c r="B289" s="84"/>
      <c r="C289" s="84"/>
      <c r="D289" s="84"/>
      <c r="E289" s="84"/>
      <c r="F289" s="84"/>
      <c r="G289" s="84"/>
      <c r="H289" s="85"/>
      <c r="I289" s="84"/>
      <c r="J289" s="84"/>
      <c r="K289" s="86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92"/>
      <c r="Z289" s="84"/>
      <c r="AA289" s="84"/>
    </row>
    <row r="290" ht="15.75" customHeight="1">
      <c r="A290" s="82"/>
      <c r="B290" s="84"/>
      <c r="C290" s="84"/>
      <c r="D290" s="84"/>
      <c r="E290" s="84"/>
      <c r="F290" s="84"/>
      <c r="G290" s="84"/>
      <c r="H290" s="85"/>
      <c r="I290" s="84"/>
      <c r="J290" s="84"/>
      <c r="K290" s="86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92"/>
      <c r="Z290" s="84"/>
      <c r="AA290" s="84"/>
    </row>
    <row r="291" ht="15.75" customHeight="1">
      <c r="A291" s="82"/>
      <c r="B291" s="84"/>
      <c r="C291" s="84"/>
      <c r="D291" s="84"/>
      <c r="E291" s="84"/>
      <c r="F291" s="84"/>
      <c r="G291" s="84"/>
      <c r="H291" s="85"/>
      <c r="I291" s="84"/>
      <c r="J291" s="84"/>
      <c r="K291" s="86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92"/>
      <c r="Z291" s="84"/>
      <c r="AA291" s="84"/>
    </row>
    <row r="292" ht="15.75" customHeight="1">
      <c r="A292" s="82"/>
      <c r="B292" s="84"/>
      <c r="C292" s="84"/>
      <c r="D292" s="84"/>
      <c r="E292" s="84"/>
      <c r="F292" s="84"/>
      <c r="G292" s="84"/>
      <c r="H292" s="85"/>
      <c r="I292" s="84"/>
      <c r="J292" s="84"/>
      <c r="K292" s="86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92"/>
      <c r="Z292" s="84"/>
      <c r="AA292" s="84"/>
    </row>
    <row r="293" ht="15.75" customHeight="1">
      <c r="A293" s="82"/>
      <c r="B293" s="84"/>
      <c r="C293" s="84"/>
      <c r="D293" s="84"/>
      <c r="E293" s="84"/>
      <c r="F293" s="84"/>
      <c r="G293" s="84"/>
      <c r="H293" s="85"/>
      <c r="I293" s="84"/>
      <c r="J293" s="84"/>
      <c r="K293" s="86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92"/>
      <c r="Z293" s="84"/>
      <c r="AA293" s="84"/>
    </row>
    <row r="294" ht="15.75" customHeight="1">
      <c r="A294" s="82"/>
      <c r="B294" s="84"/>
      <c r="C294" s="84"/>
      <c r="D294" s="84"/>
      <c r="E294" s="84"/>
      <c r="F294" s="84"/>
      <c r="G294" s="84"/>
      <c r="H294" s="85"/>
      <c r="I294" s="84"/>
      <c r="J294" s="84"/>
      <c r="K294" s="86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92"/>
      <c r="Z294" s="84"/>
      <c r="AA294" s="84"/>
    </row>
    <row r="295" ht="15.75" customHeight="1">
      <c r="A295" s="82"/>
      <c r="B295" s="84"/>
      <c r="C295" s="84"/>
      <c r="D295" s="84"/>
      <c r="E295" s="84"/>
      <c r="F295" s="84"/>
      <c r="G295" s="84"/>
      <c r="H295" s="85"/>
      <c r="I295" s="84"/>
      <c r="J295" s="84"/>
      <c r="K295" s="86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92"/>
      <c r="Z295" s="84"/>
      <c r="AA295" s="84"/>
    </row>
    <row r="296" ht="15.75" customHeight="1">
      <c r="A296" s="82"/>
      <c r="B296" s="84"/>
      <c r="C296" s="84"/>
      <c r="D296" s="84"/>
      <c r="E296" s="84"/>
      <c r="F296" s="84"/>
      <c r="G296" s="84"/>
      <c r="H296" s="85"/>
      <c r="I296" s="84"/>
      <c r="J296" s="84"/>
      <c r="K296" s="86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92"/>
      <c r="Z296" s="84"/>
      <c r="AA296" s="84"/>
    </row>
    <row r="297" ht="15.75" customHeight="1">
      <c r="A297" s="82"/>
      <c r="B297" s="84"/>
      <c r="C297" s="84"/>
      <c r="D297" s="84"/>
      <c r="E297" s="84"/>
      <c r="F297" s="84"/>
      <c r="G297" s="84"/>
      <c r="H297" s="85"/>
      <c r="I297" s="84"/>
      <c r="J297" s="84"/>
      <c r="K297" s="86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92"/>
      <c r="Z297" s="84"/>
      <c r="AA297" s="84"/>
    </row>
    <row r="298" ht="15.75" customHeight="1">
      <c r="A298" s="82"/>
      <c r="B298" s="84"/>
      <c r="C298" s="84"/>
      <c r="D298" s="84"/>
      <c r="E298" s="84"/>
      <c r="F298" s="84"/>
      <c r="G298" s="84"/>
      <c r="H298" s="85"/>
      <c r="I298" s="84"/>
      <c r="J298" s="84"/>
      <c r="K298" s="86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92"/>
      <c r="Z298" s="84"/>
      <c r="AA298" s="84"/>
    </row>
    <row r="299" ht="15.75" customHeight="1">
      <c r="A299" s="82"/>
      <c r="B299" s="84"/>
      <c r="C299" s="84"/>
      <c r="D299" s="84"/>
      <c r="E299" s="84"/>
      <c r="F299" s="84"/>
      <c r="G299" s="84"/>
      <c r="H299" s="85"/>
      <c r="I299" s="84"/>
      <c r="J299" s="84"/>
      <c r="K299" s="86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92"/>
      <c r="Z299" s="84"/>
      <c r="AA299" s="84"/>
    </row>
    <row r="300" ht="15.75" customHeight="1">
      <c r="A300" s="82"/>
      <c r="B300" s="84"/>
      <c r="C300" s="84"/>
      <c r="D300" s="84"/>
      <c r="E300" s="84"/>
      <c r="F300" s="84"/>
      <c r="G300" s="84"/>
      <c r="H300" s="85"/>
      <c r="I300" s="84"/>
      <c r="J300" s="84"/>
      <c r="K300" s="86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92"/>
      <c r="Z300" s="84"/>
      <c r="AA300" s="84"/>
    </row>
    <row r="301" ht="15.75" customHeight="1">
      <c r="A301" s="82"/>
      <c r="B301" s="84"/>
      <c r="C301" s="84"/>
      <c r="D301" s="84"/>
      <c r="E301" s="84"/>
      <c r="F301" s="84"/>
      <c r="G301" s="84"/>
      <c r="H301" s="85"/>
      <c r="I301" s="84"/>
      <c r="J301" s="84"/>
      <c r="K301" s="86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92"/>
      <c r="Z301" s="84"/>
      <c r="AA301" s="84"/>
    </row>
    <row r="302" ht="15.75" customHeight="1">
      <c r="A302" s="82"/>
      <c r="B302" s="84"/>
      <c r="C302" s="84"/>
      <c r="D302" s="84"/>
      <c r="E302" s="84"/>
      <c r="F302" s="84"/>
      <c r="G302" s="84"/>
      <c r="H302" s="85"/>
      <c r="I302" s="84"/>
      <c r="J302" s="84"/>
      <c r="K302" s="86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92"/>
      <c r="Z302" s="84"/>
      <c r="AA302" s="84"/>
    </row>
    <row r="303" ht="15.75" customHeight="1">
      <c r="A303" s="82"/>
      <c r="B303" s="84"/>
      <c r="C303" s="84"/>
      <c r="D303" s="84"/>
      <c r="E303" s="84"/>
      <c r="F303" s="84"/>
      <c r="G303" s="84"/>
      <c r="H303" s="85"/>
      <c r="I303" s="84"/>
      <c r="J303" s="84"/>
      <c r="K303" s="86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92"/>
      <c r="Z303" s="84"/>
      <c r="AA303" s="84"/>
    </row>
    <row r="304" ht="15.75" customHeight="1">
      <c r="A304" s="82"/>
      <c r="B304" s="84"/>
      <c r="C304" s="84"/>
      <c r="D304" s="84"/>
      <c r="E304" s="84"/>
      <c r="F304" s="84"/>
      <c r="G304" s="84"/>
      <c r="H304" s="85"/>
      <c r="I304" s="84"/>
      <c r="J304" s="84"/>
      <c r="K304" s="86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92"/>
      <c r="Z304" s="84"/>
      <c r="AA304" s="84"/>
    </row>
    <row r="305" ht="15.75" customHeight="1">
      <c r="A305" s="82"/>
      <c r="B305" s="84"/>
      <c r="C305" s="84"/>
      <c r="D305" s="84"/>
      <c r="E305" s="84"/>
      <c r="F305" s="84"/>
      <c r="G305" s="84"/>
      <c r="H305" s="85"/>
      <c r="I305" s="84"/>
      <c r="J305" s="84"/>
      <c r="K305" s="86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92"/>
      <c r="Z305" s="84"/>
      <c r="AA305" s="84"/>
    </row>
    <row r="306" ht="15.75" customHeight="1">
      <c r="A306" s="82"/>
      <c r="B306" s="84"/>
      <c r="C306" s="84"/>
      <c r="D306" s="84"/>
      <c r="E306" s="84"/>
      <c r="F306" s="84"/>
      <c r="G306" s="84"/>
      <c r="H306" s="85"/>
      <c r="I306" s="84"/>
      <c r="J306" s="84"/>
      <c r="K306" s="86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92"/>
      <c r="Z306" s="84"/>
      <c r="AA306" s="84"/>
    </row>
    <row r="307" ht="15.75" customHeight="1">
      <c r="A307" s="82"/>
      <c r="B307" s="84"/>
      <c r="C307" s="84"/>
      <c r="D307" s="84"/>
      <c r="E307" s="84"/>
      <c r="F307" s="84"/>
      <c r="G307" s="84"/>
      <c r="H307" s="85"/>
      <c r="I307" s="84"/>
      <c r="J307" s="84"/>
      <c r="K307" s="86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92"/>
      <c r="Z307" s="84"/>
      <c r="AA307" s="84"/>
    </row>
    <row r="308" ht="15.75" customHeight="1">
      <c r="A308" s="82"/>
      <c r="B308" s="84"/>
      <c r="C308" s="84"/>
      <c r="D308" s="84"/>
      <c r="E308" s="84"/>
      <c r="F308" s="84"/>
      <c r="G308" s="84"/>
      <c r="H308" s="85"/>
      <c r="I308" s="84"/>
      <c r="J308" s="84"/>
      <c r="K308" s="86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92"/>
      <c r="Z308" s="84"/>
      <c r="AA308" s="84"/>
    </row>
    <row r="309" ht="15.75" customHeight="1">
      <c r="A309" s="82"/>
      <c r="B309" s="84"/>
      <c r="C309" s="84"/>
      <c r="D309" s="84"/>
      <c r="E309" s="84"/>
      <c r="F309" s="84"/>
      <c r="G309" s="84"/>
      <c r="H309" s="85"/>
      <c r="I309" s="84"/>
      <c r="J309" s="84"/>
      <c r="K309" s="86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92"/>
      <c r="Z309" s="84"/>
      <c r="AA309" s="84"/>
    </row>
    <row r="310" ht="15.75" customHeight="1">
      <c r="A310" s="82"/>
      <c r="B310" s="84"/>
      <c r="C310" s="84"/>
      <c r="D310" s="84"/>
      <c r="E310" s="84"/>
      <c r="F310" s="84"/>
      <c r="G310" s="84"/>
      <c r="H310" s="85"/>
      <c r="I310" s="84"/>
      <c r="J310" s="84"/>
      <c r="K310" s="86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92"/>
      <c r="Z310" s="84"/>
      <c r="AA310" s="84"/>
    </row>
    <row r="311" ht="15.75" customHeight="1">
      <c r="A311" s="82"/>
      <c r="B311" s="84"/>
      <c r="C311" s="84"/>
      <c r="D311" s="84"/>
      <c r="E311" s="84"/>
      <c r="F311" s="84"/>
      <c r="G311" s="84"/>
      <c r="H311" s="85"/>
      <c r="I311" s="84"/>
      <c r="J311" s="84"/>
      <c r="K311" s="86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92"/>
      <c r="Z311" s="84"/>
      <c r="AA311" s="84"/>
    </row>
    <row r="312" ht="15.75" customHeight="1">
      <c r="A312" s="82"/>
      <c r="B312" s="84"/>
      <c r="C312" s="84"/>
      <c r="D312" s="84"/>
      <c r="E312" s="84"/>
      <c r="F312" s="84"/>
      <c r="G312" s="84"/>
      <c r="H312" s="85"/>
      <c r="I312" s="84"/>
      <c r="J312" s="84"/>
      <c r="K312" s="86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92"/>
      <c r="Z312" s="84"/>
      <c r="AA312" s="84"/>
    </row>
    <row r="313" ht="15.75" customHeight="1">
      <c r="A313" s="82"/>
      <c r="B313" s="84"/>
      <c r="C313" s="84"/>
      <c r="D313" s="84"/>
      <c r="E313" s="84"/>
      <c r="F313" s="84"/>
      <c r="G313" s="84"/>
      <c r="H313" s="85"/>
      <c r="I313" s="84"/>
      <c r="J313" s="84"/>
      <c r="K313" s="86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92"/>
      <c r="Z313" s="84"/>
      <c r="AA313" s="84"/>
    </row>
    <row r="314" ht="15.75" customHeight="1">
      <c r="A314" s="82"/>
      <c r="B314" s="84"/>
      <c r="C314" s="84"/>
      <c r="D314" s="84"/>
      <c r="E314" s="84"/>
      <c r="F314" s="84"/>
      <c r="G314" s="84"/>
      <c r="H314" s="85"/>
      <c r="I314" s="84"/>
      <c r="J314" s="84"/>
      <c r="K314" s="86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92"/>
      <c r="Z314" s="84"/>
      <c r="AA314" s="84"/>
    </row>
    <row r="315" ht="15.75" customHeight="1">
      <c r="A315" s="82"/>
      <c r="B315" s="84"/>
      <c r="C315" s="84"/>
      <c r="D315" s="84"/>
      <c r="E315" s="84"/>
      <c r="F315" s="84"/>
      <c r="G315" s="84"/>
      <c r="H315" s="85"/>
      <c r="I315" s="84"/>
      <c r="J315" s="84"/>
      <c r="K315" s="86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92"/>
      <c r="Z315" s="84"/>
      <c r="AA315" s="84"/>
    </row>
    <row r="316" ht="15.75" customHeight="1">
      <c r="A316" s="82"/>
      <c r="B316" s="84"/>
      <c r="C316" s="84"/>
      <c r="D316" s="84"/>
      <c r="E316" s="84"/>
      <c r="F316" s="84"/>
      <c r="G316" s="84"/>
      <c r="H316" s="85"/>
      <c r="I316" s="84"/>
      <c r="J316" s="84"/>
      <c r="K316" s="86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92"/>
      <c r="Z316" s="84"/>
      <c r="AA316" s="84"/>
    </row>
    <row r="317" ht="15.75" customHeight="1">
      <c r="A317" s="82"/>
      <c r="B317" s="84"/>
      <c r="C317" s="84"/>
      <c r="D317" s="84"/>
      <c r="E317" s="84"/>
      <c r="F317" s="84"/>
      <c r="G317" s="84"/>
      <c r="H317" s="85"/>
      <c r="I317" s="84"/>
      <c r="J317" s="84"/>
      <c r="K317" s="86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92"/>
      <c r="Z317" s="84"/>
      <c r="AA317" s="84"/>
    </row>
    <row r="318" ht="15.75" customHeight="1">
      <c r="A318" s="82"/>
      <c r="B318" s="84"/>
      <c r="C318" s="84"/>
      <c r="D318" s="84"/>
      <c r="E318" s="84"/>
      <c r="F318" s="84"/>
      <c r="G318" s="84"/>
      <c r="H318" s="85"/>
      <c r="I318" s="84"/>
      <c r="J318" s="84"/>
      <c r="K318" s="86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92"/>
      <c r="Z318" s="84"/>
      <c r="AA318" s="84"/>
    </row>
    <row r="319" ht="15.75" customHeight="1">
      <c r="A319" s="82"/>
      <c r="B319" s="84"/>
      <c r="C319" s="84"/>
      <c r="D319" s="84"/>
      <c r="E319" s="84"/>
      <c r="F319" s="84"/>
      <c r="G319" s="84"/>
      <c r="H319" s="85"/>
      <c r="I319" s="84"/>
      <c r="J319" s="84"/>
      <c r="K319" s="86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92"/>
      <c r="Z319" s="84"/>
      <c r="AA319" s="84"/>
    </row>
    <row r="320" ht="15.75" customHeight="1">
      <c r="A320" s="82"/>
      <c r="B320" s="84"/>
      <c r="C320" s="84"/>
      <c r="D320" s="84"/>
      <c r="E320" s="84"/>
      <c r="F320" s="84"/>
      <c r="G320" s="84"/>
      <c r="H320" s="85"/>
      <c r="I320" s="84"/>
      <c r="J320" s="84"/>
      <c r="K320" s="86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92"/>
      <c r="Z320" s="84"/>
      <c r="AA320" s="84"/>
    </row>
    <row r="321" ht="15.75" customHeight="1">
      <c r="A321" s="82"/>
      <c r="B321" s="84"/>
      <c r="C321" s="84"/>
      <c r="D321" s="84"/>
      <c r="E321" s="84"/>
      <c r="F321" s="84"/>
      <c r="G321" s="84"/>
      <c r="H321" s="85"/>
      <c r="I321" s="84"/>
      <c r="J321" s="84"/>
      <c r="K321" s="86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92"/>
      <c r="Z321" s="84"/>
      <c r="AA321" s="84"/>
    </row>
    <row r="322" ht="15.75" customHeight="1">
      <c r="A322" s="82"/>
      <c r="B322" s="84"/>
      <c r="C322" s="84"/>
      <c r="D322" s="84"/>
      <c r="E322" s="84"/>
      <c r="F322" s="84"/>
      <c r="G322" s="84"/>
      <c r="H322" s="85"/>
      <c r="I322" s="84"/>
      <c r="J322" s="84"/>
      <c r="K322" s="86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92"/>
      <c r="Z322" s="84"/>
      <c r="AA322" s="84"/>
    </row>
    <row r="323" ht="15.75" customHeight="1">
      <c r="A323" s="82"/>
      <c r="B323" s="84"/>
      <c r="C323" s="84"/>
      <c r="D323" s="84"/>
      <c r="E323" s="84"/>
      <c r="F323" s="84"/>
      <c r="G323" s="84"/>
      <c r="H323" s="85"/>
      <c r="I323" s="84"/>
      <c r="J323" s="84"/>
      <c r="K323" s="86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92"/>
      <c r="Z323" s="84"/>
      <c r="AA323" s="84"/>
    </row>
    <row r="324" ht="15.75" customHeight="1">
      <c r="A324" s="82"/>
      <c r="B324" s="84"/>
      <c r="C324" s="84"/>
      <c r="D324" s="84"/>
      <c r="E324" s="84"/>
      <c r="F324" s="84"/>
      <c r="G324" s="84"/>
      <c r="H324" s="85"/>
      <c r="I324" s="84"/>
      <c r="J324" s="84"/>
      <c r="K324" s="86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92"/>
      <c r="Z324" s="84"/>
      <c r="AA324" s="84"/>
    </row>
    <row r="325" ht="15.75" customHeight="1">
      <c r="A325" s="82"/>
      <c r="B325" s="84"/>
      <c r="C325" s="84"/>
      <c r="D325" s="84"/>
      <c r="E325" s="84"/>
      <c r="F325" s="84"/>
      <c r="G325" s="84"/>
      <c r="H325" s="85"/>
      <c r="I325" s="84"/>
      <c r="J325" s="84"/>
      <c r="K325" s="86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92"/>
      <c r="Z325" s="84"/>
      <c r="AA325" s="84"/>
    </row>
    <row r="326" ht="15.75" customHeight="1">
      <c r="A326" s="82"/>
      <c r="B326" s="84"/>
      <c r="C326" s="84"/>
      <c r="D326" s="84"/>
      <c r="E326" s="84"/>
      <c r="F326" s="84"/>
      <c r="G326" s="84"/>
      <c r="H326" s="85"/>
      <c r="I326" s="84"/>
      <c r="J326" s="84"/>
      <c r="K326" s="86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92"/>
      <c r="Z326" s="84"/>
      <c r="AA326" s="84"/>
    </row>
    <row r="327" ht="15.75" customHeight="1">
      <c r="A327" s="82"/>
      <c r="B327" s="84"/>
      <c r="C327" s="84"/>
      <c r="D327" s="84"/>
      <c r="E327" s="84"/>
      <c r="F327" s="84"/>
      <c r="G327" s="84"/>
      <c r="H327" s="85"/>
      <c r="I327" s="84"/>
      <c r="J327" s="84"/>
      <c r="K327" s="86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92"/>
      <c r="Z327" s="84"/>
      <c r="AA327" s="84"/>
    </row>
    <row r="328" ht="15.75" customHeight="1">
      <c r="A328" s="82"/>
      <c r="B328" s="84"/>
      <c r="C328" s="84"/>
      <c r="D328" s="84"/>
      <c r="E328" s="84"/>
      <c r="F328" s="84"/>
      <c r="G328" s="84"/>
      <c r="H328" s="85"/>
      <c r="I328" s="84"/>
      <c r="J328" s="84"/>
      <c r="K328" s="86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92"/>
      <c r="Z328" s="84"/>
      <c r="AA328" s="84"/>
    </row>
    <row r="329" ht="15.75" customHeight="1">
      <c r="A329" s="82"/>
      <c r="B329" s="84"/>
      <c r="C329" s="84"/>
      <c r="D329" s="84"/>
      <c r="E329" s="84"/>
      <c r="F329" s="84"/>
      <c r="G329" s="84"/>
      <c r="H329" s="85"/>
      <c r="I329" s="84"/>
      <c r="J329" s="84"/>
      <c r="K329" s="86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92"/>
      <c r="Z329" s="84"/>
      <c r="AA329" s="84"/>
    </row>
    <row r="330" ht="15.75" customHeight="1">
      <c r="A330" s="82"/>
      <c r="B330" s="84"/>
      <c r="C330" s="84"/>
      <c r="D330" s="84"/>
      <c r="E330" s="84"/>
      <c r="F330" s="84"/>
      <c r="G330" s="84"/>
      <c r="H330" s="85"/>
      <c r="I330" s="84"/>
      <c r="J330" s="84"/>
      <c r="K330" s="86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92"/>
      <c r="Z330" s="84"/>
      <c r="AA330" s="84"/>
    </row>
    <row r="331" ht="15.75" customHeight="1">
      <c r="A331" s="82"/>
      <c r="B331" s="84"/>
      <c r="C331" s="84"/>
      <c r="D331" s="84"/>
      <c r="E331" s="84"/>
      <c r="F331" s="84"/>
      <c r="G331" s="84"/>
      <c r="H331" s="85"/>
      <c r="I331" s="84"/>
      <c r="J331" s="84"/>
      <c r="K331" s="86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92"/>
      <c r="Z331" s="84"/>
      <c r="AA331" s="84"/>
    </row>
    <row r="332" ht="15.75" customHeight="1">
      <c r="A332" s="82"/>
      <c r="B332" s="84"/>
      <c r="C332" s="84"/>
      <c r="D332" s="84"/>
      <c r="E332" s="84"/>
      <c r="F332" s="84"/>
      <c r="G332" s="84"/>
      <c r="H332" s="85"/>
      <c r="I332" s="84"/>
      <c r="J332" s="84"/>
      <c r="K332" s="86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92"/>
      <c r="Z332" s="84"/>
      <c r="AA332" s="84"/>
    </row>
    <row r="333" ht="15.75" customHeight="1">
      <c r="A333" s="82"/>
      <c r="B333" s="84"/>
      <c r="C333" s="84"/>
      <c r="D333" s="84"/>
      <c r="E333" s="84"/>
      <c r="F333" s="84"/>
      <c r="G333" s="84"/>
      <c r="H333" s="85"/>
      <c r="I333" s="84"/>
      <c r="J333" s="84"/>
      <c r="K333" s="86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92"/>
      <c r="Z333" s="84"/>
      <c r="AA333" s="84"/>
    </row>
    <row r="334" ht="15.75" customHeight="1">
      <c r="A334" s="82"/>
      <c r="B334" s="84"/>
      <c r="C334" s="84"/>
      <c r="D334" s="84"/>
      <c r="E334" s="84"/>
      <c r="F334" s="84"/>
      <c r="G334" s="84"/>
      <c r="H334" s="85"/>
      <c r="I334" s="84"/>
      <c r="J334" s="84"/>
      <c r="K334" s="86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92"/>
      <c r="Z334" s="84"/>
      <c r="AA334" s="84"/>
    </row>
    <row r="335" ht="15.75" customHeight="1">
      <c r="A335" s="82"/>
      <c r="B335" s="84"/>
      <c r="C335" s="84"/>
      <c r="D335" s="84"/>
      <c r="E335" s="84"/>
      <c r="F335" s="84"/>
      <c r="G335" s="84"/>
      <c r="H335" s="85"/>
      <c r="I335" s="84"/>
      <c r="J335" s="84"/>
      <c r="K335" s="86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92"/>
      <c r="Z335" s="84"/>
      <c r="AA335" s="84"/>
    </row>
    <row r="336" ht="15.75" customHeight="1">
      <c r="A336" s="82"/>
      <c r="B336" s="84"/>
      <c r="C336" s="84"/>
      <c r="D336" s="84"/>
      <c r="E336" s="84"/>
      <c r="F336" s="84"/>
      <c r="G336" s="84"/>
      <c r="H336" s="85"/>
      <c r="I336" s="84"/>
      <c r="J336" s="84"/>
      <c r="K336" s="86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92"/>
      <c r="Z336" s="84"/>
      <c r="AA336" s="84"/>
    </row>
    <row r="337" ht="15.75" customHeight="1">
      <c r="A337" s="82"/>
      <c r="B337" s="84"/>
      <c r="C337" s="84"/>
      <c r="D337" s="84"/>
      <c r="E337" s="84"/>
      <c r="F337" s="84"/>
      <c r="G337" s="84"/>
      <c r="H337" s="85"/>
      <c r="I337" s="84"/>
      <c r="J337" s="84"/>
      <c r="K337" s="86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92"/>
      <c r="Z337" s="84"/>
      <c r="AA337" s="84"/>
    </row>
    <row r="338" ht="15.75" customHeight="1">
      <c r="A338" s="82"/>
      <c r="B338" s="84"/>
      <c r="C338" s="84"/>
      <c r="D338" s="84"/>
      <c r="E338" s="84"/>
      <c r="F338" s="84"/>
      <c r="G338" s="84"/>
      <c r="H338" s="85"/>
      <c r="I338" s="84"/>
      <c r="J338" s="84"/>
      <c r="K338" s="86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92"/>
      <c r="Z338" s="84"/>
      <c r="AA338" s="84"/>
    </row>
    <row r="339" ht="15.75" customHeight="1">
      <c r="A339" s="82"/>
      <c r="B339" s="84"/>
      <c r="C339" s="84"/>
      <c r="D339" s="84"/>
      <c r="E339" s="84"/>
      <c r="F339" s="84"/>
      <c r="G339" s="84"/>
      <c r="H339" s="85"/>
      <c r="I339" s="84"/>
      <c r="J339" s="84"/>
      <c r="K339" s="86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92"/>
      <c r="Z339" s="84"/>
      <c r="AA339" s="84"/>
    </row>
    <row r="340" ht="15.75" customHeight="1">
      <c r="A340" s="82"/>
      <c r="B340" s="84"/>
      <c r="C340" s="84"/>
      <c r="D340" s="84"/>
      <c r="E340" s="84"/>
      <c r="F340" s="84"/>
      <c r="G340" s="84"/>
      <c r="H340" s="85"/>
      <c r="I340" s="84"/>
      <c r="J340" s="84"/>
      <c r="K340" s="86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92"/>
      <c r="Z340" s="84"/>
      <c r="AA340" s="84"/>
    </row>
    <row r="341" ht="15.75" customHeight="1">
      <c r="A341" s="82"/>
      <c r="B341" s="84"/>
      <c r="C341" s="84"/>
      <c r="D341" s="84"/>
      <c r="E341" s="84"/>
      <c r="F341" s="84"/>
      <c r="G341" s="84"/>
      <c r="H341" s="85"/>
      <c r="I341" s="84"/>
      <c r="J341" s="84"/>
      <c r="K341" s="86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92"/>
      <c r="Z341" s="84"/>
      <c r="AA341" s="84"/>
    </row>
    <row r="342" ht="15.75" customHeight="1">
      <c r="A342" s="82"/>
      <c r="B342" s="84"/>
      <c r="C342" s="84"/>
      <c r="D342" s="84"/>
      <c r="E342" s="84"/>
      <c r="F342" s="84"/>
      <c r="G342" s="84"/>
      <c r="H342" s="85"/>
      <c r="I342" s="84"/>
      <c r="J342" s="84"/>
      <c r="K342" s="86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92"/>
      <c r="Z342" s="84"/>
      <c r="AA342" s="84"/>
    </row>
    <row r="343" ht="15.75" customHeight="1">
      <c r="A343" s="82"/>
      <c r="B343" s="84"/>
      <c r="C343" s="84"/>
      <c r="D343" s="84"/>
      <c r="E343" s="84"/>
      <c r="F343" s="84"/>
      <c r="G343" s="84"/>
      <c r="H343" s="85"/>
      <c r="I343" s="84"/>
      <c r="J343" s="84"/>
      <c r="K343" s="86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92"/>
      <c r="Z343" s="84"/>
      <c r="AA343" s="84"/>
    </row>
    <row r="344" ht="15.75" customHeight="1">
      <c r="A344" s="82"/>
      <c r="B344" s="84"/>
      <c r="C344" s="84"/>
      <c r="D344" s="84"/>
      <c r="E344" s="84"/>
      <c r="F344" s="84"/>
      <c r="G344" s="84"/>
      <c r="H344" s="85"/>
      <c r="I344" s="84"/>
      <c r="J344" s="84"/>
      <c r="K344" s="86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92"/>
      <c r="Z344" s="84"/>
      <c r="AA344" s="84"/>
    </row>
    <row r="345" ht="15.75" customHeight="1">
      <c r="A345" s="82"/>
      <c r="B345" s="84"/>
      <c r="C345" s="84"/>
      <c r="D345" s="84"/>
      <c r="E345" s="84"/>
      <c r="F345" s="84"/>
      <c r="G345" s="84"/>
      <c r="H345" s="85"/>
      <c r="I345" s="84"/>
      <c r="J345" s="84"/>
      <c r="K345" s="86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92"/>
      <c r="Z345" s="84"/>
      <c r="AA345" s="84"/>
    </row>
    <row r="346" ht="15.75" customHeight="1">
      <c r="A346" s="82"/>
      <c r="B346" s="84"/>
      <c r="C346" s="84"/>
      <c r="D346" s="84"/>
      <c r="E346" s="84"/>
      <c r="F346" s="84"/>
      <c r="G346" s="84"/>
      <c r="H346" s="85"/>
      <c r="I346" s="84"/>
      <c r="J346" s="84"/>
      <c r="K346" s="86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92"/>
      <c r="Z346" s="84"/>
      <c r="AA346" s="84"/>
    </row>
    <row r="347" ht="15.75" customHeight="1">
      <c r="A347" s="82"/>
      <c r="B347" s="84"/>
      <c r="C347" s="84"/>
      <c r="D347" s="84"/>
      <c r="E347" s="84"/>
      <c r="F347" s="84"/>
      <c r="G347" s="84"/>
      <c r="H347" s="85"/>
      <c r="I347" s="84"/>
      <c r="J347" s="84"/>
      <c r="K347" s="86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92"/>
      <c r="Z347" s="84"/>
      <c r="AA347" s="84"/>
    </row>
    <row r="348" ht="15.75" customHeight="1">
      <c r="A348" s="82"/>
      <c r="B348" s="84"/>
      <c r="C348" s="84"/>
      <c r="D348" s="84"/>
      <c r="E348" s="84"/>
      <c r="F348" s="84"/>
      <c r="G348" s="84"/>
      <c r="H348" s="85"/>
      <c r="I348" s="84"/>
      <c r="J348" s="84"/>
      <c r="K348" s="86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92"/>
      <c r="Z348" s="84"/>
      <c r="AA348" s="84"/>
    </row>
    <row r="349" ht="15.75" customHeight="1">
      <c r="A349" s="82"/>
      <c r="B349" s="84"/>
      <c r="C349" s="84"/>
      <c r="D349" s="84"/>
      <c r="E349" s="84"/>
      <c r="F349" s="84"/>
      <c r="G349" s="84"/>
      <c r="H349" s="85"/>
      <c r="I349" s="84"/>
      <c r="J349" s="84"/>
      <c r="K349" s="86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92"/>
      <c r="Z349" s="84"/>
      <c r="AA349" s="84"/>
    </row>
    <row r="350" ht="15.75" customHeight="1">
      <c r="A350" s="82"/>
      <c r="B350" s="84"/>
      <c r="C350" s="84"/>
      <c r="D350" s="84"/>
      <c r="E350" s="84"/>
      <c r="F350" s="84"/>
      <c r="G350" s="84"/>
      <c r="H350" s="85"/>
      <c r="I350" s="84"/>
      <c r="J350" s="84"/>
      <c r="K350" s="86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92"/>
      <c r="Z350" s="84"/>
      <c r="AA350" s="84"/>
    </row>
    <row r="351" ht="15.75" customHeight="1">
      <c r="A351" s="82"/>
      <c r="B351" s="84"/>
      <c r="C351" s="84"/>
      <c r="D351" s="84"/>
      <c r="E351" s="84"/>
      <c r="F351" s="84"/>
      <c r="G351" s="84"/>
      <c r="H351" s="85"/>
      <c r="I351" s="84"/>
      <c r="J351" s="84"/>
      <c r="K351" s="86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92"/>
      <c r="Z351" s="84"/>
      <c r="AA351" s="84"/>
    </row>
    <row r="352" ht="15.75" customHeight="1">
      <c r="A352" s="82"/>
      <c r="B352" s="84"/>
      <c r="C352" s="84"/>
      <c r="D352" s="84"/>
      <c r="E352" s="84"/>
      <c r="F352" s="84"/>
      <c r="G352" s="84"/>
      <c r="H352" s="85"/>
      <c r="I352" s="84"/>
      <c r="J352" s="84"/>
      <c r="K352" s="86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92"/>
      <c r="Z352" s="84"/>
      <c r="AA352" s="84"/>
    </row>
    <row r="353" ht="15.75" customHeight="1">
      <c r="A353" s="82"/>
      <c r="B353" s="84"/>
      <c r="C353" s="84"/>
      <c r="D353" s="84"/>
      <c r="E353" s="84"/>
      <c r="F353" s="84"/>
      <c r="G353" s="84"/>
      <c r="H353" s="85"/>
      <c r="I353" s="84"/>
      <c r="J353" s="84"/>
      <c r="K353" s="86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92"/>
      <c r="Z353" s="84"/>
      <c r="AA353" s="84"/>
    </row>
    <row r="354" ht="15.75" customHeight="1">
      <c r="A354" s="82"/>
      <c r="B354" s="84"/>
      <c r="C354" s="84"/>
      <c r="D354" s="84"/>
      <c r="E354" s="84"/>
      <c r="F354" s="84"/>
      <c r="G354" s="84"/>
      <c r="H354" s="85"/>
      <c r="I354" s="84"/>
      <c r="J354" s="84"/>
      <c r="K354" s="86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92"/>
      <c r="Z354" s="84"/>
      <c r="AA354" s="84"/>
    </row>
    <row r="355" ht="15.75" customHeight="1">
      <c r="A355" s="82"/>
      <c r="B355" s="84"/>
      <c r="C355" s="84"/>
      <c r="D355" s="84"/>
      <c r="E355" s="84"/>
      <c r="F355" s="84"/>
      <c r="G355" s="84"/>
      <c r="H355" s="85"/>
      <c r="I355" s="84"/>
      <c r="J355" s="84"/>
      <c r="K355" s="86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92"/>
      <c r="Z355" s="84"/>
      <c r="AA355" s="84"/>
    </row>
    <row r="356" ht="15.75" customHeight="1">
      <c r="A356" s="82"/>
      <c r="B356" s="84"/>
      <c r="C356" s="84"/>
      <c r="D356" s="84"/>
      <c r="E356" s="84"/>
      <c r="F356" s="84"/>
      <c r="G356" s="84"/>
      <c r="H356" s="85"/>
      <c r="I356" s="84"/>
      <c r="J356" s="84"/>
      <c r="K356" s="86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92"/>
      <c r="Z356" s="84"/>
      <c r="AA356" s="84"/>
    </row>
    <row r="357" ht="15.75" customHeight="1">
      <c r="A357" s="82"/>
      <c r="B357" s="84"/>
      <c r="C357" s="84"/>
      <c r="D357" s="84"/>
      <c r="E357" s="84"/>
      <c r="F357" s="84"/>
      <c r="G357" s="84"/>
      <c r="H357" s="85"/>
      <c r="I357" s="84"/>
      <c r="J357" s="84"/>
      <c r="K357" s="86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92"/>
      <c r="Z357" s="84"/>
      <c r="AA357" s="84"/>
    </row>
    <row r="358" ht="15.75" customHeight="1">
      <c r="A358" s="82"/>
      <c r="B358" s="84"/>
      <c r="C358" s="84"/>
      <c r="D358" s="84"/>
      <c r="E358" s="84"/>
      <c r="F358" s="84"/>
      <c r="G358" s="84"/>
      <c r="H358" s="85"/>
      <c r="I358" s="84"/>
      <c r="J358" s="84"/>
      <c r="K358" s="86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92"/>
      <c r="Z358" s="84"/>
      <c r="AA358" s="84"/>
    </row>
    <row r="359" ht="15.75" customHeight="1">
      <c r="A359" s="82"/>
      <c r="B359" s="84"/>
      <c r="C359" s="84"/>
      <c r="D359" s="84"/>
      <c r="E359" s="84"/>
      <c r="F359" s="84"/>
      <c r="G359" s="84"/>
      <c r="H359" s="85"/>
      <c r="I359" s="84"/>
      <c r="J359" s="84"/>
      <c r="K359" s="86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92"/>
      <c r="Z359" s="84"/>
      <c r="AA359" s="84"/>
    </row>
    <row r="360" ht="15.75" customHeight="1">
      <c r="A360" s="82"/>
      <c r="B360" s="84"/>
      <c r="C360" s="84"/>
      <c r="D360" s="84"/>
      <c r="E360" s="84"/>
      <c r="F360" s="84"/>
      <c r="G360" s="84"/>
      <c r="H360" s="85"/>
      <c r="I360" s="84"/>
      <c r="J360" s="84"/>
      <c r="K360" s="86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92"/>
      <c r="Z360" s="84"/>
      <c r="AA360" s="84"/>
    </row>
    <row r="361" ht="15.75" customHeight="1">
      <c r="A361" s="82"/>
      <c r="B361" s="84"/>
      <c r="C361" s="84"/>
      <c r="D361" s="84"/>
      <c r="E361" s="84"/>
      <c r="F361" s="84"/>
      <c r="G361" s="84"/>
      <c r="H361" s="85"/>
      <c r="I361" s="84"/>
      <c r="J361" s="84"/>
      <c r="K361" s="86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92"/>
      <c r="Z361" s="84"/>
      <c r="AA361" s="84"/>
    </row>
    <row r="362" ht="15.75" customHeight="1">
      <c r="A362" s="82"/>
      <c r="B362" s="84"/>
      <c r="C362" s="84"/>
      <c r="D362" s="84"/>
      <c r="E362" s="84"/>
      <c r="F362" s="84"/>
      <c r="G362" s="84"/>
      <c r="H362" s="85"/>
      <c r="I362" s="84"/>
      <c r="J362" s="84"/>
      <c r="K362" s="86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92"/>
      <c r="Z362" s="84"/>
      <c r="AA362" s="84"/>
    </row>
    <row r="363" ht="15.75" customHeight="1">
      <c r="A363" s="82"/>
      <c r="B363" s="84"/>
      <c r="C363" s="84"/>
      <c r="D363" s="84"/>
      <c r="E363" s="84"/>
      <c r="F363" s="84"/>
      <c r="G363" s="84"/>
      <c r="H363" s="85"/>
      <c r="I363" s="84"/>
      <c r="J363" s="84"/>
      <c r="K363" s="86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92"/>
      <c r="Z363" s="84"/>
      <c r="AA363" s="84"/>
    </row>
    <row r="364" ht="15.75" customHeight="1">
      <c r="A364" s="82"/>
      <c r="B364" s="84"/>
      <c r="C364" s="84"/>
      <c r="D364" s="84"/>
      <c r="E364" s="84"/>
      <c r="F364" s="84"/>
      <c r="G364" s="84"/>
      <c r="H364" s="85"/>
      <c r="I364" s="84"/>
      <c r="J364" s="84"/>
      <c r="K364" s="86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92"/>
      <c r="Z364" s="84"/>
      <c r="AA364" s="84"/>
    </row>
    <row r="365" ht="15.75" customHeight="1">
      <c r="A365" s="82"/>
      <c r="B365" s="84"/>
      <c r="C365" s="84"/>
      <c r="D365" s="84"/>
      <c r="E365" s="84"/>
      <c r="F365" s="84"/>
      <c r="G365" s="84"/>
      <c r="H365" s="85"/>
      <c r="I365" s="84"/>
      <c r="J365" s="84"/>
      <c r="K365" s="86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92"/>
      <c r="Z365" s="84"/>
      <c r="AA365" s="84"/>
    </row>
    <row r="366" ht="15.75" customHeight="1">
      <c r="A366" s="82"/>
      <c r="B366" s="84"/>
      <c r="C366" s="84"/>
      <c r="D366" s="84"/>
      <c r="E366" s="84"/>
      <c r="F366" s="84"/>
      <c r="G366" s="84"/>
      <c r="H366" s="85"/>
      <c r="I366" s="84"/>
      <c r="J366" s="84"/>
      <c r="K366" s="86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92"/>
      <c r="Z366" s="84"/>
      <c r="AA366" s="84"/>
    </row>
    <row r="367" ht="15.75" customHeight="1">
      <c r="A367" s="82"/>
      <c r="B367" s="84"/>
      <c r="C367" s="84"/>
      <c r="D367" s="84"/>
      <c r="E367" s="84"/>
      <c r="F367" s="84"/>
      <c r="G367" s="84"/>
      <c r="H367" s="85"/>
      <c r="I367" s="84"/>
      <c r="J367" s="84"/>
      <c r="K367" s="86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92"/>
      <c r="Z367" s="84"/>
      <c r="AA367" s="84"/>
    </row>
    <row r="368" ht="15.75" customHeight="1">
      <c r="A368" s="82"/>
      <c r="B368" s="84"/>
      <c r="C368" s="84"/>
      <c r="D368" s="84"/>
      <c r="E368" s="84"/>
      <c r="F368" s="84"/>
      <c r="G368" s="84"/>
      <c r="H368" s="85"/>
      <c r="I368" s="84"/>
      <c r="J368" s="84"/>
      <c r="K368" s="86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92"/>
      <c r="Z368" s="84"/>
      <c r="AA368" s="84"/>
    </row>
    <row r="369" ht="15.75" customHeight="1">
      <c r="A369" s="82"/>
      <c r="B369" s="84"/>
      <c r="C369" s="84"/>
      <c r="D369" s="84"/>
      <c r="E369" s="84"/>
      <c r="F369" s="84"/>
      <c r="G369" s="84"/>
      <c r="H369" s="85"/>
      <c r="I369" s="84"/>
      <c r="J369" s="84"/>
      <c r="K369" s="86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92"/>
      <c r="Z369" s="84"/>
      <c r="AA369" s="84"/>
    </row>
    <row r="370" ht="15.75" customHeight="1">
      <c r="A370" s="82"/>
      <c r="B370" s="84"/>
      <c r="C370" s="84"/>
      <c r="D370" s="84"/>
      <c r="E370" s="84"/>
      <c r="F370" s="84"/>
      <c r="G370" s="84"/>
      <c r="H370" s="85"/>
      <c r="I370" s="84"/>
      <c r="J370" s="84"/>
      <c r="K370" s="86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92"/>
      <c r="Z370" s="84"/>
      <c r="AA370" s="84"/>
    </row>
    <row r="371" ht="15.75" customHeight="1">
      <c r="A371" s="82"/>
      <c r="B371" s="84"/>
      <c r="C371" s="84"/>
      <c r="D371" s="84"/>
      <c r="E371" s="84"/>
      <c r="F371" s="84"/>
      <c r="G371" s="84"/>
      <c r="H371" s="85"/>
      <c r="I371" s="84"/>
      <c r="J371" s="84"/>
      <c r="K371" s="86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92"/>
      <c r="Z371" s="84"/>
      <c r="AA371" s="84"/>
    </row>
    <row r="372" ht="15.75" customHeight="1">
      <c r="A372" s="82"/>
      <c r="B372" s="84"/>
      <c r="C372" s="84"/>
      <c r="D372" s="84"/>
      <c r="E372" s="84"/>
      <c r="F372" s="84"/>
      <c r="G372" s="84"/>
      <c r="H372" s="85"/>
      <c r="I372" s="84"/>
      <c r="J372" s="84"/>
      <c r="K372" s="86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92"/>
      <c r="Z372" s="84"/>
      <c r="AA372" s="84"/>
    </row>
    <row r="373" ht="15.75" customHeight="1">
      <c r="A373" s="82"/>
      <c r="B373" s="84"/>
      <c r="C373" s="84"/>
      <c r="D373" s="84"/>
      <c r="E373" s="84"/>
      <c r="F373" s="84"/>
      <c r="G373" s="84"/>
      <c r="H373" s="85"/>
      <c r="I373" s="84"/>
      <c r="J373" s="84"/>
      <c r="K373" s="86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92"/>
      <c r="Z373" s="84"/>
      <c r="AA373" s="84"/>
    </row>
    <row r="374" ht="15.75" customHeight="1">
      <c r="A374" s="82"/>
      <c r="B374" s="84"/>
      <c r="C374" s="84"/>
      <c r="D374" s="84"/>
      <c r="E374" s="84"/>
      <c r="F374" s="84"/>
      <c r="G374" s="84"/>
      <c r="H374" s="85"/>
      <c r="I374" s="84"/>
      <c r="J374" s="84"/>
      <c r="K374" s="86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92"/>
      <c r="Z374" s="84"/>
      <c r="AA374" s="84"/>
    </row>
    <row r="375" ht="15.75" customHeight="1">
      <c r="A375" s="82"/>
      <c r="B375" s="84"/>
      <c r="C375" s="84"/>
      <c r="D375" s="84"/>
      <c r="E375" s="84"/>
      <c r="F375" s="84"/>
      <c r="G375" s="84"/>
      <c r="H375" s="85"/>
      <c r="I375" s="84"/>
      <c r="J375" s="84"/>
      <c r="K375" s="86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92"/>
      <c r="Z375" s="84"/>
      <c r="AA375" s="84"/>
    </row>
    <row r="376" ht="15.75" customHeight="1">
      <c r="A376" s="82"/>
      <c r="B376" s="84"/>
      <c r="C376" s="84"/>
      <c r="D376" s="84"/>
      <c r="E376" s="84"/>
      <c r="F376" s="84"/>
      <c r="G376" s="84"/>
      <c r="H376" s="85"/>
      <c r="I376" s="84"/>
      <c r="J376" s="84"/>
      <c r="K376" s="86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92"/>
      <c r="Z376" s="84"/>
      <c r="AA376" s="84"/>
    </row>
    <row r="377" ht="15.75" customHeight="1">
      <c r="A377" s="82"/>
      <c r="B377" s="84"/>
      <c r="C377" s="84"/>
      <c r="D377" s="84"/>
      <c r="E377" s="84"/>
      <c r="F377" s="84"/>
      <c r="G377" s="84"/>
      <c r="H377" s="85"/>
      <c r="I377" s="84"/>
      <c r="J377" s="84"/>
      <c r="K377" s="86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92"/>
      <c r="Z377" s="84"/>
      <c r="AA377" s="84"/>
    </row>
    <row r="378" ht="15.75" customHeight="1">
      <c r="A378" s="82"/>
      <c r="B378" s="84"/>
      <c r="C378" s="84"/>
      <c r="D378" s="84"/>
      <c r="E378" s="84"/>
      <c r="F378" s="84"/>
      <c r="G378" s="84"/>
      <c r="H378" s="85"/>
      <c r="I378" s="84"/>
      <c r="J378" s="84"/>
      <c r="K378" s="86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92"/>
      <c r="Z378" s="84"/>
      <c r="AA378" s="84"/>
    </row>
    <row r="379" ht="15.75" customHeight="1">
      <c r="A379" s="82"/>
      <c r="B379" s="84"/>
      <c r="C379" s="84"/>
      <c r="D379" s="84"/>
      <c r="E379" s="84"/>
      <c r="F379" s="84"/>
      <c r="G379" s="84"/>
      <c r="H379" s="85"/>
      <c r="I379" s="84"/>
      <c r="J379" s="84"/>
      <c r="K379" s="86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92"/>
      <c r="Z379" s="84"/>
      <c r="AA379" s="84"/>
    </row>
    <row r="380" ht="15.75" customHeight="1">
      <c r="A380" s="82"/>
      <c r="B380" s="84"/>
      <c r="C380" s="84"/>
      <c r="D380" s="84"/>
      <c r="E380" s="84"/>
      <c r="F380" s="84"/>
      <c r="G380" s="84"/>
      <c r="H380" s="85"/>
      <c r="I380" s="84"/>
      <c r="J380" s="84"/>
      <c r="K380" s="86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92"/>
      <c r="Z380" s="84"/>
      <c r="AA380" s="84"/>
    </row>
    <row r="381" ht="15.75" customHeight="1">
      <c r="A381" s="82"/>
      <c r="B381" s="84"/>
      <c r="C381" s="84"/>
      <c r="D381" s="84"/>
      <c r="E381" s="84"/>
      <c r="F381" s="84"/>
      <c r="G381" s="84"/>
      <c r="H381" s="85"/>
      <c r="I381" s="84"/>
      <c r="J381" s="84"/>
      <c r="K381" s="86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92"/>
      <c r="Z381" s="84"/>
      <c r="AA381" s="84"/>
    </row>
    <row r="382" ht="15.75" customHeight="1">
      <c r="A382" s="82"/>
      <c r="B382" s="84"/>
      <c r="C382" s="84"/>
      <c r="D382" s="84"/>
      <c r="E382" s="84"/>
      <c r="F382" s="84"/>
      <c r="G382" s="84"/>
      <c r="H382" s="85"/>
      <c r="I382" s="84"/>
      <c r="J382" s="84"/>
      <c r="K382" s="86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92"/>
      <c r="Z382" s="84"/>
      <c r="AA382" s="84"/>
    </row>
    <row r="383" ht="15.75" customHeight="1">
      <c r="A383" s="82"/>
      <c r="B383" s="84"/>
      <c r="C383" s="84"/>
      <c r="D383" s="84"/>
      <c r="E383" s="84"/>
      <c r="F383" s="84"/>
      <c r="G383" s="84"/>
      <c r="H383" s="85"/>
      <c r="I383" s="84"/>
      <c r="J383" s="84"/>
      <c r="K383" s="86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92"/>
      <c r="Z383" s="84"/>
      <c r="AA383" s="84"/>
    </row>
    <row r="384" ht="15.75" customHeight="1">
      <c r="A384" s="82"/>
      <c r="B384" s="84"/>
      <c r="C384" s="84"/>
      <c r="D384" s="84"/>
      <c r="E384" s="84"/>
      <c r="F384" s="84"/>
      <c r="G384" s="84"/>
      <c r="H384" s="85"/>
      <c r="I384" s="84"/>
      <c r="J384" s="84"/>
      <c r="K384" s="86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92"/>
      <c r="Z384" s="84"/>
      <c r="AA384" s="84"/>
    </row>
    <row r="385" ht="15.75" customHeight="1">
      <c r="A385" s="82"/>
      <c r="B385" s="84"/>
      <c r="C385" s="84"/>
      <c r="D385" s="84"/>
      <c r="E385" s="84"/>
      <c r="F385" s="84"/>
      <c r="G385" s="84"/>
      <c r="H385" s="85"/>
      <c r="I385" s="84"/>
      <c r="J385" s="84"/>
      <c r="K385" s="86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92"/>
      <c r="Z385" s="84"/>
      <c r="AA385" s="84"/>
    </row>
    <row r="386" ht="15.75" customHeight="1">
      <c r="A386" s="82"/>
      <c r="B386" s="84"/>
      <c r="C386" s="84"/>
      <c r="D386" s="84"/>
      <c r="E386" s="84"/>
      <c r="F386" s="84"/>
      <c r="G386" s="84"/>
      <c r="H386" s="85"/>
      <c r="I386" s="84"/>
      <c r="J386" s="84"/>
      <c r="K386" s="86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92"/>
      <c r="Z386" s="84"/>
      <c r="AA386" s="84"/>
    </row>
    <row r="387" ht="15.75" customHeight="1">
      <c r="A387" s="82"/>
      <c r="B387" s="84"/>
      <c r="C387" s="84"/>
      <c r="D387" s="84"/>
      <c r="E387" s="84"/>
      <c r="F387" s="84"/>
      <c r="G387" s="84"/>
      <c r="H387" s="85"/>
      <c r="I387" s="84"/>
      <c r="J387" s="84"/>
      <c r="K387" s="86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92"/>
      <c r="Z387" s="84"/>
      <c r="AA387" s="84"/>
    </row>
    <row r="388" ht="15.75" customHeight="1">
      <c r="A388" s="82"/>
      <c r="B388" s="84"/>
      <c r="C388" s="84"/>
      <c r="D388" s="84"/>
      <c r="E388" s="84"/>
      <c r="F388" s="84"/>
      <c r="G388" s="84"/>
      <c r="H388" s="85"/>
      <c r="I388" s="84"/>
      <c r="J388" s="84"/>
      <c r="K388" s="86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92"/>
      <c r="Z388" s="84"/>
      <c r="AA388" s="84"/>
    </row>
    <row r="389" ht="15.75" customHeight="1">
      <c r="A389" s="82"/>
      <c r="B389" s="84"/>
      <c r="C389" s="84"/>
      <c r="D389" s="84"/>
      <c r="E389" s="84"/>
      <c r="F389" s="84"/>
      <c r="G389" s="84"/>
      <c r="H389" s="85"/>
      <c r="I389" s="84"/>
      <c r="J389" s="84"/>
      <c r="K389" s="86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92"/>
      <c r="Z389" s="84"/>
      <c r="AA389" s="84"/>
    </row>
    <row r="390" ht="15.75" customHeight="1">
      <c r="A390" s="82"/>
      <c r="B390" s="84"/>
      <c r="C390" s="84"/>
      <c r="D390" s="84"/>
      <c r="E390" s="84"/>
      <c r="F390" s="84"/>
      <c r="G390" s="84"/>
      <c r="H390" s="85"/>
      <c r="I390" s="84"/>
      <c r="J390" s="84"/>
      <c r="K390" s="86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92"/>
      <c r="Z390" s="84"/>
      <c r="AA390" s="84"/>
    </row>
    <row r="391" ht="15.75" customHeight="1">
      <c r="A391" s="82"/>
      <c r="B391" s="84"/>
      <c r="C391" s="84"/>
      <c r="D391" s="84"/>
      <c r="E391" s="84"/>
      <c r="F391" s="84"/>
      <c r="G391" s="84"/>
      <c r="H391" s="85"/>
      <c r="I391" s="84"/>
      <c r="J391" s="84"/>
      <c r="K391" s="86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92"/>
      <c r="Z391" s="84"/>
      <c r="AA391" s="84"/>
    </row>
    <row r="392" ht="15.75" customHeight="1">
      <c r="A392" s="82"/>
      <c r="B392" s="84"/>
      <c r="C392" s="84"/>
      <c r="D392" s="84"/>
      <c r="E392" s="84"/>
      <c r="F392" s="84"/>
      <c r="G392" s="84"/>
      <c r="H392" s="85"/>
      <c r="I392" s="84"/>
      <c r="J392" s="84"/>
      <c r="K392" s="86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92"/>
      <c r="Z392" s="84"/>
      <c r="AA392" s="84"/>
    </row>
    <row r="393" ht="15.75" customHeight="1">
      <c r="A393" s="82"/>
      <c r="B393" s="84"/>
      <c r="C393" s="84"/>
      <c r="D393" s="84"/>
      <c r="E393" s="84"/>
      <c r="F393" s="84"/>
      <c r="G393" s="84"/>
      <c r="H393" s="85"/>
      <c r="I393" s="84"/>
      <c r="J393" s="84"/>
      <c r="K393" s="86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92"/>
      <c r="Z393" s="84"/>
      <c r="AA393" s="84"/>
    </row>
    <row r="394" ht="15.75" customHeight="1">
      <c r="A394" s="82"/>
      <c r="B394" s="84"/>
      <c r="C394" s="84"/>
      <c r="D394" s="84"/>
      <c r="E394" s="84"/>
      <c r="F394" s="84"/>
      <c r="G394" s="84"/>
      <c r="H394" s="85"/>
      <c r="I394" s="84"/>
      <c r="J394" s="84"/>
      <c r="K394" s="86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92"/>
      <c r="Z394" s="84"/>
      <c r="AA394" s="84"/>
    </row>
    <row r="395" ht="15.75" customHeight="1">
      <c r="A395" s="82"/>
      <c r="B395" s="84"/>
      <c r="C395" s="84"/>
      <c r="D395" s="84"/>
      <c r="E395" s="84"/>
      <c r="F395" s="84"/>
      <c r="G395" s="84"/>
      <c r="H395" s="85"/>
      <c r="I395" s="84"/>
      <c r="J395" s="84"/>
      <c r="K395" s="86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92"/>
      <c r="Z395" s="84"/>
      <c r="AA395" s="84"/>
    </row>
    <row r="396" ht="15.75" customHeight="1">
      <c r="A396" s="82"/>
      <c r="B396" s="84"/>
      <c r="C396" s="84"/>
      <c r="D396" s="84"/>
      <c r="E396" s="84"/>
      <c r="F396" s="84"/>
      <c r="G396" s="84"/>
      <c r="H396" s="85"/>
      <c r="I396" s="84"/>
      <c r="J396" s="84"/>
      <c r="K396" s="86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92"/>
      <c r="Z396" s="84"/>
      <c r="AA396" s="84"/>
    </row>
    <row r="397" ht="15.75" customHeight="1">
      <c r="A397" s="82"/>
      <c r="B397" s="84"/>
      <c r="C397" s="84"/>
      <c r="D397" s="84"/>
      <c r="E397" s="84"/>
      <c r="F397" s="84"/>
      <c r="G397" s="84"/>
      <c r="H397" s="85"/>
      <c r="I397" s="84"/>
      <c r="J397" s="84"/>
      <c r="K397" s="86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92"/>
      <c r="Z397" s="84"/>
      <c r="AA397" s="84"/>
    </row>
    <row r="398" ht="15.75" customHeight="1">
      <c r="A398" s="82"/>
      <c r="B398" s="84"/>
      <c r="C398" s="84"/>
      <c r="D398" s="84"/>
      <c r="E398" s="84"/>
      <c r="F398" s="84"/>
      <c r="G398" s="84"/>
      <c r="H398" s="85"/>
      <c r="I398" s="84"/>
      <c r="J398" s="84"/>
      <c r="K398" s="86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92"/>
      <c r="Z398" s="84"/>
      <c r="AA398" s="84"/>
    </row>
    <row r="399" ht="15.75" customHeight="1">
      <c r="A399" s="82"/>
      <c r="B399" s="84"/>
      <c r="C399" s="84"/>
      <c r="D399" s="84"/>
      <c r="E399" s="84"/>
      <c r="F399" s="84"/>
      <c r="G399" s="84"/>
      <c r="H399" s="85"/>
      <c r="I399" s="84"/>
      <c r="J399" s="84"/>
      <c r="K399" s="86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92"/>
      <c r="Z399" s="84"/>
      <c r="AA399" s="84"/>
    </row>
    <row r="400" ht="15.75" customHeight="1">
      <c r="A400" s="82"/>
      <c r="B400" s="84"/>
      <c r="C400" s="84"/>
      <c r="D400" s="84"/>
      <c r="E400" s="84"/>
      <c r="F400" s="84"/>
      <c r="G400" s="84"/>
      <c r="H400" s="85"/>
      <c r="I400" s="84"/>
      <c r="J400" s="84"/>
      <c r="K400" s="86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92"/>
      <c r="Z400" s="84"/>
      <c r="AA400" s="84"/>
    </row>
    <row r="401" ht="15.75" customHeight="1">
      <c r="A401" s="82"/>
      <c r="B401" s="84"/>
      <c r="C401" s="84"/>
      <c r="D401" s="84"/>
      <c r="E401" s="84"/>
      <c r="F401" s="84"/>
      <c r="G401" s="84"/>
      <c r="H401" s="85"/>
      <c r="I401" s="84"/>
      <c r="J401" s="84"/>
      <c r="K401" s="86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92"/>
      <c r="Z401" s="84"/>
      <c r="AA401" s="84"/>
    </row>
    <row r="402" ht="15.75" customHeight="1">
      <c r="A402" s="82"/>
      <c r="B402" s="84"/>
      <c r="C402" s="84"/>
      <c r="D402" s="84"/>
      <c r="E402" s="84"/>
      <c r="F402" s="84"/>
      <c r="G402" s="84"/>
      <c r="H402" s="85"/>
      <c r="I402" s="84"/>
      <c r="J402" s="84"/>
      <c r="K402" s="86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92"/>
      <c r="Z402" s="84"/>
      <c r="AA402" s="84"/>
    </row>
    <row r="403" ht="15.75" customHeight="1">
      <c r="A403" s="82"/>
      <c r="B403" s="84"/>
      <c r="C403" s="84"/>
      <c r="D403" s="84"/>
      <c r="E403" s="84"/>
      <c r="F403" s="84"/>
      <c r="G403" s="84"/>
      <c r="H403" s="85"/>
      <c r="I403" s="84"/>
      <c r="J403" s="84"/>
      <c r="K403" s="86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92"/>
      <c r="Z403" s="84"/>
      <c r="AA403" s="84"/>
    </row>
    <row r="404" ht="15.75" customHeight="1">
      <c r="A404" s="82"/>
      <c r="B404" s="84"/>
      <c r="C404" s="84"/>
      <c r="D404" s="84"/>
      <c r="E404" s="84"/>
      <c r="F404" s="84"/>
      <c r="G404" s="84"/>
      <c r="H404" s="85"/>
      <c r="I404" s="84"/>
      <c r="J404" s="84"/>
      <c r="K404" s="86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92"/>
      <c r="Z404" s="84"/>
      <c r="AA404" s="84"/>
    </row>
    <row r="405" ht="15.75" customHeight="1">
      <c r="A405" s="82"/>
      <c r="B405" s="84"/>
      <c r="C405" s="84"/>
      <c r="D405" s="84"/>
      <c r="E405" s="84"/>
      <c r="F405" s="84"/>
      <c r="G405" s="84"/>
      <c r="H405" s="85"/>
      <c r="I405" s="84"/>
      <c r="J405" s="84"/>
      <c r="K405" s="86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92"/>
      <c r="Z405" s="84"/>
      <c r="AA405" s="84"/>
    </row>
    <row r="406" ht="15.75" customHeight="1">
      <c r="A406" s="82"/>
      <c r="B406" s="84"/>
      <c r="C406" s="84"/>
      <c r="D406" s="84"/>
      <c r="E406" s="84"/>
      <c r="F406" s="84"/>
      <c r="G406" s="84"/>
      <c r="H406" s="85"/>
      <c r="I406" s="84"/>
      <c r="J406" s="84"/>
      <c r="K406" s="86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92"/>
      <c r="Z406" s="84"/>
      <c r="AA406" s="84"/>
    </row>
    <row r="407" ht="15.75" customHeight="1">
      <c r="A407" s="82"/>
      <c r="F407" s="93"/>
      <c r="H407" s="85"/>
      <c r="K407" s="86"/>
      <c r="Y407" s="94"/>
    </row>
    <row r="408" ht="15.75" customHeight="1">
      <c r="A408" s="82"/>
      <c r="F408" s="93"/>
      <c r="H408" s="85"/>
      <c r="K408" s="86"/>
      <c r="Y408" s="94"/>
    </row>
    <row r="409" ht="15.75" customHeight="1">
      <c r="A409" s="82"/>
      <c r="F409" s="93"/>
      <c r="H409" s="85"/>
      <c r="K409" s="86"/>
      <c r="Y409" s="94"/>
    </row>
    <row r="410" ht="15.75" customHeight="1">
      <c r="A410" s="82"/>
      <c r="F410" s="93"/>
      <c r="H410" s="85"/>
      <c r="K410" s="86"/>
      <c r="Y410" s="94"/>
    </row>
    <row r="411" ht="15.75" customHeight="1">
      <c r="A411" s="82"/>
      <c r="F411" s="93"/>
      <c r="H411" s="85"/>
      <c r="K411" s="86"/>
      <c r="Y411" s="94"/>
    </row>
    <row r="412" ht="15.75" customHeight="1">
      <c r="A412" s="82"/>
      <c r="F412" s="93"/>
      <c r="H412" s="85"/>
      <c r="K412" s="86"/>
      <c r="Y412" s="94"/>
    </row>
    <row r="413" ht="15.75" customHeight="1">
      <c r="A413" s="82"/>
      <c r="F413" s="93"/>
      <c r="H413" s="85"/>
      <c r="K413" s="86"/>
      <c r="Y413" s="94"/>
    </row>
    <row r="414" ht="15.75" customHeight="1">
      <c r="A414" s="82"/>
      <c r="F414" s="93"/>
      <c r="H414" s="85"/>
      <c r="K414" s="86"/>
      <c r="Y414" s="94"/>
    </row>
    <row r="415" ht="15.75" customHeight="1">
      <c r="A415" s="82"/>
      <c r="F415" s="93"/>
      <c r="H415" s="85"/>
      <c r="K415" s="86"/>
      <c r="Y415" s="94"/>
    </row>
    <row r="416" ht="15.75" customHeight="1">
      <c r="A416" s="82"/>
      <c r="F416" s="93"/>
      <c r="H416" s="85"/>
      <c r="K416" s="86"/>
      <c r="Y416" s="94"/>
    </row>
    <row r="417" ht="15.75" customHeight="1">
      <c r="A417" s="82"/>
      <c r="F417" s="93"/>
      <c r="H417" s="85"/>
      <c r="K417" s="86"/>
      <c r="Y417" s="94"/>
    </row>
    <row r="418" ht="15.75" customHeight="1">
      <c r="A418" s="82"/>
      <c r="F418" s="93"/>
      <c r="H418" s="85"/>
      <c r="K418" s="86"/>
      <c r="Y418" s="94"/>
    </row>
    <row r="419" ht="15.75" customHeight="1">
      <c r="A419" s="82"/>
      <c r="F419" s="93"/>
      <c r="H419" s="85"/>
      <c r="K419" s="86"/>
      <c r="Y419" s="94"/>
    </row>
    <row r="420" ht="15.75" customHeight="1">
      <c r="A420" s="82"/>
      <c r="F420" s="93"/>
      <c r="H420" s="85"/>
      <c r="K420" s="86"/>
      <c r="Y420" s="94"/>
    </row>
    <row r="421" ht="15.75" customHeight="1">
      <c r="A421" s="82"/>
      <c r="F421" s="93"/>
      <c r="H421" s="85"/>
      <c r="K421" s="86"/>
      <c r="Y421" s="94"/>
    </row>
    <row r="422" ht="15.75" customHeight="1">
      <c r="A422" s="82"/>
      <c r="F422" s="93"/>
      <c r="H422" s="85"/>
      <c r="K422" s="86"/>
      <c r="Y422" s="94"/>
    </row>
    <row r="423" ht="15.75" customHeight="1">
      <c r="A423" s="82"/>
      <c r="F423" s="93"/>
      <c r="H423" s="85"/>
      <c r="K423" s="86"/>
      <c r="Y423" s="94"/>
    </row>
    <row r="424" ht="15.75" customHeight="1">
      <c r="A424" s="82"/>
      <c r="F424" s="93"/>
      <c r="H424" s="85"/>
      <c r="K424" s="86"/>
      <c r="Y424" s="94"/>
    </row>
    <row r="425" ht="15.75" customHeight="1">
      <c r="A425" s="82"/>
      <c r="F425" s="93"/>
      <c r="H425" s="85"/>
      <c r="K425" s="86"/>
      <c r="Y425" s="94"/>
    </row>
    <row r="426" ht="15.75" customHeight="1">
      <c r="A426" s="82"/>
      <c r="F426" s="93"/>
      <c r="H426" s="85"/>
      <c r="K426" s="86"/>
      <c r="Y426" s="94"/>
    </row>
    <row r="427" ht="15.75" customHeight="1">
      <c r="A427" s="82"/>
      <c r="F427" s="93"/>
      <c r="H427" s="85"/>
      <c r="K427" s="86"/>
      <c r="Y427" s="94"/>
    </row>
    <row r="428" ht="15.75" customHeight="1">
      <c r="A428" s="82"/>
      <c r="F428" s="93"/>
      <c r="H428" s="85"/>
      <c r="K428" s="86"/>
      <c r="Y428" s="94"/>
    </row>
    <row r="429" ht="15.75" customHeight="1">
      <c r="A429" s="82"/>
      <c r="F429" s="93"/>
      <c r="H429" s="85"/>
      <c r="K429" s="86"/>
      <c r="Y429" s="94"/>
    </row>
    <row r="430" ht="15.75" customHeight="1">
      <c r="A430" s="82"/>
      <c r="F430" s="93"/>
      <c r="H430" s="85"/>
      <c r="K430" s="86"/>
      <c r="Y430" s="94"/>
    </row>
    <row r="431" ht="15.75" customHeight="1">
      <c r="A431" s="82"/>
      <c r="F431" s="93"/>
      <c r="H431" s="85"/>
      <c r="K431" s="86"/>
      <c r="Y431" s="94"/>
    </row>
    <row r="432" ht="15.75" customHeight="1">
      <c r="A432" s="82"/>
      <c r="F432" s="93"/>
      <c r="H432" s="85"/>
      <c r="K432" s="86"/>
      <c r="Y432" s="94"/>
    </row>
    <row r="433" ht="15.75" customHeight="1">
      <c r="A433" s="82"/>
      <c r="F433" s="93"/>
      <c r="H433" s="85"/>
      <c r="K433" s="86"/>
      <c r="Y433" s="94"/>
    </row>
    <row r="434" ht="15.75" customHeight="1">
      <c r="A434" s="82"/>
      <c r="F434" s="93"/>
      <c r="H434" s="85"/>
      <c r="K434" s="86"/>
      <c r="Y434" s="94"/>
    </row>
    <row r="435" ht="15.75" customHeight="1">
      <c r="A435" s="82"/>
      <c r="F435" s="93"/>
      <c r="H435" s="85"/>
      <c r="K435" s="86"/>
      <c r="Y435" s="94"/>
    </row>
    <row r="436" ht="15.75" customHeight="1">
      <c r="A436" s="82"/>
      <c r="F436" s="93"/>
      <c r="H436" s="85"/>
      <c r="K436" s="86"/>
      <c r="Y436" s="94"/>
    </row>
    <row r="437" ht="15.75" customHeight="1">
      <c r="A437" s="82"/>
      <c r="F437" s="93"/>
      <c r="H437" s="85"/>
      <c r="K437" s="86"/>
      <c r="Y437" s="94"/>
    </row>
    <row r="438" ht="15.75" customHeight="1">
      <c r="A438" s="82"/>
      <c r="F438" s="93"/>
      <c r="H438" s="85"/>
      <c r="K438" s="86"/>
      <c r="Y438" s="94"/>
    </row>
    <row r="439" ht="15.75" customHeight="1">
      <c r="A439" s="82"/>
      <c r="F439" s="93"/>
      <c r="H439" s="85"/>
      <c r="K439" s="86"/>
      <c r="Y439" s="94"/>
    </row>
    <row r="440" ht="15.75" customHeight="1">
      <c r="A440" s="82"/>
      <c r="F440" s="93"/>
      <c r="H440" s="85"/>
      <c r="K440" s="86"/>
      <c r="Y440" s="94"/>
    </row>
    <row r="441" ht="15.75" customHeight="1">
      <c r="A441" s="82"/>
      <c r="F441" s="93"/>
      <c r="H441" s="85"/>
      <c r="K441" s="86"/>
      <c r="Y441" s="94"/>
    </row>
    <row r="442" ht="15.75" customHeight="1">
      <c r="A442" s="82"/>
      <c r="F442" s="93"/>
      <c r="H442" s="85"/>
      <c r="K442" s="86"/>
      <c r="Y442" s="94"/>
    </row>
    <row r="443" ht="15.75" customHeight="1">
      <c r="A443" s="82"/>
      <c r="F443" s="93"/>
      <c r="H443" s="85"/>
      <c r="K443" s="86"/>
      <c r="Y443" s="94"/>
    </row>
    <row r="444" ht="15.75" customHeight="1">
      <c r="A444" s="82"/>
      <c r="F444" s="93"/>
      <c r="H444" s="85"/>
      <c r="K444" s="86"/>
      <c r="Y444" s="94"/>
    </row>
    <row r="445" ht="15.75" customHeight="1">
      <c r="A445" s="82"/>
      <c r="F445" s="93"/>
      <c r="H445" s="85"/>
      <c r="K445" s="86"/>
      <c r="Y445" s="94"/>
    </row>
    <row r="446" ht="15.75" customHeight="1">
      <c r="A446" s="82"/>
      <c r="F446" s="93"/>
      <c r="H446" s="85"/>
      <c r="K446" s="86"/>
      <c r="Y446" s="94"/>
    </row>
    <row r="447" ht="15.75" customHeight="1">
      <c r="A447" s="82"/>
      <c r="F447" s="93"/>
      <c r="H447" s="85"/>
      <c r="K447" s="86"/>
      <c r="Y447" s="94"/>
    </row>
    <row r="448" ht="15.75" customHeight="1">
      <c r="A448" s="82"/>
      <c r="F448" s="93"/>
      <c r="H448" s="85"/>
      <c r="K448" s="86"/>
      <c r="Y448" s="94"/>
    </row>
    <row r="449" ht="15.75" customHeight="1">
      <c r="A449" s="82"/>
      <c r="F449" s="93"/>
      <c r="H449" s="85"/>
      <c r="K449" s="86"/>
      <c r="Y449" s="94"/>
    </row>
    <row r="450" ht="15.75" customHeight="1">
      <c r="A450" s="82"/>
      <c r="F450" s="93"/>
      <c r="H450" s="85"/>
      <c r="K450" s="86"/>
      <c r="Y450" s="94"/>
    </row>
    <row r="451" ht="15.75" customHeight="1">
      <c r="A451" s="82"/>
      <c r="F451" s="93"/>
      <c r="H451" s="85"/>
      <c r="K451" s="86"/>
      <c r="Y451" s="94"/>
    </row>
    <row r="452" ht="15.75" customHeight="1">
      <c r="A452" s="82"/>
      <c r="F452" s="93"/>
      <c r="H452" s="85"/>
      <c r="K452" s="86"/>
      <c r="Y452" s="94"/>
    </row>
    <row r="453" ht="15.75" customHeight="1">
      <c r="A453" s="82"/>
      <c r="F453" s="93"/>
      <c r="H453" s="85"/>
      <c r="K453" s="86"/>
      <c r="Y453" s="94"/>
    </row>
    <row r="454" ht="15.75" customHeight="1">
      <c r="A454" s="82"/>
      <c r="F454" s="93"/>
      <c r="H454" s="85"/>
      <c r="K454" s="86"/>
      <c r="Y454" s="94"/>
    </row>
    <row r="455" ht="15.75" customHeight="1">
      <c r="A455" s="82"/>
      <c r="F455" s="93"/>
      <c r="H455" s="85"/>
      <c r="K455" s="86"/>
      <c r="Y455" s="94"/>
    </row>
    <row r="456" ht="15.75" customHeight="1">
      <c r="A456" s="82"/>
      <c r="F456" s="93"/>
      <c r="H456" s="85"/>
      <c r="K456" s="86"/>
      <c r="Y456" s="94"/>
    </row>
    <row r="457" ht="15.75" customHeight="1">
      <c r="A457" s="82"/>
      <c r="F457" s="93"/>
      <c r="H457" s="85"/>
      <c r="K457" s="86"/>
      <c r="Y457" s="94"/>
    </row>
    <row r="458" ht="15.75" customHeight="1">
      <c r="A458" s="82"/>
      <c r="F458" s="93"/>
      <c r="H458" s="85"/>
      <c r="K458" s="86"/>
      <c r="Y458" s="94"/>
    </row>
    <row r="459" ht="15.75" customHeight="1">
      <c r="A459" s="82"/>
      <c r="F459" s="93"/>
      <c r="H459" s="85"/>
      <c r="K459" s="86"/>
      <c r="Y459" s="94"/>
    </row>
    <row r="460" ht="15.75" customHeight="1">
      <c r="A460" s="82"/>
      <c r="F460" s="93"/>
      <c r="H460" s="85"/>
      <c r="K460" s="86"/>
      <c r="Y460" s="94"/>
    </row>
    <row r="461" ht="15.75" customHeight="1">
      <c r="A461" s="82"/>
      <c r="F461" s="93"/>
      <c r="H461" s="85"/>
      <c r="K461" s="86"/>
      <c r="Y461" s="94"/>
    </row>
    <row r="462" ht="15.75" customHeight="1">
      <c r="A462" s="82"/>
      <c r="F462" s="93"/>
      <c r="H462" s="85"/>
      <c r="K462" s="86"/>
      <c r="Y462" s="94"/>
    </row>
    <row r="463" ht="15.75" customHeight="1">
      <c r="A463" s="82"/>
      <c r="F463" s="93"/>
      <c r="H463" s="85"/>
      <c r="K463" s="86"/>
      <c r="Y463" s="94"/>
    </row>
    <row r="464" ht="15.75" customHeight="1">
      <c r="A464" s="82"/>
      <c r="F464" s="93"/>
      <c r="H464" s="85"/>
      <c r="K464" s="86"/>
      <c r="Y464" s="94"/>
    </row>
    <row r="465" ht="15.75" customHeight="1">
      <c r="A465" s="82"/>
      <c r="F465" s="93"/>
      <c r="H465" s="85"/>
      <c r="K465" s="86"/>
      <c r="Y465" s="94"/>
    </row>
    <row r="466" ht="15.75" customHeight="1">
      <c r="A466" s="82"/>
      <c r="F466" s="93"/>
      <c r="H466" s="85"/>
      <c r="K466" s="86"/>
      <c r="Y466" s="94"/>
    </row>
    <row r="467" ht="15.75" customHeight="1">
      <c r="A467" s="82"/>
      <c r="F467" s="93"/>
      <c r="H467" s="85"/>
      <c r="K467" s="86"/>
      <c r="Y467" s="94"/>
    </row>
    <row r="468" ht="15.75" customHeight="1">
      <c r="A468" s="82"/>
      <c r="F468" s="93"/>
      <c r="H468" s="85"/>
      <c r="K468" s="86"/>
      <c r="Y468" s="94"/>
    </row>
    <row r="469" ht="15.75" customHeight="1">
      <c r="A469" s="82"/>
      <c r="F469" s="93"/>
      <c r="H469" s="85"/>
      <c r="K469" s="86"/>
      <c r="Y469" s="94"/>
    </row>
    <row r="470" ht="15.75" customHeight="1">
      <c r="A470" s="82"/>
      <c r="F470" s="93"/>
      <c r="H470" s="85"/>
      <c r="K470" s="86"/>
      <c r="Y470" s="94"/>
    </row>
    <row r="471" ht="15.75" customHeight="1">
      <c r="A471" s="82"/>
      <c r="F471" s="93"/>
      <c r="H471" s="85"/>
      <c r="K471" s="86"/>
      <c r="Y471" s="94"/>
    </row>
    <row r="472" ht="15.75" customHeight="1">
      <c r="A472" s="82"/>
      <c r="F472" s="93"/>
      <c r="H472" s="85"/>
      <c r="K472" s="86"/>
      <c r="Y472" s="94"/>
    </row>
    <row r="473" ht="15.75" customHeight="1">
      <c r="A473" s="82"/>
      <c r="F473" s="93"/>
      <c r="H473" s="85"/>
      <c r="K473" s="86"/>
      <c r="Y473" s="94"/>
    </row>
    <row r="474" ht="15.75" customHeight="1">
      <c r="A474" s="82"/>
      <c r="F474" s="93"/>
      <c r="H474" s="85"/>
      <c r="K474" s="86"/>
      <c r="Y474" s="94"/>
    </row>
    <row r="475" ht="15.75" customHeight="1">
      <c r="A475" s="82"/>
      <c r="F475" s="93"/>
      <c r="H475" s="85"/>
      <c r="K475" s="86"/>
      <c r="Y475" s="94"/>
    </row>
    <row r="476" ht="15.75" customHeight="1">
      <c r="A476" s="82"/>
      <c r="F476" s="93"/>
      <c r="H476" s="85"/>
      <c r="K476" s="86"/>
      <c r="Y476" s="94"/>
    </row>
    <row r="477" ht="15.75" customHeight="1">
      <c r="A477" s="82"/>
      <c r="F477" s="93"/>
      <c r="H477" s="85"/>
      <c r="K477" s="86"/>
      <c r="Y477" s="94"/>
    </row>
    <row r="478" ht="15.75" customHeight="1">
      <c r="A478" s="82"/>
      <c r="F478" s="93"/>
      <c r="H478" s="85"/>
      <c r="K478" s="86"/>
      <c r="Y478" s="94"/>
    </row>
    <row r="479" ht="15.75" customHeight="1">
      <c r="A479" s="82"/>
      <c r="F479" s="93"/>
      <c r="H479" s="85"/>
      <c r="K479" s="86"/>
      <c r="Y479" s="94"/>
    </row>
    <row r="480" ht="15.75" customHeight="1">
      <c r="A480" s="82"/>
      <c r="F480" s="93"/>
      <c r="H480" s="85"/>
      <c r="K480" s="86"/>
      <c r="Y480" s="94"/>
    </row>
    <row r="481" ht="15.75" customHeight="1">
      <c r="A481" s="82"/>
      <c r="F481" s="93"/>
      <c r="H481" s="85"/>
      <c r="K481" s="86"/>
      <c r="Y481" s="94"/>
    </row>
    <row r="482" ht="15.75" customHeight="1">
      <c r="A482" s="82"/>
      <c r="F482" s="93"/>
      <c r="H482" s="85"/>
      <c r="K482" s="86"/>
      <c r="Y482" s="94"/>
    </row>
    <row r="483" ht="15.75" customHeight="1">
      <c r="A483" s="82"/>
      <c r="F483" s="93"/>
      <c r="H483" s="85"/>
      <c r="K483" s="86"/>
      <c r="Y483" s="94"/>
    </row>
    <row r="484" ht="15.75" customHeight="1">
      <c r="A484" s="82"/>
      <c r="F484" s="93"/>
      <c r="H484" s="85"/>
      <c r="K484" s="86"/>
      <c r="Y484" s="94"/>
    </row>
    <row r="485" ht="15.75" customHeight="1">
      <c r="A485" s="82"/>
      <c r="F485" s="93"/>
      <c r="H485" s="85"/>
      <c r="K485" s="86"/>
      <c r="Y485" s="94"/>
    </row>
    <row r="486" ht="15.75" customHeight="1">
      <c r="A486" s="82"/>
      <c r="F486" s="93"/>
      <c r="H486" s="85"/>
      <c r="K486" s="86"/>
      <c r="Y486" s="94"/>
    </row>
    <row r="487" ht="15.75" customHeight="1">
      <c r="A487" s="82"/>
      <c r="F487" s="93"/>
      <c r="H487" s="85"/>
      <c r="K487" s="86"/>
      <c r="Y487" s="94"/>
    </row>
    <row r="488" ht="15.75" customHeight="1">
      <c r="A488" s="82"/>
      <c r="F488" s="93"/>
      <c r="H488" s="85"/>
      <c r="K488" s="86"/>
      <c r="Y488" s="94"/>
    </row>
    <row r="489" ht="15.75" customHeight="1">
      <c r="A489" s="82"/>
      <c r="F489" s="93"/>
      <c r="H489" s="85"/>
      <c r="K489" s="86"/>
      <c r="Y489" s="94"/>
    </row>
    <row r="490" ht="15.75" customHeight="1">
      <c r="A490" s="82"/>
      <c r="F490" s="93"/>
      <c r="H490" s="85"/>
      <c r="K490" s="86"/>
      <c r="Y490" s="94"/>
    </row>
    <row r="491" ht="15.75" customHeight="1">
      <c r="A491" s="82"/>
      <c r="F491" s="93"/>
      <c r="H491" s="85"/>
      <c r="K491" s="86"/>
      <c r="Y491" s="94"/>
    </row>
    <row r="492" ht="15.75" customHeight="1">
      <c r="A492" s="82"/>
      <c r="F492" s="93"/>
      <c r="H492" s="85"/>
      <c r="K492" s="86"/>
      <c r="Y492" s="94"/>
    </row>
    <row r="493" ht="15.75" customHeight="1">
      <c r="A493" s="82"/>
      <c r="F493" s="93"/>
      <c r="H493" s="85"/>
      <c r="K493" s="86"/>
      <c r="Y493" s="94"/>
    </row>
    <row r="494" ht="15.75" customHeight="1">
      <c r="A494" s="82"/>
      <c r="F494" s="93"/>
      <c r="H494" s="85"/>
      <c r="K494" s="86"/>
      <c r="Y494" s="94"/>
    </row>
    <row r="495" ht="15.75" customHeight="1">
      <c r="A495" s="82"/>
      <c r="F495" s="93"/>
      <c r="H495" s="85"/>
      <c r="K495" s="86"/>
      <c r="Y495" s="94"/>
    </row>
    <row r="496" ht="15.75" customHeight="1">
      <c r="A496" s="82"/>
      <c r="F496" s="93"/>
      <c r="H496" s="85"/>
      <c r="K496" s="86"/>
      <c r="Y496" s="94"/>
    </row>
    <row r="497" ht="15.75" customHeight="1">
      <c r="A497" s="82"/>
      <c r="F497" s="93"/>
      <c r="H497" s="85"/>
      <c r="K497" s="86"/>
      <c r="Y497" s="94"/>
    </row>
    <row r="498" ht="15.75" customHeight="1">
      <c r="A498" s="82"/>
      <c r="F498" s="93"/>
      <c r="H498" s="85"/>
      <c r="K498" s="86"/>
      <c r="Y498" s="94"/>
    </row>
    <row r="499" ht="15.75" customHeight="1">
      <c r="A499" s="82"/>
      <c r="F499" s="93"/>
      <c r="H499" s="85"/>
      <c r="K499" s="86"/>
      <c r="Y499" s="94"/>
    </row>
    <row r="500" ht="15.75" customHeight="1">
      <c r="A500" s="82"/>
      <c r="F500" s="93"/>
      <c r="H500" s="85"/>
      <c r="K500" s="86"/>
      <c r="Y500" s="94"/>
    </row>
    <row r="501" ht="15.75" customHeight="1">
      <c r="A501" s="82"/>
      <c r="F501" s="93"/>
      <c r="H501" s="85"/>
      <c r="K501" s="86"/>
      <c r="Y501" s="94"/>
    </row>
    <row r="502" ht="15.75" customHeight="1">
      <c r="A502" s="82"/>
      <c r="F502" s="93"/>
      <c r="H502" s="85"/>
      <c r="K502" s="86"/>
      <c r="Y502" s="94"/>
    </row>
    <row r="503" ht="15.75" customHeight="1">
      <c r="A503" s="82"/>
      <c r="F503" s="93"/>
      <c r="H503" s="85"/>
      <c r="K503" s="86"/>
      <c r="Y503" s="94"/>
    </row>
    <row r="504" ht="15.75" customHeight="1">
      <c r="A504" s="82"/>
      <c r="F504" s="93"/>
      <c r="H504" s="85"/>
      <c r="K504" s="86"/>
      <c r="Y504" s="94"/>
    </row>
    <row r="505" ht="15.75" customHeight="1">
      <c r="A505" s="82"/>
      <c r="F505" s="93"/>
      <c r="H505" s="85"/>
      <c r="K505" s="86"/>
      <c r="Y505" s="94"/>
    </row>
    <row r="506" ht="15.75" customHeight="1">
      <c r="A506" s="82"/>
      <c r="F506" s="93"/>
      <c r="H506" s="85"/>
      <c r="K506" s="86"/>
      <c r="Y506" s="94"/>
    </row>
    <row r="507" ht="15.75" customHeight="1">
      <c r="A507" s="82"/>
      <c r="F507" s="93"/>
      <c r="H507" s="85"/>
      <c r="K507" s="86"/>
      <c r="Y507" s="94"/>
    </row>
    <row r="508" ht="15.75" customHeight="1">
      <c r="A508" s="82"/>
      <c r="F508" s="93"/>
      <c r="H508" s="85"/>
      <c r="K508" s="86"/>
      <c r="Y508" s="94"/>
    </row>
    <row r="509" ht="15.75" customHeight="1">
      <c r="A509" s="82"/>
      <c r="F509" s="93"/>
      <c r="H509" s="85"/>
      <c r="K509" s="86"/>
      <c r="Y509" s="94"/>
    </row>
    <row r="510" ht="15.75" customHeight="1">
      <c r="A510" s="82"/>
      <c r="F510" s="93"/>
      <c r="H510" s="85"/>
      <c r="K510" s="86"/>
      <c r="Y510" s="94"/>
    </row>
    <row r="511" ht="15.75" customHeight="1">
      <c r="A511" s="82"/>
      <c r="F511" s="93"/>
      <c r="H511" s="85"/>
      <c r="K511" s="86"/>
      <c r="Y511" s="94"/>
    </row>
    <row r="512" ht="15.75" customHeight="1">
      <c r="A512" s="82"/>
      <c r="F512" s="93"/>
      <c r="H512" s="85"/>
      <c r="K512" s="86"/>
      <c r="Y512" s="94"/>
    </row>
    <row r="513" ht="15.75" customHeight="1">
      <c r="A513" s="82"/>
      <c r="F513" s="93"/>
      <c r="H513" s="85"/>
      <c r="K513" s="86"/>
      <c r="Y513" s="94"/>
    </row>
    <row r="514" ht="15.75" customHeight="1">
      <c r="A514" s="82"/>
      <c r="F514" s="93"/>
      <c r="H514" s="85"/>
      <c r="K514" s="86"/>
      <c r="Y514" s="94"/>
    </row>
    <row r="515" ht="15.75" customHeight="1">
      <c r="A515" s="82"/>
      <c r="F515" s="93"/>
      <c r="H515" s="85"/>
      <c r="K515" s="86"/>
      <c r="Y515" s="94"/>
    </row>
    <row r="516" ht="15.75" customHeight="1">
      <c r="A516" s="82"/>
      <c r="F516" s="93"/>
      <c r="H516" s="85"/>
      <c r="K516" s="86"/>
      <c r="Y516" s="94"/>
    </row>
    <row r="517" ht="15.75" customHeight="1">
      <c r="A517" s="82"/>
      <c r="F517" s="93"/>
      <c r="H517" s="85"/>
      <c r="K517" s="86"/>
      <c r="Y517" s="94"/>
    </row>
    <row r="518" ht="15.75" customHeight="1">
      <c r="A518" s="82"/>
      <c r="F518" s="93"/>
      <c r="H518" s="85"/>
      <c r="K518" s="86"/>
      <c r="Y518" s="94"/>
    </row>
    <row r="519" ht="15.75" customHeight="1">
      <c r="A519" s="82"/>
      <c r="F519" s="93"/>
      <c r="H519" s="85"/>
      <c r="K519" s="86"/>
      <c r="Y519" s="94"/>
    </row>
    <row r="520" ht="15.75" customHeight="1">
      <c r="A520" s="82"/>
      <c r="F520" s="93"/>
      <c r="H520" s="85"/>
      <c r="K520" s="86"/>
      <c r="Y520" s="94"/>
    </row>
    <row r="521" ht="15.75" customHeight="1">
      <c r="A521" s="82"/>
      <c r="F521" s="93"/>
      <c r="H521" s="85"/>
      <c r="K521" s="86"/>
      <c r="Y521" s="94"/>
    </row>
    <row r="522" ht="15.75" customHeight="1">
      <c r="A522" s="82"/>
      <c r="F522" s="93"/>
      <c r="H522" s="85"/>
      <c r="K522" s="86"/>
      <c r="Y522" s="94"/>
    </row>
    <row r="523" ht="15.75" customHeight="1">
      <c r="A523" s="82"/>
      <c r="F523" s="93"/>
      <c r="H523" s="85"/>
      <c r="K523" s="86"/>
      <c r="Y523" s="94"/>
    </row>
    <row r="524" ht="15.75" customHeight="1">
      <c r="A524" s="82"/>
      <c r="F524" s="93"/>
      <c r="H524" s="85"/>
      <c r="K524" s="86"/>
      <c r="Y524" s="94"/>
    </row>
    <row r="525" ht="15.75" customHeight="1">
      <c r="A525" s="82"/>
      <c r="F525" s="93"/>
      <c r="H525" s="85"/>
      <c r="K525" s="86"/>
      <c r="Y525" s="94"/>
    </row>
    <row r="526" ht="15.75" customHeight="1">
      <c r="A526" s="82"/>
      <c r="F526" s="93"/>
      <c r="H526" s="85"/>
      <c r="K526" s="86"/>
      <c r="Y526" s="94"/>
    </row>
    <row r="527" ht="15.75" customHeight="1">
      <c r="A527" s="82"/>
      <c r="F527" s="93"/>
      <c r="H527" s="85"/>
      <c r="K527" s="86"/>
      <c r="Y527" s="94"/>
    </row>
    <row r="528" ht="15.75" customHeight="1">
      <c r="A528" s="82"/>
      <c r="F528" s="93"/>
      <c r="H528" s="85"/>
      <c r="K528" s="86"/>
      <c r="Y528" s="94"/>
    </row>
    <row r="529" ht="15.75" customHeight="1">
      <c r="A529" s="82"/>
      <c r="F529" s="93"/>
      <c r="H529" s="85"/>
      <c r="K529" s="86"/>
      <c r="Y529" s="94"/>
    </row>
    <row r="530" ht="15.75" customHeight="1">
      <c r="A530" s="82"/>
      <c r="F530" s="93"/>
      <c r="H530" s="85"/>
      <c r="K530" s="86"/>
      <c r="Y530" s="94"/>
    </row>
    <row r="531" ht="15.75" customHeight="1">
      <c r="A531" s="82"/>
      <c r="F531" s="93"/>
      <c r="H531" s="85"/>
      <c r="K531" s="86"/>
      <c r="Y531" s="94"/>
    </row>
    <row r="532" ht="15.75" customHeight="1">
      <c r="A532" s="82"/>
      <c r="F532" s="93"/>
      <c r="H532" s="85"/>
      <c r="K532" s="86"/>
      <c r="Y532" s="94"/>
    </row>
    <row r="533" ht="15.75" customHeight="1">
      <c r="A533" s="82"/>
      <c r="F533" s="93"/>
      <c r="H533" s="85"/>
      <c r="K533" s="86"/>
      <c r="Y533" s="94"/>
    </row>
    <row r="534" ht="15.75" customHeight="1">
      <c r="A534" s="82"/>
      <c r="F534" s="93"/>
      <c r="H534" s="85"/>
      <c r="K534" s="86"/>
      <c r="Y534" s="94"/>
    </row>
    <row r="535" ht="15.75" customHeight="1">
      <c r="A535" s="82"/>
      <c r="F535" s="93"/>
      <c r="H535" s="85"/>
      <c r="K535" s="86"/>
      <c r="Y535" s="94"/>
    </row>
    <row r="536" ht="15.75" customHeight="1">
      <c r="A536" s="82"/>
      <c r="F536" s="93"/>
      <c r="H536" s="85"/>
      <c r="K536" s="86"/>
      <c r="Y536" s="94"/>
    </row>
    <row r="537" ht="15.75" customHeight="1">
      <c r="A537" s="82"/>
      <c r="F537" s="93"/>
      <c r="H537" s="85"/>
      <c r="K537" s="86"/>
      <c r="Y537" s="94"/>
    </row>
    <row r="538" ht="15.75" customHeight="1">
      <c r="A538" s="82"/>
      <c r="F538" s="93"/>
      <c r="H538" s="85"/>
      <c r="K538" s="86"/>
      <c r="Y538" s="94"/>
    </row>
    <row r="539" ht="15.75" customHeight="1">
      <c r="A539" s="82"/>
      <c r="F539" s="93"/>
      <c r="H539" s="85"/>
      <c r="K539" s="86"/>
      <c r="Y539" s="94"/>
    </row>
    <row r="540" ht="15.75" customHeight="1">
      <c r="A540" s="82"/>
      <c r="F540" s="93"/>
      <c r="H540" s="85"/>
      <c r="K540" s="86"/>
      <c r="Y540" s="94"/>
    </row>
    <row r="541" ht="15.75" customHeight="1">
      <c r="A541" s="82"/>
      <c r="F541" s="93"/>
      <c r="H541" s="85"/>
      <c r="K541" s="86"/>
      <c r="Y541" s="94"/>
    </row>
    <row r="542" ht="15.75" customHeight="1">
      <c r="A542" s="82"/>
      <c r="F542" s="93"/>
      <c r="H542" s="85"/>
      <c r="K542" s="86"/>
      <c r="Y542" s="94"/>
    </row>
    <row r="543" ht="15.75" customHeight="1">
      <c r="A543" s="82"/>
      <c r="F543" s="93"/>
      <c r="H543" s="85"/>
      <c r="K543" s="86"/>
      <c r="Y543" s="94"/>
    </row>
    <row r="544" ht="15.75" customHeight="1">
      <c r="A544" s="82"/>
      <c r="F544" s="93"/>
      <c r="H544" s="85"/>
      <c r="K544" s="86"/>
      <c r="Y544" s="94"/>
    </row>
    <row r="545" ht="15.75" customHeight="1">
      <c r="A545" s="82"/>
      <c r="F545" s="93"/>
      <c r="H545" s="85"/>
      <c r="K545" s="86"/>
      <c r="Y545" s="94"/>
    </row>
    <row r="546" ht="15.75" customHeight="1">
      <c r="A546" s="82"/>
      <c r="F546" s="93"/>
      <c r="H546" s="85"/>
      <c r="K546" s="86"/>
      <c r="Y546" s="94"/>
    </row>
    <row r="547" ht="15.75" customHeight="1">
      <c r="A547" s="82"/>
      <c r="F547" s="93"/>
      <c r="H547" s="85"/>
      <c r="K547" s="86"/>
      <c r="Y547" s="94"/>
    </row>
    <row r="548" ht="15.75" customHeight="1">
      <c r="A548" s="82"/>
      <c r="F548" s="93"/>
      <c r="H548" s="85"/>
      <c r="K548" s="86"/>
      <c r="Y548" s="94"/>
    </row>
    <row r="549" ht="15.75" customHeight="1">
      <c r="A549" s="82"/>
      <c r="F549" s="93"/>
      <c r="H549" s="85"/>
      <c r="K549" s="86"/>
      <c r="Y549" s="94"/>
    </row>
    <row r="550" ht="15.75" customHeight="1">
      <c r="A550" s="82"/>
      <c r="F550" s="93"/>
      <c r="H550" s="85"/>
      <c r="K550" s="86"/>
      <c r="Y550" s="94"/>
    </row>
    <row r="551" ht="15.75" customHeight="1">
      <c r="A551" s="82"/>
      <c r="F551" s="93"/>
      <c r="H551" s="85"/>
      <c r="K551" s="86"/>
      <c r="Y551" s="94"/>
    </row>
    <row r="552" ht="15.75" customHeight="1">
      <c r="A552" s="82"/>
      <c r="F552" s="93"/>
      <c r="H552" s="85"/>
      <c r="K552" s="86"/>
      <c r="Y552" s="94"/>
    </row>
    <row r="553" ht="15.75" customHeight="1">
      <c r="A553" s="82"/>
      <c r="F553" s="93"/>
      <c r="H553" s="85"/>
      <c r="K553" s="86"/>
      <c r="Y553" s="94"/>
    </row>
    <row r="554" ht="15.75" customHeight="1">
      <c r="A554" s="82"/>
      <c r="F554" s="93"/>
      <c r="H554" s="85"/>
      <c r="K554" s="86"/>
      <c r="Y554" s="94"/>
    </row>
    <row r="555" ht="15.75" customHeight="1">
      <c r="A555" s="82"/>
      <c r="F555" s="93"/>
      <c r="H555" s="85"/>
      <c r="K555" s="86"/>
      <c r="Y555" s="94"/>
    </row>
    <row r="556" ht="15.75" customHeight="1">
      <c r="A556" s="82"/>
      <c r="F556" s="93"/>
      <c r="H556" s="85"/>
      <c r="K556" s="86"/>
      <c r="Y556" s="94"/>
    </row>
    <row r="557" ht="15.75" customHeight="1">
      <c r="A557" s="82"/>
      <c r="F557" s="93"/>
      <c r="H557" s="85"/>
      <c r="K557" s="86"/>
      <c r="Y557" s="94"/>
    </row>
    <row r="558" ht="15.75" customHeight="1">
      <c r="A558" s="82"/>
      <c r="F558" s="93"/>
      <c r="H558" s="85"/>
      <c r="K558" s="86"/>
      <c r="Y558" s="94"/>
    </row>
    <row r="559" ht="15.75" customHeight="1">
      <c r="A559" s="82"/>
      <c r="F559" s="93"/>
      <c r="H559" s="85"/>
      <c r="K559" s="86"/>
      <c r="Y559" s="94"/>
    </row>
    <row r="560" ht="15.75" customHeight="1">
      <c r="A560" s="82"/>
      <c r="F560" s="93"/>
      <c r="H560" s="85"/>
      <c r="K560" s="86"/>
      <c r="Y560" s="94"/>
    </row>
    <row r="561" ht="15.75" customHeight="1">
      <c r="A561" s="82"/>
      <c r="F561" s="93"/>
      <c r="H561" s="85"/>
      <c r="K561" s="86"/>
      <c r="Y561" s="94"/>
    </row>
    <row r="562" ht="15.75" customHeight="1">
      <c r="A562" s="82"/>
      <c r="F562" s="93"/>
      <c r="H562" s="85"/>
      <c r="K562" s="86"/>
      <c r="Y562" s="94"/>
    </row>
    <row r="563" ht="15.75" customHeight="1">
      <c r="A563" s="82"/>
      <c r="F563" s="93"/>
      <c r="H563" s="85"/>
      <c r="K563" s="86"/>
      <c r="Y563" s="94"/>
    </row>
    <row r="564" ht="15.75" customHeight="1">
      <c r="A564" s="82"/>
      <c r="F564" s="93"/>
      <c r="H564" s="85"/>
      <c r="K564" s="86"/>
      <c r="Y564" s="94"/>
    </row>
    <row r="565" ht="15.75" customHeight="1">
      <c r="A565" s="82"/>
      <c r="F565" s="93"/>
      <c r="H565" s="85"/>
      <c r="K565" s="86"/>
      <c r="Y565" s="94"/>
    </row>
    <row r="566" ht="15.75" customHeight="1">
      <c r="A566" s="82"/>
      <c r="F566" s="93"/>
      <c r="H566" s="85"/>
      <c r="K566" s="86"/>
      <c r="Y566" s="94"/>
    </row>
    <row r="567" ht="15.75" customHeight="1">
      <c r="A567" s="82"/>
      <c r="F567" s="93"/>
      <c r="H567" s="85"/>
      <c r="K567" s="86"/>
      <c r="Y567" s="94"/>
    </row>
    <row r="568" ht="15.75" customHeight="1">
      <c r="A568" s="82"/>
      <c r="F568" s="93"/>
      <c r="H568" s="85"/>
      <c r="K568" s="86"/>
      <c r="Y568" s="94"/>
    </row>
    <row r="569" ht="15.75" customHeight="1">
      <c r="A569" s="82"/>
      <c r="F569" s="93"/>
      <c r="H569" s="85"/>
      <c r="K569" s="86"/>
      <c r="Y569" s="94"/>
    </row>
    <row r="570" ht="15.75" customHeight="1">
      <c r="A570" s="82"/>
      <c r="F570" s="93"/>
      <c r="H570" s="85"/>
      <c r="K570" s="86"/>
      <c r="Y570" s="94"/>
    </row>
    <row r="571" ht="15.75" customHeight="1">
      <c r="A571" s="82"/>
      <c r="F571" s="93"/>
      <c r="H571" s="85"/>
      <c r="K571" s="86"/>
      <c r="Y571" s="94"/>
    </row>
    <row r="572" ht="15.75" customHeight="1">
      <c r="A572" s="82"/>
      <c r="F572" s="93"/>
      <c r="H572" s="85"/>
      <c r="K572" s="86"/>
      <c r="Y572" s="94"/>
    </row>
    <row r="573" ht="15.75" customHeight="1">
      <c r="A573" s="82"/>
      <c r="F573" s="93"/>
      <c r="H573" s="85"/>
      <c r="K573" s="86"/>
      <c r="Y573" s="94"/>
    </row>
    <row r="574" ht="15.75" customHeight="1">
      <c r="A574" s="82"/>
      <c r="F574" s="93"/>
      <c r="H574" s="85"/>
      <c r="K574" s="86"/>
      <c r="Y574" s="94"/>
    </row>
    <row r="575" ht="15.75" customHeight="1">
      <c r="A575" s="82"/>
      <c r="F575" s="93"/>
      <c r="H575" s="85"/>
      <c r="K575" s="86"/>
      <c r="Y575" s="94"/>
    </row>
    <row r="576" ht="15.75" customHeight="1">
      <c r="A576" s="82"/>
      <c r="F576" s="93"/>
      <c r="H576" s="85"/>
      <c r="K576" s="86"/>
      <c r="Y576" s="94"/>
    </row>
    <row r="577" ht="15.75" customHeight="1">
      <c r="A577" s="82"/>
      <c r="F577" s="93"/>
      <c r="H577" s="85"/>
      <c r="K577" s="86"/>
      <c r="Y577" s="94"/>
    </row>
    <row r="578" ht="15.75" customHeight="1">
      <c r="A578" s="82"/>
      <c r="F578" s="93"/>
      <c r="H578" s="85"/>
      <c r="K578" s="86"/>
      <c r="Y578" s="94"/>
    </row>
    <row r="579" ht="15.75" customHeight="1">
      <c r="A579" s="82"/>
      <c r="F579" s="93"/>
      <c r="H579" s="85"/>
      <c r="K579" s="86"/>
      <c r="Y579" s="94"/>
    </row>
    <row r="580" ht="15.75" customHeight="1">
      <c r="A580" s="82"/>
      <c r="F580" s="93"/>
      <c r="H580" s="85"/>
      <c r="K580" s="86"/>
      <c r="Y580" s="94"/>
    </row>
    <row r="581" ht="15.75" customHeight="1">
      <c r="A581" s="82"/>
      <c r="F581" s="93"/>
      <c r="H581" s="85"/>
      <c r="K581" s="86"/>
      <c r="Y581" s="94"/>
    </row>
    <row r="582" ht="15.75" customHeight="1">
      <c r="A582" s="82"/>
      <c r="F582" s="93"/>
      <c r="H582" s="85"/>
      <c r="K582" s="86"/>
      <c r="Y582" s="94"/>
    </row>
    <row r="583" ht="15.75" customHeight="1">
      <c r="A583" s="82"/>
      <c r="F583" s="93"/>
      <c r="H583" s="85"/>
      <c r="K583" s="86"/>
      <c r="Y583" s="94"/>
    </row>
    <row r="584" ht="15.75" customHeight="1">
      <c r="A584" s="82"/>
      <c r="F584" s="93"/>
      <c r="H584" s="85"/>
      <c r="K584" s="86"/>
      <c r="Y584" s="94"/>
    </row>
    <row r="585" ht="15.75" customHeight="1">
      <c r="A585" s="82"/>
      <c r="F585" s="93"/>
      <c r="H585" s="85"/>
      <c r="K585" s="86"/>
      <c r="Y585" s="94"/>
    </row>
    <row r="586" ht="15.75" customHeight="1">
      <c r="A586" s="82"/>
      <c r="F586" s="93"/>
      <c r="H586" s="85"/>
      <c r="K586" s="86"/>
      <c r="Y586" s="94"/>
    </row>
    <row r="587" ht="15.75" customHeight="1">
      <c r="A587" s="82"/>
      <c r="F587" s="93"/>
      <c r="H587" s="85"/>
      <c r="K587" s="86"/>
      <c r="Y587" s="94"/>
    </row>
    <row r="588" ht="15.75" customHeight="1">
      <c r="A588" s="82"/>
      <c r="F588" s="93"/>
      <c r="H588" s="85"/>
      <c r="K588" s="86"/>
      <c r="Y588" s="94"/>
    </row>
    <row r="589" ht="15.75" customHeight="1">
      <c r="A589" s="82"/>
      <c r="F589" s="93"/>
      <c r="H589" s="85"/>
      <c r="K589" s="86"/>
      <c r="Y589" s="94"/>
    </row>
    <row r="590" ht="15.75" customHeight="1">
      <c r="A590" s="82"/>
      <c r="F590" s="93"/>
      <c r="H590" s="85"/>
      <c r="K590" s="86"/>
      <c r="Y590" s="94"/>
    </row>
    <row r="591" ht="15.75" customHeight="1">
      <c r="A591" s="82"/>
      <c r="F591" s="93"/>
      <c r="H591" s="85"/>
      <c r="K591" s="86"/>
      <c r="Y591" s="94"/>
    </row>
    <row r="592" ht="15.75" customHeight="1">
      <c r="A592" s="82"/>
      <c r="F592" s="93"/>
      <c r="H592" s="85"/>
      <c r="K592" s="86"/>
      <c r="Y592" s="94"/>
    </row>
    <row r="593" ht="15.75" customHeight="1">
      <c r="A593" s="82"/>
      <c r="F593" s="93"/>
      <c r="H593" s="85"/>
      <c r="K593" s="86"/>
      <c r="Y593" s="94"/>
    </row>
    <row r="594" ht="15.75" customHeight="1">
      <c r="A594" s="82"/>
      <c r="F594" s="93"/>
      <c r="H594" s="85"/>
      <c r="K594" s="86"/>
      <c r="Y594" s="94"/>
    </row>
    <row r="595" ht="15.75" customHeight="1">
      <c r="A595" s="82"/>
      <c r="F595" s="93"/>
      <c r="H595" s="85"/>
      <c r="K595" s="86"/>
      <c r="Y595" s="94"/>
    </row>
    <row r="596" ht="15.75" customHeight="1">
      <c r="A596" s="82"/>
      <c r="F596" s="93"/>
      <c r="H596" s="85"/>
      <c r="K596" s="86"/>
      <c r="Y596" s="94"/>
    </row>
    <row r="597" ht="15.75" customHeight="1">
      <c r="A597" s="82"/>
      <c r="F597" s="93"/>
      <c r="H597" s="85"/>
      <c r="K597" s="86"/>
      <c r="Y597" s="94"/>
    </row>
    <row r="598" ht="15.75" customHeight="1">
      <c r="A598" s="82"/>
      <c r="F598" s="93"/>
      <c r="H598" s="85"/>
      <c r="K598" s="86"/>
      <c r="Y598" s="94"/>
    </row>
    <row r="599" ht="15.75" customHeight="1">
      <c r="A599" s="82"/>
      <c r="F599" s="93"/>
      <c r="H599" s="85"/>
      <c r="K599" s="86"/>
      <c r="Y599" s="94"/>
    </row>
    <row r="600" ht="15.75" customHeight="1">
      <c r="A600" s="82"/>
      <c r="F600" s="93"/>
      <c r="H600" s="85"/>
      <c r="K600" s="86"/>
      <c r="Y600" s="94"/>
    </row>
    <row r="601" ht="15.75" customHeight="1">
      <c r="A601" s="82"/>
      <c r="F601" s="93"/>
      <c r="H601" s="85"/>
      <c r="K601" s="86"/>
      <c r="Y601" s="94"/>
    </row>
    <row r="602" ht="15.75" customHeight="1">
      <c r="A602" s="82"/>
      <c r="F602" s="93"/>
      <c r="H602" s="85"/>
      <c r="K602" s="86"/>
      <c r="Y602" s="94"/>
    </row>
    <row r="603" ht="15.75" customHeight="1">
      <c r="A603" s="82"/>
      <c r="F603" s="93"/>
      <c r="H603" s="85"/>
      <c r="K603" s="86"/>
      <c r="Y603" s="94"/>
    </row>
    <row r="604" ht="15.75" customHeight="1">
      <c r="A604" s="82"/>
      <c r="F604" s="93"/>
      <c r="H604" s="85"/>
      <c r="K604" s="86"/>
      <c r="Y604" s="94"/>
    </row>
    <row r="605" ht="15.75" customHeight="1">
      <c r="A605" s="82"/>
      <c r="F605" s="93"/>
      <c r="H605" s="85"/>
      <c r="K605" s="86"/>
      <c r="Y605" s="94"/>
    </row>
    <row r="606" ht="15.75" customHeight="1">
      <c r="A606" s="82"/>
      <c r="F606" s="93"/>
      <c r="H606" s="85"/>
      <c r="K606" s="86"/>
      <c r="Y606" s="94"/>
    </row>
    <row r="607" ht="15.75" customHeight="1">
      <c r="A607" s="82"/>
      <c r="F607" s="93"/>
      <c r="H607" s="85"/>
      <c r="K607" s="86"/>
      <c r="Y607" s="94"/>
    </row>
    <row r="608" ht="15.75" customHeight="1">
      <c r="A608" s="82"/>
      <c r="F608" s="93"/>
      <c r="H608" s="85"/>
      <c r="K608" s="86"/>
      <c r="Y608" s="94"/>
    </row>
    <row r="609" ht="15.75" customHeight="1">
      <c r="A609" s="82"/>
      <c r="F609" s="93"/>
      <c r="H609" s="85"/>
      <c r="K609" s="86"/>
      <c r="Y609" s="94"/>
    </row>
    <row r="610" ht="15.75" customHeight="1">
      <c r="A610" s="82"/>
      <c r="F610" s="93"/>
      <c r="H610" s="85"/>
      <c r="K610" s="86"/>
      <c r="Y610" s="94"/>
    </row>
    <row r="611" ht="15.75" customHeight="1">
      <c r="A611" s="82"/>
      <c r="F611" s="93"/>
      <c r="H611" s="85"/>
      <c r="K611" s="86"/>
      <c r="Y611" s="94"/>
    </row>
    <row r="612" ht="15.75" customHeight="1">
      <c r="A612" s="82"/>
      <c r="F612" s="93"/>
      <c r="H612" s="85"/>
      <c r="K612" s="86"/>
      <c r="Y612" s="94"/>
    </row>
    <row r="613" ht="15.75" customHeight="1">
      <c r="A613" s="82"/>
      <c r="F613" s="93"/>
      <c r="H613" s="85"/>
      <c r="K613" s="86"/>
      <c r="Y613" s="94"/>
    </row>
    <row r="614" ht="15.75" customHeight="1">
      <c r="A614" s="82"/>
      <c r="F614" s="93"/>
      <c r="H614" s="85"/>
      <c r="K614" s="86"/>
      <c r="Y614" s="94"/>
    </row>
    <row r="615" ht="15.75" customHeight="1">
      <c r="A615" s="82"/>
      <c r="F615" s="93"/>
      <c r="H615" s="85"/>
      <c r="K615" s="86"/>
      <c r="Y615" s="94"/>
    </row>
    <row r="616" ht="15.75" customHeight="1">
      <c r="A616" s="82"/>
      <c r="F616" s="93"/>
      <c r="H616" s="85"/>
      <c r="K616" s="86"/>
      <c r="Y616" s="94"/>
    </row>
    <row r="617" ht="15.75" customHeight="1">
      <c r="A617" s="82"/>
      <c r="F617" s="93"/>
      <c r="H617" s="85"/>
      <c r="K617" s="86"/>
      <c r="Y617" s="94"/>
    </row>
    <row r="618" ht="15.75" customHeight="1">
      <c r="A618" s="82"/>
      <c r="F618" s="93"/>
      <c r="H618" s="85"/>
      <c r="K618" s="86"/>
      <c r="Y618" s="94"/>
    </row>
    <row r="619" ht="15.75" customHeight="1">
      <c r="A619" s="82"/>
      <c r="F619" s="93"/>
      <c r="H619" s="85"/>
      <c r="K619" s="86"/>
      <c r="Y619" s="94"/>
    </row>
    <row r="620" ht="15.75" customHeight="1">
      <c r="A620" s="82"/>
      <c r="F620" s="93"/>
      <c r="H620" s="85"/>
      <c r="K620" s="86"/>
      <c r="Y620" s="94"/>
    </row>
    <row r="621" ht="15.75" customHeight="1">
      <c r="A621" s="82"/>
      <c r="F621" s="93"/>
      <c r="H621" s="85"/>
      <c r="K621" s="86"/>
      <c r="Y621" s="94"/>
    </row>
    <row r="622" ht="15.75" customHeight="1">
      <c r="A622" s="82"/>
      <c r="F622" s="93"/>
      <c r="H622" s="85"/>
      <c r="K622" s="86"/>
      <c r="Y622" s="94"/>
    </row>
    <row r="623" ht="15.75" customHeight="1">
      <c r="A623" s="82"/>
      <c r="F623" s="93"/>
      <c r="H623" s="85"/>
      <c r="K623" s="86"/>
      <c r="Y623" s="94"/>
    </row>
    <row r="624" ht="15.75" customHeight="1">
      <c r="A624" s="82"/>
      <c r="F624" s="93"/>
      <c r="H624" s="85"/>
      <c r="K624" s="86"/>
      <c r="Y624" s="94"/>
    </row>
    <row r="625" ht="15.75" customHeight="1">
      <c r="A625" s="82"/>
      <c r="F625" s="93"/>
      <c r="H625" s="85"/>
      <c r="K625" s="86"/>
      <c r="Y625" s="94"/>
    </row>
    <row r="626" ht="15.75" customHeight="1">
      <c r="A626" s="82"/>
      <c r="F626" s="93"/>
      <c r="H626" s="85"/>
      <c r="K626" s="86"/>
      <c r="Y626" s="94"/>
    </row>
    <row r="627" ht="15.75" customHeight="1">
      <c r="A627" s="82"/>
      <c r="F627" s="93"/>
      <c r="H627" s="85"/>
      <c r="K627" s="86"/>
      <c r="Y627" s="94"/>
    </row>
    <row r="628" ht="15.75" customHeight="1">
      <c r="A628" s="82"/>
      <c r="F628" s="93"/>
      <c r="H628" s="85"/>
      <c r="K628" s="86"/>
      <c r="Y628" s="94"/>
    </row>
    <row r="629" ht="15.75" customHeight="1">
      <c r="A629" s="82"/>
      <c r="F629" s="93"/>
      <c r="H629" s="85"/>
      <c r="K629" s="86"/>
      <c r="Y629" s="94"/>
    </row>
    <row r="630" ht="15.75" customHeight="1">
      <c r="A630" s="82"/>
      <c r="F630" s="93"/>
      <c r="H630" s="85"/>
      <c r="K630" s="86"/>
      <c r="Y630" s="94"/>
    </row>
    <row r="631" ht="15.75" customHeight="1">
      <c r="A631" s="82"/>
      <c r="F631" s="93"/>
      <c r="H631" s="85"/>
      <c r="K631" s="86"/>
      <c r="Y631" s="94"/>
    </row>
    <row r="632" ht="15.75" customHeight="1">
      <c r="A632" s="82"/>
      <c r="F632" s="93"/>
      <c r="H632" s="85"/>
      <c r="K632" s="86"/>
      <c r="Y632" s="94"/>
    </row>
    <row r="633" ht="15.75" customHeight="1">
      <c r="A633" s="82"/>
      <c r="F633" s="93"/>
      <c r="H633" s="85"/>
      <c r="K633" s="86"/>
      <c r="Y633" s="94"/>
    </row>
    <row r="634" ht="15.75" customHeight="1">
      <c r="A634" s="82"/>
      <c r="F634" s="93"/>
      <c r="H634" s="85"/>
      <c r="K634" s="86"/>
      <c r="Y634" s="94"/>
    </row>
    <row r="635" ht="15.75" customHeight="1">
      <c r="A635" s="82"/>
      <c r="F635" s="93"/>
      <c r="H635" s="85"/>
      <c r="K635" s="86"/>
      <c r="Y635" s="94"/>
    </row>
    <row r="636" ht="15.75" customHeight="1">
      <c r="A636" s="82"/>
      <c r="F636" s="93"/>
      <c r="H636" s="85"/>
      <c r="K636" s="86"/>
      <c r="Y636" s="94"/>
    </row>
    <row r="637" ht="15.75" customHeight="1">
      <c r="A637" s="82"/>
      <c r="F637" s="93"/>
      <c r="H637" s="85"/>
      <c r="K637" s="86"/>
      <c r="Y637" s="94"/>
    </row>
    <row r="638" ht="15.75" customHeight="1">
      <c r="A638" s="82"/>
      <c r="F638" s="93"/>
      <c r="H638" s="85"/>
      <c r="K638" s="86"/>
      <c r="Y638" s="94"/>
    </row>
    <row r="639" ht="15.75" customHeight="1">
      <c r="A639" s="82"/>
      <c r="F639" s="93"/>
      <c r="H639" s="85"/>
      <c r="K639" s="86"/>
      <c r="Y639" s="94"/>
    </row>
    <row r="640" ht="15.75" customHeight="1">
      <c r="A640" s="82"/>
      <c r="F640" s="93"/>
      <c r="H640" s="85"/>
      <c r="K640" s="86"/>
      <c r="Y640" s="94"/>
    </row>
    <row r="641" ht="15.75" customHeight="1">
      <c r="A641" s="82"/>
      <c r="F641" s="93"/>
      <c r="H641" s="85"/>
      <c r="K641" s="86"/>
      <c r="Y641" s="94"/>
    </row>
    <row r="642" ht="15.75" customHeight="1">
      <c r="A642" s="82"/>
      <c r="F642" s="93"/>
      <c r="H642" s="85"/>
      <c r="K642" s="86"/>
      <c r="Y642" s="94"/>
    </row>
    <row r="643" ht="15.75" customHeight="1">
      <c r="A643" s="82"/>
      <c r="F643" s="93"/>
      <c r="H643" s="85"/>
      <c r="K643" s="86"/>
      <c r="Y643" s="94"/>
    </row>
    <row r="644" ht="15.75" customHeight="1">
      <c r="A644" s="82"/>
      <c r="F644" s="93"/>
      <c r="H644" s="85"/>
      <c r="K644" s="86"/>
      <c r="Y644" s="94"/>
    </row>
    <row r="645" ht="15.75" customHeight="1">
      <c r="A645" s="82"/>
      <c r="F645" s="93"/>
      <c r="H645" s="85"/>
      <c r="K645" s="86"/>
      <c r="Y645" s="94"/>
    </row>
    <row r="646" ht="15.75" customHeight="1">
      <c r="A646" s="82"/>
      <c r="F646" s="93"/>
      <c r="H646" s="85"/>
      <c r="K646" s="86"/>
      <c r="Y646" s="94"/>
    </row>
    <row r="647" ht="15.75" customHeight="1">
      <c r="A647" s="82"/>
      <c r="F647" s="93"/>
      <c r="H647" s="85"/>
      <c r="K647" s="86"/>
      <c r="Y647" s="94"/>
    </row>
    <row r="648" ht="15.75" customHeight="1">
      <c r="A648" s="82"/>
      <c r="F648" s="93"/>
      <c r="H648" s="85"/>
      <c r="K648" s="86"/>
      <c r="Y648" s="94"/>
    </row>
    <row r="649" ht="15.75" customHeight="1">
      <c r="A649" s="82"/>
      <c r="F649" s="93"/>
      <c r="H649" s="85"/>
      <c r="K649" s="86"/>
      <c r="Y649" s="94"/>
    </row>
    <row r="650" ht="15.75" customHeight="1">
      <c r="A650" s="82"/>
      <c r="F650" s="93"/>
      <c r="H650" s="85"/>
      <c r="K650" s="86"/>
      <c r="Y650" s="94"/>
    </row>
    <row r="651" ht="15.75" customHeight="1">
      <c r="A651" s="82"/>
      <c r="F651" s="93"/>
      <c r="H651" s="85"/>
      <c r="K651" s="86"/>
      <c r="Y651" s="94"/>
    </row>
    <row r="652" ht="15.75" customHeight="1">
      <c r="A652" s="82"/>
      <c r="F652" s="93"/>
      <c r="H652" s="85"/>
      <c r="K652" s="86"/>
      <c r="Y652" s="94"/>
    </row>
    <row r="653" ht="15.75" customHeight="1">
      <c r="A653" s="82"/>
      <c r="F653" s="93"/>
      <c r="H653" s="85"/>
      <c r="K653" s="86"/>
      <c r="Y653" s="94"/>
    </row>
    <row r="654" ht="15.75" customHeight="1">
      <c r="A654" s="82"/>
      <c r="F654" s="93"/>
      <c r="H654" s="85"/>
      <c r="K654" s="86"/>
      <c r="Y654" s="94"/>
    </row>
    <row r="655" ht="15.75" customHeight="1">
      <c r="A655" s="82"/>
      <c r="F655" s="93"/>
      <c r="H655" s="85"/>
      <c r="K655" s="86"/>
      <c r="Y655" s="94"/>
    </row>
    <row r="656" ht="15.75" customHeight="1">
      <c r="A656" s="82"/>
      <c r="F656" s="93"/>
      <c r="H656" s="85"/>
      <c r="K656" s="86"/>
      <c r="Y656" s="94"/>
    </row>
    <row r="657" ht="15.75" customHeight="1">
      <c r="A657" s="82"/>
      <c r="F657" s="93"/>
      <c r="H657" s="85"/>
      <c r="K657" s="86"/>
      <c r="Y657" s="94"/>
    </row>
    <row r="658" ht="15.75" customHeight="1">
      <c r="A658" s="82"/>
      <c r="F658" s="93"/>
      <c r="H658" s="85"/>
      <c r="K658" s="86"/>
      <c r="Y658" s="94"/>
    </row>
    <row r="659" ht="15.75" customHeight="1">
      <c r="A659" s="82"/>
      <c r="F659" s="93"/>
      <c r="H659" s="85"/>
      <c r="K659" s="86"/>
      <c r="Y659" s="94"/>
    </row>
    <row r="660" ht="15.75" customHeight="1">
      <c r="A660" s="82"/>
      <c r="F660" s="93"/>
      <c r="H660" s="85"/>
      <c r="K660" s="86"/>
      <c r="Y660" s="94"/>
    </row>
    <row r="661" ht="15.75" customHeight="1">
      <c r="A661" s="82"/>
      <c r="F661" s="93"/>
      <c r="H661" s="85"/>
      <c r="K661" s="86"/>
      <c r="Y661" s="94"/>
    </row>
    <row r="662" ht="15.75" customHeight="1">
      <c r="A662" s="82"/>
      <c r="F662" s="93"/>
      <c r="H662" s="85"/>
      <c r="K662" s="86"/>
      <c r="Y662" s="94"/>
    </row>
    <row r="663" ht="15.75" customHeight="1">
      <c r="A663" s="82"/>
      <c r="F663" s="93"/>
      <c r="H663" s="85"/>
      <c r="K663" s="86"/>
      <c r="Y663" s="94"/>
    </row>
    <row r="664" ht="15.75" customHeight="1">
      <c r="A664" s="82"/>
      <c r="F664" s="93"/>
      <c r="H664" s="85"/>
      <c r="K664" s="86"/>
      <c r="Y664" s="94"/>
    </row>
    <row r="665" ht="15.75" customHeight="1">
      <c r="A665" s="82"/>
      <c r="F665" s="93"/>
      <c r="H665" s="85"/>
      <c r="K665" s="86"/>
      <c r="Y665" s="94"/>
    </row>
    <row r="666" ht="15.75" customHeight="1">
      <c r="A666" s="82"/>
      <c r="F666" s="93"/>
      <c r="H666" s="85"/>
      <c r="K666" s="86"/>
      <c r="Y666" s="94"/>
    </row>
    <row r="667" ht="15.75" customHeight="1">
      <c r="A667" s="82"/>
      <c r="F667" s="93"/>
      <c r="H667" s="85"/>
      <c r="K667" s="86"/>
      <c r="Y667" s="94"/>
    </row>
    <row r="668" ht="15.75" customHeight="1">
      <c r="A668" s="82"/>
      <c r="F668" s="93"/>
      <c r="H668" s="85"/>
      <c r="K668" s="86"/>
      <c r="Y668" s="94"/>
    </row>
    <row r="669" ht="15.75" customHeight="1">
      <c r="A669" s="82"/>
      <c r="F669" s="93"/>
      <c r="H669" s="85"/>
      <c r="K669" s="86"/>
      <c r="Y669" s="94"/>
    </row>
    <row r="670" ht="15.75" customHeight="1">
      <c r="A670" s="82"/>
      <c r="F670" s="93"/>
      <c r="H670" s="85"/>
      <c r="K670" s="86"/>
      <c r="Y670" s="94"/>
    </row>
    <row r="671" ht="15.75" customHeight="1">
      <c r="A671" s="82"/>
      <c r="F671" s="93"/>
      <c r="H671" s="85"/>
      <c r="K671" s="86"/>
      <c r="Y671" s="94"/>
    </row>
    <row r="672" ht="15.75" customHeight="1">
      <c r="A672" s="82"/>
      <c r="F672" s="93"/>
      <c r="H672" s="85"/>
      <c r="K672" s="86"/>
      <c r="Y672" s="94"/>
    </row>
    <row r="673" ht="15.75" customHeight="1">
      <c r="A673" s="82"/>
      <c r="F673" s="93"/>
      <c r="H673" s="85"/>
      <c r="K673" s="86"/>
      <c r="Y673" s="94"/>
    </row>
    <row r="674" ht="15.75" customHeight="1">
      <c r="A674" s="82"/>
      <c r="F674" s="93"/>
      <c r="H674" s="85"/>
      <c r="K674" s="86"/>
      <c r="Y674" s="94"/>
    </row>
    <row r="675" ht="15.75" customHeight="1">
      <c r="A675" s="82"/>
      <c r="F675" s="93"/>
      <c r="H675" s="85"/>
      <c r="K675" s="86"/>
      <c r="Y675" s="94"/>
    </row>
    <row r="676" ht="15.75" customHeight="1">
      <c r="A676" s="82"/>
      <c r="F676" s="93"/>
      <c r="H676" s="85"/>
      <c r="K676" s="86"/>
      <c r="Y676" s="94"/>
    </row>
    <row r="677" ht="15.75" customHeight="1">
      <c r="A677" s="82"/>
      <c r="F677" s="93"/>
      <c r="H677" s="85"/>
      <c r="K677" s="86"/>
      <c r="Y677" s="94"/>
    </row>
    <row r="678" ht="15.75" customHeight="1">
      <c r="A678" s="82"/>
      <c r="F678" s="93"/>
      <c r="H678" s="85"/>
      <c r="K678" s="86"/>
      <c r="Y678" s="94"/>
    </row>
    <row r="679" ht="15.75" customHeight="1">
      <c r="A679" s="82"/>
      <c r="F679" s="93"/>
      <c r="H679" s="85"/>
      <c r="K679" s="86"/>
      <c r="Y679" s="94"/>
    </row>
    <row r="680" ht="15.75" customHeight="1">
      <c r="A680" s="82"/>
      <c r="F680" s="93"/>
      <c r="H680" s="85"/>
      <c r="K680" s="86"/>
      <c r="Y680" s="94"/>
    </row>
    <row r="681" ht="15.75" customHeight="1">
      <c r="A681" s="82"/>
      <c r="F681" s="93"/>
      <c r="H681" s="85"/>
      <c r="K681" s="86"/>
      <c r="Y681" s="94"/>
    </row>
    <row r="682" ht="15.75" customHeight="1">
      <c r="A682" s="82"/>
      <c r="F682" s="93"/>
      <c r="H682" s="85"/>
      <c r="K682" s="86"/>
      <c r="Y682" s="94"/>
    </row>
    <row r="683" ht="15.75" customHeight="1">
      <c r="A683" s="82"/>
      <c r="F683" s="93"/>
      <c r="H683" s="85"/>
      <c r="K683" s="86"/>
      <c r="Y683" s="94"/>
    </row>
    <row r="684" ht="15.75" customHeight="1">
      <c r="A684" s="82"/>
      <c r="F684" s="93"/>
      <c r="H684" s="85"/>
      <c r="K684" s="86"/>
      <c r="Y684" s="94"/>
    </row>
    <row r="685" ht="15.75" customHeight="1">
      <c r="A685" s="82"/>
      <c r="F685" s="93"/>
      <c r="H685" s="85"/>
      <c r="K685" s="86"/>
      <c r="Y685" s="94"/>
    </row>
    <row r="686" ht="15.75" customHeight="1">
      <c r="A686" s="82"/>
      <c r="F686" s="93"/>
      <c r="H686" s="85"/>
      <c r="K686" s="86"/>
      <c r="Y686" s="94"/>
    </row>
    <row r="687" ht="15.75" customHeight="1">
      <c r="A687" s="82"/>
      <c r="F687" s="93"/>
      <c r="H687" s="85"/>
      <c r="K687" s="86"/>
      <c r="Y687" s="94"/>
    </row>
    <row r="688" ht="15.75" customHeight="1">
      <c r="A688" s="82"/>
      <c r="F688" s="93"/>
      <c r="H688" s="85"/>
      <c r="K688" s="86"/>
      <c r="Y688" s="94"/>
    </row>
    <row r="689" ht="15.75" customHeight="1">
      <c r="A689" s="82"/>
      <c r="F689" s="93"/>
      <c r="H689" s="85"/>
      <c r="K689" s="86"/>
      <c r="Y689" s="94"/>
    </row>
    <row r="690" ht="15.75" customHeight="1">
      <c r="A690" s="82"/>
      <c r="F690" s="93"/>
      <c r="H690" s="85"/>
      <c r="K690" s="86"/>
      <c r="Y690" s="94"/>
    </row>
    <row r="691" ht="15.75" customHeight="1">
      <c r="A691" s="82"/>
      <c r="F691" s="93"/>
      <c r="H691" s="85"/>
      <c r="K691" s="86"/>
      <c r="Y691" s="94"/>
    </row>
    <row r="692" ht="15.75" customHeight="1">
      <c r="A692" s="82"/>
      <c r="F692" s="93"/>
      <c r="H692" s="85"/>
      <c r="K692" s="86"/>
      <c r="Y692" s="94"/>
    </row>
    <row r="693" ht="15.75" customHeight="1">
      <c r="A693" s="82"/>
      <c r="F693" s="93"/>
      <c r="H693" s="85"/>
      <c r="K693" s="86"/>
      <c r="Y693" s="94"/>
    </row>
    <row r="694" ht="15.75" customHeight="1">
      <c r="A694" s="82"/>
      <c r="F694" s="93"/>
      <c r="H694" s="85"/>
      <c r="K694" s="86"/>
      <c r="Y694" s="94"/>
    </row>
    <row r="695" ht="15.75" customHeight="1">
      <c r="A695" s="82"/>
      <c r="F695" s="93"/>
      <c r="H695" s="85"/>
      <c r="K695" s="86"/>
      <c r="Y695" s="94"/>
    </row>
    <row r="696" ht="15.75" customHeight="1">
      <c r="A696" s="82"/>
      <c r="F696" s="93"/>
      <c r="H696" s="85"/>
      <c r="K696" s="86"/>
      <c r="Y696" s="94"/>
    </row>
    <row r="697" ht="15.75" customHeight="1">
      <c r="A697" s="82"/>
      <c r="F697" s="93"/>
      <c r="H697" s="85"/>
      <c r="K697" s="86"/>
      <c r="Y697" s="94"/>
    </row>
    <row r="698" ht="15.75" customHeight="1">
      <c r="A698" s="82"/>
      <c r="F698" s="93"/>
      <c r="H698" s="85"/>
      <c r="K698" s="86"/>
      <c r="Y698" s="94"/>
    </row>
    <row r="699" ht="15.75" customHeight="1">
      <c r="A699" s="82"/>
      <c r="F699" s="93"/>
      <c r="H699" s="85"/>
      <c r="K699" s="86"/>
      <c r="Y699" s="94"/>
    </row>
    <row r="700" ht="15.75" customHeight="1">
      <c r="A700" s="82"/>
      <c r="F700" s="93"/>
      <c r="H700" s="85"/>
      <c r="K700" s="86"/>
      <c r="Y700" s="94"/>
    </row>
    <row r="701" ht="15.75" customHeight="1">
      <c r="A701" s="82"/>
      <c r="F701" s="93"/>
      <c r="H701" s="85"/>
      <c r="K701" s="86"/>
      <c r="Y701" s="94"/>
    </row>
    <row r="702" ht="15.75" customHeight="1">
      <c r="A702" s="82"/>
      <c r="F702" s="93"/>
      <c r="H702" s="85"/>
      <c r="K702" s="86"/>
      <c r="Y702" s="94"/>
    </row>
    <row r="703" ht="15.75" customHeight="1">
      <c r="A703" s="82"/>
      <c r="F703" s="93"/>
      <c r="H703" s="85"/>
      <c r="K703" s="86"/>
      <c r="Y703" s="94"/>
    </row>
    <row r="704" ht="15.75" customHeight="1">
      <c r="A704" s="82"/>
      <c r="F704" s="93"/>
      <c r="H704" s="85"/>
      <c r="K704" s="86"/>
      <c r="Y704" s="94"/>
    </row>
    <row r="705" ht="15.75" customHeight="1">
      <c r="A705" s="82"/>
      <c r="F705" s="93"/>
      <c r="H705" s="85"/>
      <c r="K705" s="86"/>
      <c r="Y705" s="94"/>
    </row>
    <row r="706" ht="15.75" customHeight="1">
      <c r="A706" s="82"/>
      <c r="F706" s="93"/>
      <c r="H706" s="85"/>
      <c r="K706" s="86"/>
      <c r="Y706" s="94"/>
    </row>
    <row r="707" ht="15.75" customHeight="1">
      <c r="A707" s="82"/>
      <c r="F707" s="93"/>
      <c r="H707" s="85"/>
      <c r="K707" s="86"/>
      <c r="Y707" s="94"/>
    </row>
    <row r="708" ht="15.75" customHeight="1">
      <c r="A708" s="82"/>
      <c r="F708" s="93"/>
      <c r="H708" s="85"/>
      <c r="K708" s="86"/>
      <c r="Y708" s="94"/>
    </row>
    <row r="709" ht="15.75" customHeight="1">
      <c r="A709" s="82"/>
      <c r="F709" s="93"/>
      <c r="H709" s="85"/>
      <c r="K709" s="86"/>
      <c r="Y709" s="94"/>
    </row>
    <row r="710" ht="15.75" customHeight="1">
      <c r="A710" s="82"/>
      <c r="F710" s="93"/>
      <c r="H710" s="85"/>
      <c r="K710" s="86"/>
      <c r="Y710" s="94"/>
    </row>
    <row r="711" ht="15.75" customHeight="1">
      <c r="A711" s="82"/>
      <c r="F711" s="93"/>
      <c r="H711" s="85"/>
      <c r="K711" s="86"/>
      <c r="Y711" s="94"/>
    </row>
    <row r="712" ht="15.75" customHeight="1">
      <c r="A712" s="82"/>
      <c r="F712" s="93"/>
      <c r="H712" s="85"/>
      <c r="K712" s="86"/>
      <c r="Y712" s="94"/>
    </row>
    <row r="713" ht="15.75" customHeight="1">
      <c r="A713" s="82"/>
      <c r="F713" s="93"/>
      <c r="H713" s="85"/>
      <c r="K713" s="86"/>
      <c r="Y713" s="94"/>
    </row>
    <row r="714" ht="15.75" customHeight="1">
      <c r="A714" s="82"/>
      <c r="F714" s="93"/>
      <c r="H714" s="85"/>
      <c r="K714" s="86"/>
      <c r="Y714" s="94"/>
    </row>
    <row r="715" ht="15.75" customHeight="1">
      <c r="A715" s="82"/>
      <c r="F715" s="93"/>
      <c r="H715" s="85"/>
      <c r="K715" s="86"/>
      <c r="Y715" s="94"/>
    </row>
    <row r="716" ht="15.75" customHeight="1">
      <c r="A716" s="82"/>
      <c r="F716" s="93"/>
      <c r="H716" s="85"/>
      <c r="K716" s="86"/>
      <c r="Y716" s="94"/>
    </row>
    <row r="717" ht="15.75" customHeight="1">
      <c r="A717" s="82"/>
      <c r="F717" s="93"/>
      <c r="H717" s="85"/>
      <c r="K717" s="86"/>
      <c r="Y717" s="94"/>
    </row>
    <row r="718" ht="15.75" customHeight="1">
      <c r="A718" s="82"/>
      <c r="F718" s="93"/>
      <c r="H718" s="85"/>
      <c r="K718" s="86"/>
      <c r="Y718" s="94"/>
    </row>
    <row r="719" ht="15.75" customHeight="1">
      <c r="A719" s="82"/>
      <c r="F719" s="93"/>
      <c r="H719" s="85"/>
      <c r="K719" s="86"/>
      <c r="Y719" s="94"/>
    </row>
    <row r="720" ht="15.75" customHeight="1">
      <c r="A720" s="82"/>
      <c r="F720" s="93"/>
      <c r="H720" s="85"/>
      <c r="K720" s="86"/>
      <c r="Y720" s="94"/>
    </row>
    <row r="721" ht="15.75" customHeight="1">
      <c r="A721" s="82"/>
      <c r="F721" s="93"/>
      <c r="H721" s="85"/>
      <c r="K721" s="86"/>
      <c r="Y721" s="94"/>
    </row>
    <row r="722" ht="15.75" customHeight="1">
      <c r="A722" s="82"/>
      <c r="F722" s="93"/>
      <c r="H722" s="85"/>
      <c r="K722" s="86"/>
      <c r="Y722" s="94"/>
    </row>
    <row r="723" ht="15.75" customHeight="1">
      <c r="A723" s="82"/>
      <c r="F723" s="93"/>
      <c r="H723" s="85"/>
      <c r="K723" s="86"/>
      <c r="Y723" s="94"/>
    </row>
    <row r="724" ht="15.75" customHeight="1">
      <c r="A724" s="82"/>
      <c r="F724" s="93"/>
      <c r="H724" s="85"/>
      <c r="K724" s="86"/>
      <c r="Y724" s="94"/>
    </row>
    <row r="725" ht="15.75" customHeight="1">
      <c r="A725" s="82"/>
      <c r="F725" s="93"/>
      <c r="H725" s="85"/>
      <c r="K725" s="86"/>
      <c r="Y725" s="94"/>
    </row>
    <row r="726" ht="15.75" customHeight="1">
      <c r="A726" s="82"/>
      <c r="F726" s="93"/>
      <c r="H726" s="85"/>
      <c r="K726" s="86"/>
      <c r="Y726" s="94"/>
    </row>
    <row r="727" ht="15.75" customHeight="1">
      <c r="A727" s="82"/>
      <c r="F727" s="93"/>
      <c r="H727" s="85"/>
      <c r="K727" s="86"/>
      <c r="Y727" s="94"/>
    </row>
    <row r="728" ht="15.75" customHeight="1">
      <c r="A728" s="82"/>
      <c r="F728" s="93"/>
      <c r="H728" s="85"/>
      <c r="K728" s="86"/>
      <c r="Y728" s="94"/>
    </row>
    <row r="729" ht="15.75" customHeight="1">
      <c r="A729" s="82"/>
      <c r="F729" s="93"/>
      <c r="H729" s="85"/>
      <c r="K729" s="86"/>
      <c r="Y729" s="94"/>
    </row>
    <row r="730" ht="15.75" customHeight="1">
      <c r="A730" s="82"/>
      <c r="F730" s="93"/>
      <c r="H730" s="85"/>
      <c r="K730" s="86"/>
      <c r="Y730" s="94"/>
    </row>
    <row r="731" ht="15.75" customHeight="1">
      <c r="A731" s="82"/>
      <c r="F731" s="93"/>
      <c r="H731" s="85"/>
      <c r="K731" s="86"/>
      <c r="Y731" s="94"/>
    </row>
    <row r="732" ht="15.75" customHeight="1">
      <c r="A732" s="82"/>
      <c r="F732" s="93"/>
      <c r="H732" s="85"/>
      <c r="K732" s="86"/>
      <c r="Y732" s="94"/>
    </row>
    <row r="733" ht="15.75" customHeight="1">
      <c r="A733" s="82"/>
      <c r="F733" s="93"/>
      <c r="H733" s="85"/>
      <c r="K733" s="86"/>
      <c r="Y733" s="94"/>
    </row>
    <row r="734" ht="15.75" customHeight="1">
      <c r="A734" s="82"/>
      <c r="F734" s="93"/>
      <c r="H734" s="85"/>
      <c r="K734" s="86"/>
      <c r="Y734" s="94"/>
    </row>
    <row r="735" ht="15.75" customHeight="1">
      <c r="A735" s="82"/>
      <c r="F735" s="93"/>
      <c r="H735" s="85"/>
      <c r="K735" s="86"/>
      <c r="Y735" s="94"/>
    </row>
    <row r="736" ht="15.75" customHeight="1">
      <c r="A736" s="82"/>
      <c r="F736" s="93"/>
      <c r="H736" s="85"/>
      <c r="K736" s="86"/>
      <c r="Y736" s="94"/>
    </row>
    <row r="737" ht="15.75" customHeight="1">
      <c r="A737" s="82"/>
      <c r="F737" s="93"/>
      <c r="H737" s="85"/>
      <c r="K737" s="86"/>
      <c r="Y737" s="94"/>
    </row>
    <row r="738" ht="15.75" customHeight="1">
      <c r="A738" s="82"/>
      <c r="F738" s="93"/>
      <c r="H738" s="85"/>
      <c r="K738" s="86"/>
      <c r="Y738" s="94"/>
    </row>
    <row r="739" ht="15.75" customHeight="1">
      <c r="A739" s="82"/>
      <c r="F739" s="93"/>
      <c r="H739" s="85"/>
      <c r="K739" s="86"/>
      <c r="Y739" s="94"/>
    </row>
    <row r="740" ht="15.75" customHeight="1">
      <c r="A740" s="82"/>
      <c r="F740" s="93"/>
      <c r="H740" s="85"/>
      <c r="K740" s="86"/>
      <c r="Y740" s="94"/>
    </row>
    <row r="741" ht="15.75" customHeight="1">
      <c r="A741" s="82"/>
      <c r="F741" s="93"/>
      <c r="H741" s="85"/>
      <c r="K741" s="86"/>
      <c r="Y741" s="94"/>
    </row>
    <row r="742" ht="15.75" customHeight="1">
      <c r="A742" s="82"/>
      <c r="F742" s="93"/>
      <c r="H742" s="85"/>
      <c r="K742" s="86"/>
      <c r="Y742" s="94"/>
    </row>
    <row r="743" ht="15.75" customHeight="1">
      <c r="A743" s="82"/>
      <c r="F743" s="93"/>
      <c r="H743" s="85"/>
      <c r="K743" s="86"/>
      <c r="Y743" s="94"/>
    </row>
    <row r="744" ht="15.75" customHeight="1">
      <c r="A744" s="82"/>
      <c r="F744" s="93"/>
      <c r="H744" s="85"/>
      <c r="K744" s="86"/>
      <c r="Y744" s="94"/>
    </row>
    <row r="745" ht="15.75" customHeight="1">
      <c r="A745" s="82"/>
      <c r="F745" s="93"/>
      <c r="H745" s="85"/>
      <c r="K745" s="86"/>
      <c r="Y745" s="94"/>
    </row>
    <row r="746" ht="15.75" customHeight="1">
      <c r="A746" s="82"/>
      <c r="F746" s="93"/>
      <c r="H746" s="85"/>
      <c r="K746" s="86"/>
      <c r="Y746" s="94"/>
    </row>
    <row r="747" ht="15.75" customHeight="1">
      <c r="A747" s="82"/>
      <c r="F747" s="93"/>
      <c r="H747" s="85"/>
      <c r="K747" s="86"/>
      <c r="Y747" s="94"/>
    </row>
    <row r="748" ht="15.75" customHeight="1">
      <c r="A748" s="82"/>
      <c r="F748" s="93"/>
      <c r="H748" s="85"/>
      <c r="K748" s="86"/>
      <c r="Y748" s="94"/>
    </row>
    <row r="749" ht="15.75" customHeight="1">
      <c r="A749" s="82"/>
      <c r="F749" s="93"/>
      <c r="H749" s="85"/>
      <c r="K749" s="86"/>
      <c r="Y749" s="94"/>
    </row>
    <row r="750" ht="15.75" customHeight="1">
      <c r="A750" s="82"/>
      <c r="F750" s="93"/>
      <c r="H750" s="85"/>
      <c r="K750" s="86"/>
      <c r="Y750" s="94"/>
    </row>
    <row r="751" ht="15.75" customHeight="1">
      <c r="A751" s="82"/>
      <c r="F751" s="93"/>
      <c r="H751" s="85"/>
      <c r="K751" s="86"/>
      <c r="Y751" s="94"/>
    </row>
    <row r="752" ht="15.75" customHeight="1">
      <c r="A752" s="82"/>
      <c r="F752" s="93"/>
      <c r="H752" s="85"/>
      <c r="K752" s="86"/>
      <c r="Y752" s="94"/>
    </row>
    <row r="753" ht="15.75" customHeight="1">
      <c r="A753" s="82"/>
      <c r="F753" s="93"/>
      <c r="H753" s="85"/>
      <c r="K753" s="86"/>
      <c r="Y753" s="94"/>
    </row>
    <row r="754" ht="15.75" customHeight="1">
      <c r="A754" s="82"/>
      <c r="F754" s="93"/>
      <c r="H754" s="85"/>
      <c r="K754" s="86"/>
      <c r="Y754" s="94"/>
    </row>
    <row r="755" ht="15.75" customHeight="1">
      <c r="A755" s="82"/>
      <c r="F755" s="93"/>
      <c r="H755" s="85"/>
      <c r="K755" s="86"/>
      <c r="Y755" s="94"/>
    </row>
    <row r="756" ht="15.75" customHeight="1">
      <c r="A756" s="82"/>
      <c r="F756" s="93"/>
      <c r="H756" s="85"/>
      <c r="K756" s="86"/>
      <c r="Y756" s="94"/>
    </row>
    <row r="757" ht="15.75" customHeight="1">
      <c r="A757" s="82"/>
      <c r="F757" s="93"/>
      <c r="H757" s="85"/>
      <c r="K757" s="86"/>
      <c r="Y757" s="94"/>
    </row>
    <row r="758" ht="15.75" customHeight="1">
      <c r="A758" s="82"/>
      <c r="F758" s="93"/>
      <c r="H758" s="85"/>
      <c r="K758" s="86"/>
      <c r="Y758" s="94"/>
    </row>
    <row r="759" ht="15.75" customHeight="1">
      <c r="A759" s="82"/>
      <c r="F759" s="93"/>
      <c r="H759" s="85"/>
      <c r="K759" s="86"/>
      <c r="Y759" s="94"/>
    </row>
    <row r="760" ht="15.75" customHeight="1">
      <c r="A760" s="82"/>
      <c r="F760" s="93"/>
      <c r="H760" s="85"/>
      <c r="K760" s="86"/>
      <c r="Y760" s="94"/>
    </row>
    <row r="761" ht="15.75" customHeight="1">
      <c r="A761" s="82"/>
      <c r="F761" s="93"/>
      <c r="H761" s="85"/>
      <c r="K761" s="86"/>
      <c r="Y761" s="94"/>
    </row>
    <row r="762" ht="15.75" customHeight="1">
      <c r="A762" s="82"/>
      <c r="F762" s="93"/>
      <c r="H762" s="85"/>
      <c r="K762" s="86"/>
      <c r="Y762" s="94"/>
    </row>
    <row r="763" ht="15.75" customHeight="1">
      <c r="A763" s="82"/>
      <c r="F763" s="93"/>
      <c r="H763" s="85"/>
      <c r="K763" s="86"/>
      <c r="Y763" s="94"/>
    </row>
    <row r="764" ht="15.75" customHeight="1">
      <c r="A764" s="82"/>
      <c r="F764" s="93"/>
      <c r="H764" s="85"/>
      <c r="K764" s="86"/>
      <c r="Y764" s="94"/>
    </row>
    <row r="765" ht="15.75" customHeight="1">
      <c r="A765" s="82"/>
      <c r="F765" s="93"/>
      <c r="H765" s="85"/>
      <c r="K765" s="86"/>
      <c r="Y765" s="94"/>
    </row>
    <row r="766" ht="15.75" customHeight="1">
      <c r="A766" s="82"/>
      <c r="F766" s="93"/>
      <c r="H766" s="85"/>
      <c r="K766" s="86"/>
      <c r="Y766" s="94"/>
    </row>
    <row r="767" ht="15.75" customHeight="1">
      <c r="A767" s="82"/>
      <c r="F767" s="93"/>
      <c r="H767" s="85"/>
      <c r="K767" s="86"/>
      <c r="Y767" s="94"/>
    </row>
    <row r="768" ht="15.75" customHeight="1">
      <c r="A768" s="82"/>
      <c r="F768" s="93"/>
      <c r="H768" s="85"/>
      <c r="K768" s="86"/>
      <c r="Y768" s="94"/>
    </row>
    <row r="769" ht="15.75" customHeight="1">
      <c r="A769" s="82"/>
      <c r="F769" s="93"/>
      <c r="H769" s="85"/>
      <c r="K769" s="86"/>
      <c r="Y769" s="94"/>
    </row>
    <row r="770" ht="15.75" customHeight="1">
      <c r="A770" s="82"/>
      <c r="F770" s="93"/>
      <c r="H770" s="85"/>
      <c r="K770" s="86"/>
      <c r="Y770" s="94"/>
    </row>
    <row r="771" ht="15.75" customHeight="1">
      <c r="A771" s="82"/>
      <c r="F771" s="93"/>
      <c r="H771" s="85"/>
      <c r="K771" s="86"/>
      <c r="Y771" s="94"/>
    </row>
    <row r="772" ht="15.75" customHeight="1">
      <c r="A772" s="82"/>
      <c r="F772" s="93"/>
      <c r="H772" s="85"/>
      <c r="K772" s="86"/>
      <c r="Y772" s="94"/>
    </row>
    <row r="773" ht="15.75" customHeight="1">
      <c r="A773" s="82"/>
      <c r="F773" s="93"/>
      <c r="H773" s="85"/>
      <c r="K773" s="86"/>
      <c r="Y773" s="94"/>
    </row>
    <row r="774" ht="15.75" customHeight="1">
      <c r="A774" s="82"/>
      <c r="F774" s="93"/>
      <c r="H774" s="85"/>
      <c r="K774" s="86"/>
      <c r="Y774" s="94"/>
    </row>
    <row r="775" ht="15.75" customHeight="1">
      <c r="A775" s="82"/>
      <c r="F775" s="93"/>
      <c r="H775" s="85"/>
      <c r="K775" s="86"/>
      <c r="Y775" s="94"/>
    </row>
    <row r="776" ht="15.75" customHeight="1">
      <c r="A776" s="82"/>
      <c r="F776" s="93"/>
      <c r="H776" s="85"/>
      <c r="K776" s="86"/>
      <c r="Y776" s="94"/>
    </row>
    <row r="777" ht="15.75" customHeight="1">
      <c r="A777" s="82"/>
      <c r="F777" s="93"/>
      <c r="H777" s="85"/>
      <c r="K777" s="86"/>
      <c r="Y777" s="94"/>
    </row>
    <row r="778" ht="15.75" customHeight="1">
      <c r="A778" s="82"/>
      <c r="F778" s="93"/>
      <c r="H778" s="85"/>
      <c r="K778" s="86"/>
      <c r="Y778" s="94"/>
    </row>
    <row r="779" ht="15.75" customHeight="1">
      <c r="A779" s="82"/>
      <c r="F779" s="93"/>
      <c r="H779" s="85"/>
      <c r="K779" s="86"/>
      <c r="Y779" s="94"/>
    </row>
    <row r="780" ht="15.75" customHeight="1">
      <c r="A780" s="82"/>
      <c r="F780" s="93"/>
      <c r="H780" s="85"/>
      <c r="K780" s="86"/>
      <c r="Y780" s="94"/>
    </row>
    <row r="781" ht="15.75" customHeight="1">
      <c r="A781" s="82"/>
      <c r="F781" s="93"/>
      <c r="H781" s="85"/>
      <c r="K781" s="86"/>
      <c r="Y781" s="94"/>
    </row>
    <row r="782" ht="15.75" customHeight="1">
      <c r="A782" s="82"/>
      <c r="F782" s="93"/>
      <c r="H782" s="85"/>
      <c r="K782" s="86"/>
      <c r="Y782" s="94"/>
    </row>
    <row r="783" ht="15.75" customHeight="1">
      <c r="A783" s="82"/>
      <c r="F783" s="93"/>
      <c r="H783" s="85"/>
      <c r="K783" s="86"/>
      <c r="Y783" s="94"/>
    </row>
    <row r="784" ht="15.75" customHeight="1">
      <c r="A784" s="82"/>
      <c r="F784" s="93"/>
      <c r="H784" s="85"/>
      <c r="K784" s="86"/>
      <c r="Y784" s="94"/>
    </row>
    <row r="785" ht="15.75" customHeight="1">
      <c r="A785" s="82"/>
      <c r="F785" s="93"/>
      <c r="H785" s="85"/>
      <c r="K785" s="86"/>
      <c r="Y785" s="94"/>
    </row>
    <row r="786" ht="15.75" customHeight="1">
      <c r="A786" s="82"/>
      <c r="F786" s="93"/>
      <c r="H786" s="85"/>
      <c r="K786" s="86"/>
      <c r="Y786" s="94"/>
    </row>
    <row r="787" ht="15.75" customHeight="1">
      <c r="A787" s="82"/>
      <c r="F787" s="93"/>
      <c r="H787" s="85"/>
      <c r="K787" s="86"/>
      <c r="Y787" s="94"/>
    </row>
    <row r="788" ht="15.75" customHeight="1">
      <c r="A788" s="82"/>
      <c r="F788" s="93"/>
      <c r="H788" s="85"/>
      <c r="K788" s="86"/>
      <c r="Y788" s="94"/>
    </row>
    <row r="789" ht="15.75" customHeight="1">
      <c r="A789" s="82"/>
      <c r="F789" s="93"/>
      <c r="H789" s="85"/>
      <c r="K789" s="86"/>
      <c r="Y789" s="94"/>
    </row>
    <row r="790" ht="15.75" customHeight="1">
      <c r="A790" s="82"/>
      <c r="F790" s="93"/>
      <c r="H790" s="85"/>
      <c r="K790" s="86"/>
      <c r="Y790" s="94"/>
    </row>
    <row r="791" ht="15.75" customHeight="1">
      <c r="A791" s="82"/>
      <c r="F791" s="93"/>
      <c r="H791" s="85"/>
      <c r="K791" s="86"/>
      <c r="Y791" s="94"/>
    </row>
    <row r="792" ht="15.75" customHeight="1">
      <c r="A792" s="82"/>
      <c r="F792" s="93"/>
      <c r="H792" s="85"/>
      <c r="K792" s="86"/>
      <c r="Y792" s="94"/>
    </row>
    <row r="793" ht="15.75" customHeight="1">
      <c r="A793" s="82"/>
      <c r="F793" s="93"/>
      <c r="H793" s="85"/>
      <c r="K793" s="86"/>
      <c r="Y793" s="94"/>
    </row>
    <row r="794" ht="15.75" customHeight="1">
      <c r="A794" s="82"/>
      <c r="F794" s="93"/>
      <c r="H794" s="85"/>
      <c r="K794" s="86"/>
      <c r="Y794" s="94"/>
    </row>
    <row r="795" ht="15.75" customHeight="1">
      <c r="A795" s="82"/>
      <c r="F795" s="93"/>
      <c r="H795" s="85"/>
      <c r="K795" s="86"/>
      <c r="Y795" s="94"/>
    </row>
    <row r="796" ht="15.75" customHeight="1">
      <c r="A796" s="82"/>
      <c r="F796" s="93"/>
      <c r="H796" s="85"/>
      <c r="K796" s="86"/>
      <c r="Y796" s="94"/>
    </row>
    <row r="797" ht="15.75" customHeight="1">
      <c r="A797" s="82"/>
      <c r="F797" s="93"/>
      <c r="H797" s="85"/>
      <c r="K797" s="86"/>
      <c r="Y797" s="94"/>
    </row>
    <row r="798" ht="15.75" customHeight="1">
      <c r="A798" s="82"/>
      <c r="F798" s="93"/>
      <c r="H798" s="85"/>
      <c r="K798" s="86"/>
      <c r="Y798" s="94"/>
    </row>
    <row r="799" ht="15.75" customHeight="1">
      <c r="A799" s="82"/>
      <c r="F799" s="93"/>
      <c r="H799" s="85"/>
      <c r="K799" s="86"/>
      <c r="Y799" s="94"/>
    </row>
    <row r="800" ht="15.75" customHeight="1">
      <c r="A800" s="82"/>
      <c r="F800" s="93"/>
      <c r="H800" s="85"/>
      <c r="K800" s="86"/>
      <c r="Y800" s="94"/>
    </row>
    <row r="801" ht="15.75" customHeight="1">
      <c r="A801" s="82"/>
      <c r="F801" s="93"/>
      <c r="H801" s="85"/>
      <c r="K801" s="86"/>
      <c r="Y801" s="94"/>
    </row>
    <row r="802" ht="15.75" customHeight="1">
      <c r="A802" s="82"/>
      <c r="F802" s="93"/>
      <c r="H802" s="85"/>
      <c r="K802" s="86"/>
      <c r="Y802" s="94"/>
    </row>
    <row r="803" ht="15.75" customHeight="1">
      <c r="A803" s="82"/>
      <c r="F803" s="93"/>
      <c r="H803" s="85"/>
      <c r="K803" s="86"/>
      <c r="Y803" s="94"/>
    </row>
    <row r="804" ht="15.75" customHeight="1">
      <c r="A804" s="82"/>
      <c r="F804" s="93"/>
      <c r="H804" s="85"/>
      <c r="K804" s="86"/>
      <c r="Y804" s="94"/>
    </row>
    <row r="805" ht="15.75" customHeight="1">
      <c r="A805" s="82"/>
      <c r="F805" s="93"/>
      <c r="H805" s="85"/>
      <c r="K805" s="86"/>
      <c r="Y805" s="94"/>
    </row>
    <row r="806" ht="15.75" customHeight="1">
      <c r="A806" s="82"/>
      <c r="F806" s="93"/>
      <c r="H806" s="85"/>
      <c r="K806" s="86"/>
      <c r="Y806" s="94"/>
    </row>
    <row r="807" ht="15.75" customHeight="1">
      <c r="A807" s="82"/>
      <c r="F807" s="93"/>
      <c r="H807" s="85"/>
      <c r="K807" s="86"/>
      <c r="Y807" s="94"/>
    </row>
    <row r="808" ht="15.75" customHeight="1">
      <c r="A808" s="82"/>
      <c r="F808" s="93"/>
      <c r="H808" s="85"/>
      <c r="K808" s="86"/>
      <c r="Y808" s="94"/>
    </row>
    <row r="809" ht="15.75" customHeight="1">
      <c r="A809" s="82"/>
      <c r="F809" s="93"/>
      <c r="H809" s="85"/>
      <c r="K809" s="86"/>
      <c r="Y809" s="94"/>
    </row>
    <row r="810" ht="15.75" customHeight="1">
      <c r="A810" s="82"/>
      <c r="F810" s="93"/>
      <c r="H810" s="85"/>
      <c r="K810" s="86"/>
      <c r="Y810" s="94"/>
    </row>
    <row r="811" ht="15.75" customHeight="1">
      <c r="A811" s="82"/>
      <c r="F811" s="93"/>
      <c r="H811" s="85"/>
      <c r="K811" s="86"/>
      <c r="Y811" s="94"/>
    </row>
    <row r="812" ht="15.75" customHeight="1">
      <c r="A812" s="82"/>
      <c r="F812" s="93"/>
      <c r="H812" s="85"/>
      <c r="K812" s="86"/>
      <c r="Y812" s="94"/>
    </row>
    <row r="813" ht="15.75" customHeight="1">
      <c r="A813" s="82"/>
      <c r="F813" s="93"/>
      <c r="H813" s="85"/>
      <c r="K813" s="86"/>
      <c r="Y813" s="94"/>
    </row>
    <row r="814" ht="15.75" customHeight="1">
      <c r="A814" s="82"/>
      <c r="F814" s="93"/>
      <c r="H814" s="85"/>
      <c r="K814" s="86"/>
      <c r="Y814" s="94"/>
    </row>
    <row r="815" ht="15.75" customHeight="1">
      <c r="A815" s="82"/>
      <c r="F815" s="93"/>
      <c r="H815" s="85"/>
      <c r="K815" s="86"/>
      <c r="Y815" s="94"/>
    </row>
    <row r="816" ht="15.75" customHeight="1">
      <c r="A816" s="82"/>
      <c r="F816" s="93"/>
      <c r="H816" s="85"/>
      <c r="K816" s="86"/>
      <c r="Y816" s="94"/>
    </row>
    <row r="817" ht="15.75" customHeight="1">
      <c r="A817" s="82"/>
      <c r="F817" s="93"/>
      <c r="H817" s="85"/>
      <c r="K817" s="86"/>
      <c r="Y817" s="94"/>
    </row>
    <row r="818" ht="15.75" customHeight="1">
      <c r="A818" s="82"/>
      <c r="F818" s="93"/>
      <c r="H818" s="85"/>
      <c r="K818" s="86"/>
      <c r="Y818" s="94"/>
    </row>
    <row r="819" ht="15.75" customHeight="1">
      <c r="A819" s="82"/>
      <c r="F819" s="93"/>
      <c r="H819" s="85"/>
      <c r="K819" s="86"/>
      <c r="Y819" s="94"/>
    </row>
    <row r="820" ht="15.75" customHeight="1">
      <c r="A820" s="82"/>
      <c r="F820" s="93"/>
      <c r="H820" s="85"/>
      <c r="K820" s="86"/>
      <c r="Y820" s="94"/>
    </row>
    <row r="821" ht="15.75" customHeight="1">
      <c r="A821" s="82"/>
      <c r="F821" s="93"/>
      <c r="H821" s="85"/>
      <c r="K821" s="86"/>
      <c r="Y821" s="94"/>
    </row>
    <row r="822" ht="15.75" customHeight="1">
      <c r="A822" s="82"/>
      <c r="F822" s="93"/>
      <c r="H822" s="85"/>
      <c r="K822" s="86"/>
      <c r="Y822" s="94"/>
    </row>
    <row r="823" ht="15.75" customHeight="1">
      <c r="A823" s="82"/>
      <c r="F823" s="93"/>
      <c r="H823" s="85"/>
      <c r="K823" s="86"/>
      <c r="Y823" s="94"/>
    </row>
    <row r="824" ht="15.75" customHeight="1">
      <c r="A824" s="82"/>
      <c r="F824" s="93"/>
      <c r="H824" s="85"/>
      <c r="K824" s="86"/>
      <c r="Y824" s="94"/>
    </row>
    <row r="825" ht="15.75" customHeight="1">
      <c r="A825" s="82"/>
      <c r="F825" s="93"/>
      <c r="H825" s="85"/>
      <c r="K825" s="86"/>
      <c r="Y825" s="94"/>
    </row>
    <row r="826" ht="15.75" customHeight="1">
      <c r="A826" s="82"/>
      <c r="F826" s="93"/>
      <c r="H826" s="85"/>
      <c r="K826" s="86"/>
      <c r="Y826" s="94"/>
    </row>
    <row r="827" ht="15.75" customHeight="1">
      <c r="A827" s="82"/>
      <c r="F827" s="93"/>
      <c r="H827" s="85"/>
      <c r="K827" s="86"/>
      <c r="Y827" s="94"/>
    </row>
    <row r="828" ht="15.75" customHeight="1">
      <c r="A828" s="82"/>
      <c r="F828" s="93"/>
      <c r="H828" s="85"/>
      <c r="K828" s="86"/>
      <c r="Y828" s="94"/>
    </row>
    <row r="829" ht="15.75" customHeight="1">
      <c r="A829" s="82"/>
      <c r="F829" s="93"/>
      <c r="H829" s="85"/>
      <c r="K829" s="86"/>
      <c r="Y829" s="94"/>
    </row>
    <row r="830" ht="15.75" customHeight="1">
      <c r="A830" s="82"/>
      <c r="F830" s="93"/>
      <c r="H830" s="85"/>
      <c r="K830" s="86"/>
      <c r="Y830" s="94"/>
    </row>
    <row r="831" ht="15.75" customHeight="1">
      <c r="A831" s="82"/>
      <c r="F831" s="93"/>
      <c r="H831" s="85"/>
      <c r="K831" s="86"/>
      <c r="Y831" s="94"/>
    </row>
    <row r="832" ht="15.75" customHeight="1">
      <c r="A832" s="82"/>
      <c r="F832" s="93"/>
      <c r="H832" s="85"/>
      <c r="K832" s="86"/>
      <c r="Y832" s="94"/>
    </row>
    <row r="833" ht="15.75" customHeight="1">
      <c r="A833" s="82"/>
      <c r="F833" s="93"/>
      <c r="H833" s="85"/>
      <c r="K833" s="86"/>
      <c r="Y833" s="94"/>
    </row>
    <row r="834" ht="15.75" customHeight="1">
      <c r="A834" s="82"/>
      <c r="F834" s="93"/>
      <c r="H834" s="85"/>
      <c r="K834" s="86"/>
      <c r="Y834" s="94"/>
    </row>
    <row r="835" ht="15.75" customHeight="1">
      <c r="A835" s="82"/>
      <c r="F835" s="93"/>
      <c r="H835" s="85"/>
      <c r="K835" s="86"/>
      <c r="Y835" s="94"/>
    </row>
    <row r="836" ht="15.75" customHeight="1">
      <c r="A836" s="82"/>
      <c r="F836" s="93"/>
      <c r="H836" s="85"/>
      <c r="K836" s="86"/>
      <c r="Y836" s="94"/>
    </row>
    <row r="837" ht="15.75" customHeight="1">
      <c r="A837" s="82"/>
      <c r="F837" s="93"/>
      <c r="H837" s="85"/>
      <c r="K837" s="86"/>
      <c r="Y837" s="94"/>
    </row>
    <row r="838" ht="15.75" customHeight="1">
      <c r="A838" s="82"/>
      <c r="F838" s="93"/>
      <c r="H838" s="85"/>
      <c r="K838" s="86"/>
      <c r="Y838" s="94"/>
    </row>
    <row r="839" ht="15.75" customHeight="1">
      <c r="A839" s="82"/>
      <c r="F839" s="93"/>
      <c r="H839" s="85"/>
      <c r="K839" s="86"/>
      <c r="Y839" s="94"/>
    </row>
    <row r="840" ht="15.75" customHeight="1">
      <c r="A840" s="82"/>
      <c r="F840" s="93"/>
      <c r="H840" s="85"/>
      <c r="K840" s="86"/>
      <c r="Y840" s="94"/>
    </row>
    <row r="841" ht="15.75" customHeight="1">
      <c r="A841" s="82"/>
      <c r="F841" s="93"/>
      <c r="H841" s="85"/>
      <c r="K841" s="86"/>
      <c r="Y841" s="94"/>
    </row>
    <row r="842" ht="15.75" customHeight="1">
      <c r="A842" s="82"/>
      <c r="F842" s="93"/>
      <c r="H842" s="85"/>
      <c r="K842" s="86"/>
      <c r="Y842" s="94"/>
    </row>
    <row r="843" ht="15.75" customHeight="1">
      <c r="A843" s="82"/>
      <c r="F843" s="93"/>
      <c r="H843" s="85"/>
      <c r="K843" s="86"/>
      <c r="Y843" s="94"/>
    </row>
    <row r="844" ht="15.75" customHeight="1">
      <c r="A844" s="82"/>
      <c r="F844" s="93"/>
      <c r="H844" s="85"/>
      <c r="K844" s="86"/>
      <c r="Y844" s="94"/>
    </row>
    <row r="845" ht="15.75" customHeight="1">
      <c r="A845" s="82"/>
      <c r="F845" s="93"/>
      <c r="H845" s="85"/>
      <c r="K845" s="86"/>
      <c r="Y845" s="94"/>
    </row>
    <row r="846" ht="15.75" customHeight="1">
      <c r="A846" s="82"/>
      <c r="F846" s="93"/>
      <c r="H846" s="85"/>
      <c r="K846" s="86"/>
      <c r="Y846" s="94"/>
    </row>
    <row r="847" ht="15.75" customHeight="1">
      <c r="A847" s="82"/>
      <c r="F847" s="93"/>
      <c r="H847" s="85"/>
      <c r="K847" s="86"/>
      <c r="Y847" s="94"/>
    </row>
    <row r="848" ht="15.75" customHeight="1">
      <c r="A848" s="82"/>
      <c r="F848" s="93"/>
      <c r="H848" s="85"/>
      <c r="K848" s="86"/>
      <c r="Y848" s="94"/>
    </row>
    <row r="849" ht="15.75" customHeight="1">
      <c r="A849" s="82"/>
      <c r="F849" s="93"/>
      <c r="H849" s="85"/>
      <c r="K849" s="86"/>
      <c r="Y849" s="94"/>
    </row>
    <row r="850" ht="15.75" customHeight="1">
      <c r="A850" s="82"/>
      <c r="F850" s="93"/>
      <c r="H850" s="85"/>
      <c r="K850" s="86"/>
      <c r="Y850" s="94"/>
    </row>
    <row r="851" ht="15.75" customHeight="1">
      <c r="A851" s="82"/>
      <c r="F851" s="93"/>
      <c r="H851" s="85"/>
      <c r="K851" s="86"/>
      <c r="Y851" s="94"/>
    </row>
    <row r="852" ht="15.75" customHeight="1">
      <c r="A852" s="82"/>
      <c r="F852" s="93"/>
      <c r="H852" s="85"/>
      <c r="K852" s="86"/>
      <c r="Y852" s="94"/>
    </row>
    <row r="853" ht="15.75" customHeight="1">
      <c r="A853" s="82"/>
      <c r="F853" s="93"/>
      <c r="H853" s="85"/>
      <c r="K853" s="86"/>
      <c r="Y853" s="94"/>
    </row>
    <row r="854" ht="15.75" customHeight="1">
      <c r="A854" s="82"/>
      <c r="F854" s="93"/>
      <c r="H854" s="85"/>
      <c r="K854" s="86"/>
      <c r="Y854" s="94"/>
    </row>
    <row r="855" ht="15.75" customHeight="1">
      <c r="A855" s="82"/>
      <c r="F855" s="93"/>
      <c r="H855" s="85"/>
      <c r="K855" s="86"/>
      <c r="Y855" s="94"/>
    </row>
    <row r="856" ht="15.75" customHeight="1">
      <c r="A856" s="82"/>
      <c r="F856" s="93"/>
      <c r="H856" s="85"/>
      <c r="K856" s="86"/>
      <c r="Y856" s="94"/>
    </row>
    <row r="857" ht="15.75" customHeight="1">
      <c r="A857" s="82"/>
      <c r="F857" s="93"/>
      <c r="H857" s="85"/>
      <c r="K857" s="86"/>
      <c r="Y857" s="94"/>
    </row>
    <row r="858" ht="15.75" customHeight="1">
      <c r="A858" s="82"/>
      <c r="F858" s="93"/>
      <c r="H858" s="85"/>
      <c r="K858" s="86"/>
      <c r="Y858" s="94"/>
    </row>
    <row r="859" ht="15.75" customHeight="1">
      <c r="A859" s="82"/>
      <c r="F859" s="93"/>
      <c r="H859" s="85"/>
      <c r="K859" s="86"/>
      <c r="Y859" s="94"/>
    </row>
    <row r="860" ht="15.75" customHeight="1">
      <c r="A860" s="82"/>
      <c r="F860" s="93"/>
      <c r="H860" s="85"/>
      <c r="K860" s="86"/>
      <c r="Y860" s="94"/>
    </row>
    <row r="861" ht="15.75" customHeight="1">
      <c r="A861" s="82"/>
      <c r="F861" s="93"/>
      <c r="H861" s="85"/>
      <c r="K861" s="86"/>
      <c r="Y861" s="94"/>
    </row>
    <row r="862" ht="15.75" customHeight="1">
      <c r="A862" s="82"/>
      <c r="F862" s="93"/>
      <c r="H862" s="85"/>
      <c r="K862" s="86"/>
      <c r="Y862" s="94"/>
    </row>
    <row r="863" ht="15.75" customHeight="1">
      <c r="A863" s="82"/>
      <c r="F863" s="93"/>
      <c r="H863" s="85"/>
      <c r="K863" s="86"/>
      <c r="Y863" s="94"/>
    </row>
    <row r="864" ht="15.75" customHeight="1">
      <c r="A864" s="82"/>
      <c r="F864" s="93"/>
      <c r="H864" s="85"/>
      <c r="K864" s="86"/>
      <c r="Y864" s="94"/>
    </row>
    <row r="865" ht="15.75" customHeight="1">
      <c r="A865" s="82"/>
      <c r="F865" s="93"/>
      <c r="H865" s="85"/>
      <c r="K865" s="86"/>
      <c r="Y865" s="94"/>
    </row>
    <row r="866" ht="15.75" customHeight="1">
      <c r="A866" s="82"/>
      <c r="F866" s="93"/>
      <c r="H866" s="85"/>
      <c r="K866" s="86"/>
      <c r="Y866" s="94"/>
    </row>
    <row r="867" ht="15.75" customHeight="1">
      <c r="A867" s="82"/>
      <c r="F867" s="93"/>
      <c r="H867" s="85"/>
      <c r="K867" s="86"/>
      <c r="Y867" s="94"/>
    </row>
    <row r="868" ht="15.75" customHeight="1">
      <c r="A868" s="82"/>
      <c r="F868" s="93"/>
      <c r="H868" s="85"/>
      <c r="K868" s="86"/>
      <c r="Y868" s="94"/>
    </row>
    <row r="869" ht="15.75" customHeight="1">
      <c r="A869" s="82"/>
      <c r="F869" s="93"/>
      <c r="H869" s="85"/>
      <c r="K869" s="86"/>
      <c r="Y869" s="94"/>
    </row>
    <row r="870" ht="15.75" customHeight="1">
      <c r="A870" s="82"/>
      <c r="F870" s="93"/>
      <c r="H870" s="85"/>
      <c r="K870" s="86"/>
      <c r="Y870" s="94"/>
    </row>
    <row r="871" ht="15.75" customHeight="1">
      <c r="A871" s="82"/>
      <c r="F871" s="93"/>
      <c r="H871" s="85"/>
      <c r="K871" s="86"/>
      <c r="Y871" s="94"/>
    </row>
    <row r="872" ht="15.75" customHeight="1">
      <c r="A872" s="82"/>
      <c r="F872" s="93"/>
      <c r="H872" s="85"/>
      <c r="K872" s="86"/>
      <c r="Y872" s="94"/>
    </row>
    <row r="873" ht="15.75" customHeight="1">
      <c r="A873" s="82"/>
      <c r="F873" s="93"/>
      <c r="H873" s="85"/>
      <c r="K873" s="86"/>
      <c r="Y873" s="94"/>
    </row>
    <row r="874" ht="15.75" customHeight="1">
      <c r="A874" s="82"/>
      <c r="F874" s="93"/>
      <c r="H874" s="85"/>
      <c r="K874" s="86"/>
      <c r="Y874" s="94"/>
    </row>
    <row r="875" ht="15.75" customHeight="1">
      <c r="A875" s="82"/>
      <c r="F875" s="93"/>
      <c r="H875" s="85"/>
      <c r="K875" s="86"/>
      <c r="Y875" s="94"/>
    </row>
    <row r="876" ht="15.75" customHeight="1">
      <c r="A876" s="82"/>
      <c r="F876" s="93"/>
      <c r="H876" s="85"/>
      <c r="K876" s="86"/>
      <c r="Y876" s="94"/>
    </row>
    <row r="877" ht="15.75" customHeight="1">
      <c r="A877" s="82"/>
      <c r="F877" s="93"/>
      <c r="H877" s="85"/>
      <c r="K877" s="86"/>
      <c r="Y877" s="94"/>
    </row>
    <row r="878" ht="15.75" customHeight="1">
      <c r="A878" s="82"/>
      <c r="F878" s="93"/>
      <c r="H878" s="85"/>
      <c r="K878" s="86"/>
      <c r="Y878" s="94"/>
    </row>
    <row r="879" ht="15.75" customHeight="1">
      <c r="A879" s="82"/>
      <c r="F879" s="93"/>
      <c r="H879" s="85"/>
      <c r="K879" s="86"/>
      <c r="Y879" s="94"/>
    </row>
    <row r="880" ht="15.75" customHeight="1">
      <c r="A880" s="82"/>
      <c r="F880" s="93"/>
      <c r="H880" s="85"/>
      <c r="K880" s="86"/>
      <c r="Y880" s="94"/>
    </row>
    <row r="881" ht="15.75" customHeight="1">
      <c r="A881" s="82"/>
      <c r="F881" s="93"/>
      <c r="H881" s="85"/>
      <c r="K881" s="86"/>
      <c r="Y881" s="94"/>
    </row>
    <row r="882" ht="15.75" customHeight="1">
      <c r="A882" s="82"/>
      <c r="F882" s="93"/>
      <c r="H882" s="85"/>
      <c r="K882" s="86"/>
      <c r="Y882" s="94"/>
    </row>
    <row r="883" ht="15.75" customHeight="1">
      <c r="A883" s="82"/>
      <c r="F883" s="93"/>
      <c r="H883" s="85"/>
      <c r="K883" s="86"/>
      <c r="Y883" s="94"/>
    </row>
    <row r="884" ht="15.75" customHeight="1">
      <c r="A884" s="82"/>
      <c r="F884" s="93"/>
      <c r="H884" s="85"/>
      <c r="K884" s="86"/>
      <c r="Y884" s="94"/>
    </row>
    <row r="885" ht="15.75" customHeight="1">
      <c r="A885" s="82"/>
      <c r="F885" s="93"/>
      <c r="H885" s="85"/>
      <c r="K885" s="86"/>
      <c r="Y885" s="94"/>
    </row>
    <row r="886" ht="15.75" customHeight="1">
      <c r="A886" s="82"/>
      <c r="F886" s="93"/>
      <c r="H886" s="85"/>
      <c r="K886" s="86"/>
      <c r="Y886" s="94"/>
    </row>
    <row r="887" ht="15.75" customHeight="1">
      <c r="A887" s="82"/>
      <c r="F887" s="93"/>
      <c r="H887" s="85"/>
      <c r="K887" s="86"/>
      <c r="Y887" s="94"/>
    </row>
    <row r="888" ht="15.75" customHeight="1">
      <c r="A888" s="82"/>
      <c r="F888" s="93"/>
      <c r="H888" s="85"/>
      <c r="K888" s="86"/>
      <c r="Y888" s="94"/>
    </row>
    <row r="889" ht="15.75" customHeight="1">
      <c r="A889" s="82"/>
      <c r="F889" s="93"/>
      <c r="H889" s="85"/>
      <c r="K889" s="86"/>
      <c r="Y889" s="94"/>
    </row>
    <row r="890" ht="15.75" customHeight="1">
      <c r="A890" s="82"/>
      <c r="F890" s="93"/>
      <c r="H890" s="85"/>
      <c r="K890" s="86"/>
      <c r="Y890" s="94"/>
    </row>
    <row r="891" ht="15.75" customHeight="1">
      <c r="A891" s="82"/>
      <c r="F891" s="93"/>
      <c r="H891" s="85"/>
      <c r="K891" s="86"/>
      <c r="Y891" s="94"/>
    </row>
    <row r="892" ht="15.75" customHeight="1">
      <c r="A892" s="82"/>
      <c r="F892" s="93"/>
      <c r="H892" s="85"/>
      <c r="K892" s="86"/>
      <c r="Y892" s="94"/>
    </row>
    <row r="893" ht="15.75" customHeight="1">
      <c r="A893" s="82"/>
      <c r="F893" s="93"/>
      <c r="H893" s="85"/>
      <c r="K893" s="86"/>
      <c r="Y893" s="94"/>
    </row>
    <row r="894" ht="15.75" customHeight="1">
      <c r="A894" s="82"/>
      <c r="F894" s="93"/>
      <c r="H894" s="85"/>
      <c r="K894" s="86"/>
      <c r="Y894" s="94"/>
    </row>
    <row r="895" ht="15.75" customHeight="1">
      <c r="A895" s="82"/>
      <c r="F895" s="93"/>
      <c r="H895" s="85"/>
      <c r="K895" s="86"/>
      <c r="Y895" s="94"/>
    </row>
    <row r="896" ht="15.75" customHeight="1">
      <c r="A896" s="82"/>
      <c r="F896" s="93"/>
      <c r="H896" s="85"/>
      <c r="K896" s="86"/>
      <c r="Y896" s="94"/>
    </row>
    <row r="897" ht="15.75" customHeight="1">
      <c r="A897" s="82"/>
      <c r="F897" s="93"/>
      <c r="H897" s="85"/>
      <c r="K897" s="86"/>
      <c r="Y897" s="94"/>
    </row>
    <row r="898" ht="15.75" customHeight="1">
      <c r="A898" s="82"/>
      <c r="F898" s="93"/>
      <c r="H898" s="85"/>
      <c r="K898" s="86"/>
      <c r="Y898" s="94"/>
    </row>
    <row r="899" ht="15.75" customHeight="1">
      <c r="A899" s="82"/>
      <c r="F899" s="93"/>
      <c r="H899" s="85"/>
      <c r="K899" s="86"/>
      <c r="Y899" s="94"/>
    </row>
    <row r="900" ht="15.75" customHeight="1">
      <c r="A900" s="82"/>
      <c r="F900" s="93"/>
      <c r="H900" s="85"/>
      <c r="K900" s="86"/>
      <c r="Y900" s="94"/>
    </row>
    <row r="901" ht="15.75" customHeight="1">
      <c r="A901" s="82"/>
      <c r="F901" s="93"/>
      <c r="H901" s="85"/>
      <c r="K901" s="86"/>
      <c r="Y901" s="94"/>
    </row>
    <row r="902" ht="15.75" customHeight="1">
      <c r="A902" s="82"/>
      <c r="F902" s="93"/>
      <c r="H902" s="85"/>
      <c r="K902" s="86"/>
      <c r="Y902" s="94"/>
    </row>
    <row r="903" ht="15.75" customHeight="1">
      <c r="A903" s="82"/>
      <c r="F903" s="93"/>
      <c r="H903" s="85"/>
      <c r="K903" s="86"/>
      <c r="Y903" s="94"/>
    </row>
    <row r="904" ht="15.75" customHeight="1">
      <c r="A904" s="82"/>
      <c r="F904" s="93"/>
      <c r="H904" s="85"/>
      <c r="K904" s="86"/>
      <c r="Y904" s="94"/>
    </row>
    <row r="905" ht="15.75" customHeight="1">
      <c r="A905" s="82"/>
      <c r="F905" s="93"/>
      <c r="H905" s="85"/>
      <c r="K905" s="86"/>
      <c r="Y905" s="94"/>
    </row>
    <row r="906" ht="15.75" customHeight="1">
      <c r="A906" s="82"/>
      <c r="F906" s="93"/>
      <c r="H906" s="85"/>
      <c r="K906" s="86"/>
      <c r="Y906" s="94"/>
    </row>
    <row r="907" ht="15.75" customHeight="1">
      <c r="A907" s="82"/>
      <c r="F907" s="93"/>
      <c r="H907" s="85"/>
      <c r="K907" s="86"/>
      <c r="Y907" s="94"/>
    </row>
    <row r="908" ht="15.75" customHeight="1">
      <c r="A908" s="82"/>
      <c r="F908" s="93"/>
      <c r="H908" s="85"/>
      <c r="K908" s="86"/>
      <c r="Y908" s="94"/>
    </row>
    <row r="909" ht="15.75" customHeight="1">
      <c r="A909" s="82"/>
      <c r="F909" s="93"/>
      <c r="H909" s="85"/>
      <c r="K909" s="86"/>
      <c r="Y909" s="94"/>
    </row>
    <row r="910" ht="15.75" customHeight="1">
      <c r="A910" s="82"/>
      <c r="F910" s="93"/>
      <c r="H910" s="85"/>
      <c r="K910" s="86"/>
      <c r="Y910" s="94"/>
    </row>
    <row r="911" ht="15.75" customHeight="1">
      <c r="A911" s="82"/>
      <c r="F911" s="93"/>
      <c r="H911" s="85"/>
      <c r="K911" s="86"/>
      <c r="Y911" s="94"/>
    </row>
    <row r="912" ht="15.75" customHeight="1">
      <c r="A912" s="82"/>
      <c r="F912" s="93"/>
      <c r="H912" s="85"/>
      <c r="K912" s="86"/>
      <c r="Y912" s="94"/>
    </row>
    <row r="913" ht="15.75" customHeight="1">
      <c r="A913" s="82"/>
      <c r="F913" s="93"/>
      <c r="H913" s="85"/>
      <c r="K913" s="86"/>
      <c r="Y913" s="94"/>
    </row>
    <row r="914" ht="15.75" customHeight="1">
      <c r="A914" s="82"/>
      <c r="F914" s="93"/>
      <c r="H914" s="85"/>
      <c r="K914" s="86"/>
      <c r="Y914" s="94"/>
    </row>
    <row r="915" ht="15.75" customHeight="1">
      <c r="A915" s="82"/>
      <c r="F915" s="93"/>
      <c r="H915" s="85"/>
      <c r="K915" s="86"/>
      <c r="Y915" s="94"/>
    </row>
    <row r="916" ht="15.75" customHeight="1">
      <c r="A916" s="82"/>
      <c r="F916" s="93"/>
      <c r="H916" s="85"/>
      <c r="K916" s="86"/>
      <c r="Y916" s="94"/>
    </row>
    <row r="917" ht="15.75" customHeight="1">
      <c r="A917" s="82"/>
      <c r="F917" s="93"/>
      <c r="H917" s="85"/>
      <c r="K917" s="86"/>
      <c r="Y917" s="94"/>
    </row>
    <row r="918" ht="15.75" customHeight="1">
      <c r="A918" s="82"/>
      <c r="F918" s="93"/>
      <c r="H918" s="85"/>
      <c r="K918" s="86"/>
      <c r="Y918" s="94"/>
    </row>
    <row r="919" ht="15.75" customHeight="1">
      <c r="A919" s="82"/>
      <c r="F919" s="93"/>
      <c r="H919" s="85"/>
      <c r="K919" s="86"/>
      <c r="Y919" s="94"/>
    </row>
    <row r="920" ht="15.75" customHeight="1">
      <c r="A920" s="82"/>
      <c r="F920" s="93"/>
      <c r="H920" s="85"/>
      <c r="K920" s="86"/>
      <c r="Y920" s="94"/>
    </row>
    <row r="921" ht="15.75" customHeight="1">
      <c r="A921" s="82"/>
      <c r="F921" s="93"/>
      <c r="H921" s="85"/>
      <c r="K921" s="86"/>
      <c r="Y921" s="94"/>
    </row>
    <row r="922" ht="15.75" customHeight="1">
      <c r="A922" s="82"/>
      <c r="F922" s="93"/>
      <c r="H922" s="85"/>
      <c r="K922" s="86"/>
      <c r="Y922" s="94"/>
    </row>
    <row r="923" ht="15.75" customHeight="1">
      <c r="A923" s="82"/>
      <c r="F923" s="93"/>
      <c r="H923" s="85"/>
      <c r="K923" s="86"/>
      <c r="Y923" s="94"/>
    </row>
    <row r="924" ht="15.75" customHeight="1">
      <c r="A924" s="82"/>
      <c r="F924" s="93"/>
      <c r="H924" s="85"/>
      <c r="K924" s="86"/>
      <c r="Y924" s="94"/>
    </row>
    <row r="925" ht="15.75" customHeight="1">
      <c r="A925" s="82"/>
      <c r="F925" s="93"/>
      <c r="H925" s="85"/>
      <c r="K925" s="86"/>
      <c r="Y925" s="94"/>
    </row>
    <row r="926" ht="15.75" customHeight="1">
      <c r="A926" s="82"/>
      <c r="F926" s="93"/>
      <c r="H926" s="85"/>
      <c r="K926" s="86"/>
      <c r="Y926" s="94"/>
    </row>
    <row r="927" ht="15.75" customHeight="1">
      <c r="A927" s="82"/>
      <c r="F927" s="93"/>
      <c r="H927" s="85"/>
      <c r="K927" s="86"/>
      <c r="Y927" s="94"/>
    </row>
    <row r="928" ht="15.75" customHeight="1">
      <c r="A928" s="82"/>
      <c r="F928" s="93"/>
      <c r="H928" s="85"/>
      <c r="K928" s="86"/>
      <c r="Y928" s="94"/>
    </row>
    <row r="929" ht="15.75" customHeight="1">
      <c r="A929" s="82"/>
      <c r="F929" s="93"/>
      <c r="H929" s="85"/>
      <c r="K929" s="86"/>
      <c r="Y929" s="94"/>
    </row>
    <row r="930" ht="15.75" customHeight="1">
      <c r="A930" s="82"/>
      <c r="F930" s="93"/>
      <c r="H930" s="85"/>
      <c r="K930" s="86"/>
      <c r="Y930" s="94"/>
    </row>
    <row r="931" ht="15.75" customHeight="1">
      <c r="A931" s="82"/>
      <c r="F931" s="93"/>
      <c r="H931" s="85"/>
      <c r="K931" s="86"/>
      <c r="Y931" s="94"/>
    </row>
    <row r="932" ht="15.75" customHeight="1">
      <c r="A932" s="82"/>
      <c r="F932" s="93"/>
      <c r="H932" s="85"/>
      <c r="K932" s="86"/>
      <c r="Y932" s="94"/>
    </row>
    <row r="933" ht="15.75" customHeight="1">
      <c r="A933" s="82"/>
      <c r="F933" s="93"/>
      <c r="H933" s="85"/>
      <c r="K933" s="86"/>
      <c r="Y933" s="94"/>
    </row>
    <row r="934" ht="15.75" customHeight="1">
      <c r="A934" s="82"/>
      <c r="F934" s="93"/>
      <c r="H934" s="85"/>
      <c r="K934" s="86"/>
      <c r="Y934" s="94"/>
    </row>
    <row r="935" ht="15.75" customHeight="1">
      <c r="A935" s="82"/>
      <c r="F935" s="93"/>
      <c r="H935" s="85"/>
      <c r="K935" s="86"/>
      <c r="Y935" s="94"/>
    </row>
    <row r="936" ht="15.75" customHeight="1">
      <c r="A936" s="82"/>
      <c r="F936" s="93"/>
      <c r="H936" s="85"/>
      <c r="K936" s="86"/>
      <c r="Y936" s="94"/>
    </row>
    <row r="937" ht="15.75" customHeight="1">
      <c r="A937" s="82"/>
      <c r="F937" s="93"/>
      <c r="H937" s="85"/>
      <c r="K937" s="86"/>
      <c r="Y937" s="94"/>
    </row>
    <row r="938" ht="15.75" customHeight="1">
      <c r="A938" s="82"/>
      <c r="F938" s="93"/>
      <c r="H938" s="85"/>
      <c r="K938" s="86"/>
      <c r="Y938" s="94"/>
    </row>
    <row r="939" ht="15.75" customHeight="1">
      <c r="A939" s="82"/>
      <c r="F939" s="93"/>
      <c r="H939" s="85"/>
      <c r="K939" s="86"/>
      <c r="Y939" s="94"/>
    </row>
    <row r="940" ht="15.75" customHeight="1">
      <c r="A940" s="82"/>
      <c r="F940" s="93"/>
      <c r="H940" s="85"/>
      <c r="K940" s="86"/>
      <c r="Y940" s="94"/>
    </row>
    <row r="941" ht="15.75" customHeight="1">
      <c r="A941" s="82"/>
      <c r="F941" s="93"/>
      <c r="H941" s="85"/>
      <c r="K941" s="86"/>
      <c r="Y941" s="94"/>
    </row>
    <row r="942" ht="15.75" customHeight="1">
      <c r="A942" s="82"/>
      <c r="F942" s="93"/>
      <c r="H942" s="85"/>
      <c r="K942" s="86"/>
      <c r="Y942" s="94"/>
    </row>
    <row r="943" ht="15.75" customHeight="1">
      <c r="A943" s="82"/>
      <c r="F943" s="93"/>
      <c r="H943" s="85"/>
      <c r="K943" s="86"/>
      <c r="Y943" s="94"/>
    </row>
    <row r="944" ht="15.75" customHeight="1">
      <c r="A944" s="82"/>
      <c r="F944" s="93"/>
      <c r="H944" s="85"/>
      <c r="K944" s="86"/>
      <c r="Y944" s="94"/>
    </row>
    <row r="945" ht="15.75" customHeight="1">
      <c r="A945" s="82"/>
      <c r="F945" s="93"/>
      <c r="H945" s="85"/>
      <c r="K945" s="86"/>
      <c r="Y945" s="94"/>
    </row>
    <row r="946" ht="15.75" customHeight="1">
      <c r="A946" s="82"/>
      <c r="F946" s="93"/>
      <c r="H946" s="85"/>
      <c r="K946" s="86"/>
      <c r="Y946" s="94"/>
    </row>
    <row r="947" ht="15.75" customHeight="1">
      <c r="A947" s="82"/>
      <c r="F947" s="93"/>
      <c r="H947" s="85"/>
      <c r="K947" s="86"/>
      <c r="Y947" s="94"/>
    </row>
    <row r="948" ht="15.75" customHeight="1">
      <c r="A948" s="82"/>
      <c r="F948" s="93"/>
      <c r="H948" s="85"/>
      <c r="K948" s="86"/>
      <c r="Y948" s="94"/>
    </row>
    <row r="949" ht="15.75" customHeight="1">
      <c r="A949" s="82"/>
      <c r="F949" s="93"/>
      <c r="H949" s="85"/>
      <c r="K949" s="86"/>
      <c r="Y949" s="94"/>
    </row>
    <row r="950" ht="15.75" customHeight="1">
      <c r="A950" s="82"/>
      <c r="F950" s="93"/>
      <c r="H950" s="85"/>
      <c r="K950" s="86"/>
      <c r="Y950" s="94"/>
    </row>
    <row r="951" ht="15.75" customHeight="1">
      <c r="A951" s="82"/>
      <c r="F951" s="93"/>
      <c r="H951" s="85"/>
      <c r="K951" s="86"/>
      <c r="Y951" s="94"/>
    </row>
    <row r="952" ht="15.75" customHeight="1">
      <c r="A952" s="82"/>
      <c r="F952" s="93"/>
      <c r="H952" s="85"/>
      <c r="K952" s="86"/>
      <c r="Y952" s="94"/>
    </row>
    <row r="953" ht="15.75" customHeight="1">
      <c r="A953" s="82"/>
      <c r="F953" s="93"/>
      <c r="H953" s="85"/>
      <c r="K953" s="86"/>
      <c r="Y953" s="94"/>
    </row>
    <row r="954" ht="15.75" customHeight="1">
      <c r="A954" s="82"/>
      <c r="F954" s="93"/>
      <c r="H954" s="85"/>
      <c r="K954" s="86"/>
      <c r="Y954" s="94"/>
    </row>
    <row r="955" ht="15.75" customHeight="1">
      <c r="A955" s="82"/>
      <c r="F955" s="93"/>
      <c r="H955" s="85"/>
      <c r="K955" s="86"/>
      <c r="Y955" s="94"/>
    </row>
    <row r="956" ht="15.75" customHeight="1">
      <c r="A956" s="82"/>
      <c r="F956" s="93"/>
      <c r="H956" s="85"/>
      <c r="K956" s="86"/>
      <c r="Y956" s="94"/>
    </row>
    <row r="957" ht="15.75" customHeight="1">
      <c r="A957" s="82"/>
      <c r="F957" s="93"/>
      <c r="H957" s="85"/>
      <c r="K957" s="86"/>
      <c r="Y957" s="94"/>
    </row>
    <row r="958" ht="15.75" customHeight="1">
      <c r="A958" s="82"/>
      <c r="F958" s="93"/>
      <c r="H958" s="85"/>
      <c r="K958" s="86"/>
      <c r="Y958" s="94"/>
    </row>
    <row r="959" ht="15.75" customHeight="1">
      <c r="A959" s="82"/>
      <c r="F959" s="93"/>
      <c r="H959" s="85"/>
      <c r="K959" s="86"/>
      <c r="Y959" s="94"/>
    </row>
    <row r="960" ht="15.75" customHeight="1">
      <c r="A960" s="82"/>
      <c r="F960" s="93"/>
      <c r="H960" s="85"/>
      <c r="K960" s="86"/>
      <c r="Y960" s="94"/>
    </row>
    <row r="961" ht="15.75" customHeight="1">
      <c r="A961" s="82"/>
      <c r="F961" s="93"/>
      <c r="H961" s="85"/>
      <c r="K961" s="86"/>
      <c r="Y961" s="94"/>
    </row>
    <row r="962" ht="15.75" customHeight="1">
      <c r="A962" s="82"/>
      <c r="F962" s="93"/>
      <c r="H962" s="85"/>
      <c r="K962" s="86"/>
      <c r="Y962" s="94"/>
    </row>
    <row r="963" ht="15.75" customHeight="1">
      <c r="A963" s="82"/>
      <c r="F963" s="93"/>
      <c r="H963" s="85"/>
      <c r="K963" s="86"/>
      <c r="Y963" s="94"/>
    </row>
    <row r="964" ht="15.75" customHeight="1">
      <c r="A964" s="82"/>
      <c r="F964" s="93"/>
      <c r="H964" s="85"/>
      <c r="K964" s="86"/>
      <c r="Y964" s="94"/>
    </row>
    <row r="965" ht="15.75" customHeight="1">
      <c r="A965" s="82"/>
      <c r="F965" s="93"/>
      <c r="H965" s="85"/>
      <c r="K965" s="86"/>
      <c r="Y965" s="94"/>
    </row>
    <row r="966" ht="15.75" customHeight="1">
      <c r="A966" s="82"/>
      <c r="F966" s="93"/>
      <c r="H966" s="85"/>
      <c r="K966" s="86"/>
      <c r="Y966" s="94"/>
    </row>
    <row r="967" ht="15.75" customHeight="1">
      <c r="A967" s="82"/>
      <c r="F967" s="93"/>
      <c r="H967" s="85"/>
      <c r="K967" s="86"/>
      <c r="Y967" s="94"/>
    </row>
    <row r="968" ht="15.75" customHeight="1">
      <c r="A968" s="82"/>
      <c r="F968" s="93"/>
      <c r="H968" s="85"/>
      <c r="K968" s="86"/>
      <c r="Y968" s="94"/>
    </row>
    <row r="969" ht="15.75" customHeight="1">
      <c r="A969" s="82"/>
      <c r="F969" s="93"/>
      <c r="H969" s="85"/>
      <c r="K969" s="86"/>
      <c r="Y969" s="94"/>
    </row>
    <row r="970" ht="15.75" customHeight="1">
      <c r="A970" s="82"/>
      <c r="F970" s="93"/>
      <c r="H970" s="85"/>
      <c r="K970" s="86"/>
      <c r="Y970" s="94"/>
    </row>
    <row r="971" ht="15.75" customHeight="1">
      <c r="A971" s="82"/>
      <c r="F971" s="93"/>
      <c r="H971" s="85"/>
      <c r="K971" s="86"/>
      <c r="Y971" s="94"/>
    </row>
    <row r="972" ht="15.75" customHeight="1">
      <c r="A972" s="82"/>
      <c r="F972" s="93"/>
      <c r="H972" s="85"/>
      <c r="K972" s="86"/>
      <c r="Y972" s="94"/>
    </row>
    <row r="973" ht="15.75" customHeight="1">
      <c r="A973" s="82"/>
      <c r="F973" s="93"/>
      <c r="H973" s="85"/>
      <c r="K973" s="86"/>
      <c r="Y973" s="94"/>
    </row>
    <row r="974" ht="15.75" customHeight="1">
      <c r="A974" s="82"/>
      <c r="F974" s="93"/>
      <c r="H974" s="85"/>
      <c r="K974" s="86"/>
      <c r="Y974" s="94"/>
    </row>
    <row r="975" ht="15.75" customHeight="1">
      <c r="A975" s="82"/>
      <c r="F975" s="93"/>
      <c r="H975" s="85"/>
      <c r="K975" s="86"/>
      <c r="Y975" s="94"/>
    </row>
    <row r="976" ht="15.75" customHeight="1">
      <c r="A976" s="82"/>
      <c r="F976" s="93"/>
      <c r="H976" s="85"/>
      <c r="K976" s="86"/>
      <c r="Y976" s="94"/>
    </row>
    <row r="977" ht="15.75" customHeight="1">
      <c r="A977" s="82"/>
      <c r="F977" s="93"/>
      <c r="H977" s="85"/>
      <c r="K977" s="86"/>
      <c r="Y977" s="94"/>
    </row>
    <row r="978" ht="15.75" customHeight="1">
      <c r="A978" s="82"/>
      <c r="F978" s="93"/>
      <c r="H978" s="85"/>
      <c r="K978" s="86"/>
      <c r="Y978" s="94"/>
    </row>
    <row r="979" ht="15.75" customHeight="1">
      <c r="A979" s="82"/>
      <c r="F979" s="93"/>
      <c r="H979" s="85"/>
      <c r="K979" s="86"/>
      <c r="Y979" s="94"/>
    </row>
    <row r="980" ht="15.75" customHeight="1">
      <c r="A980" s="82"/>
      <c r="F980" s="93"/>
      <c r="H980" s="85"/>
      <c r="K980" s="86"/>
      <c r="Y980" s="94"/>
    </row>
    <row r="981" ht="15.75" customHeight="1">
      <c r="A981" s="82"/>
      <c r="F981" s="93"/>
      <c r="H981" s="85"/>
      <c r="K981" s="86"/>
      <c r="Y981" s="94"/>
    </row>
    <row r="982" ht="15.75" customHeight="1">
      <c r="A982" s="82"/>
      <c r="F982" s="93"/>
      <c r="H982" s="85"/>
      <c r="K982" s="86"/>
      <c r="Y982" s="94"/>
    </row>
    <row r="983" ht="15.75" customHeight="1">
      <c r="A983" s="82"/>
      <c r="F983" s="93"/>
      <c r="H983" s="85"/>
      <c r="K983" s="86"/>
      <c r="Y983" s="94"/>
    </row>
    <row r="984" ht="15.75" customHeight="1">
      <c r="A984" s="82"/>
      <c r="F984" s="93"/>
      <c r="H984" s="85"/>
      <c r="K984" s="86"/>
      <c r="Y984" s="94"/>
    </row>
    <row r="985" ht="15.75" customHeight="1">
      <c r="A985" s="82"/>
      <c r="F985" s="93"/>
      <c r="H985" s="85"/>
      <c r="K985" s="86"/>
      <c r="Y985" s="94"/>
    </row>
    <row r="986" ht="15.75" customHeight="1">
      <c r="A986" s="82"/>
      <c r="F986" s="93"/>
      <c r="H986" s="85"/>
      <c r="K986" s="86"/>
      <c r="Y986" s="94"/>
    </row>
    <row r="987" ht="15.75" customHeight="1">
      <c r="A987" s="82"/>
      <c r="F987" s="93"/>
      <c r="H987" s="85"/>
      <c r="K987" s="86"/>
      <c r="Y987" s="94"/>
    </row>
    <row r="988" ht="15.75" customHeight="1">
      <c r="A988" s="82"/>
      <c r="F988" s="93"/>
      <c r="H988" s="85"/>
      <c r="K988" s="86"/>
      <c r="Y988" s="94"/>
    </row>
    <row r="989" ht="15.75" customHeight="1">
      <c r="A989" s="82"/>
      <c r="F989" s="93"/>
      <c r="H989" s="85"/>
      <c r="K989" s="86"/>
      <c r="Y989" s="94"/>
    </row>
    <row r="990" ht="15.75" customHeight="1">
      <c r="A990" s="82"/>
      <c r="F990" s="93"/>
      <c r="H990" s="85"/>
      <c r="K990" s="86"/>
      <c r="Y990" s="94"/>
    </row>
    <row r="991" ht="15.75" customHeight="1">
      <c r="A991" s="82"/>
      <c r="F991" s="93"/>
      <c r="H991" s="85"/>
      <c r="K991" s="86"/>
      <c r="Y991" s="94"/>
    </row>
    <row r="992" ht="15.75" customHeight="1">
      <c r="A992" s="82"/>
      <c r="F992" s="93"/>
      <c r="H992" s="85"/>
      <c r="K992" s="86"/>
      <c r="Y992" s="94"/>
    </row>
    <row r="993" ht="15.75" customHeight="1">
      <c r="A993" s="82"/>
      <c r="F993" s="93"/>
      <c r="H993" s="85"/>
      <c r="K993" s="86"/>
      <c r="Y993" s="94"/>
    </row>
    <row r="994" ht="15.75" customHeight="1">
      <c r="A994" s="82"/>
      <c r="F994" s="93"/>
      <c r="H994" s="85"/>
      <c r="K994" s="86"/>
      <c r="Y994" s="94"/>
    </row>
    <row r="995" ht="15.75" customHeight="1">
      <c r="A995" s="82"/>
      <c r="F995" s="93"/>
      <c r="H995" s="85"/>
      <c r="K995" s="86"/>
      <c r="Y995" s="94"/>
    </row>
    <row r="996" ht="15.75" customHeight="1">
      <c r="A996" s="82"/>
      <c r="F996" s="93"/>
      <c r="H996" s="85"/>
      <c r="K996" s="86"/>
      <c r="Y996" s="94"/>
    </row>
    <row r="997" ht="15.75" customHeight="1">
      <c r="A997" s="82"/>
      <c r="F997" s="93"/>
      <c r="H997" s="85"/>
      <c r="K997" s="86"/>
      <c r="Y997" s="94"/>
    </row>
    <row r="998" ht="15.75" customHeight="1">
      <c r="A998" s="82"/>
      <c r="F998" s="93"/>
      <c r="H998" s="85"/>
      <c r="K998" s="86"/>
      <c r="Y998" s="94"/>
    </row>
    <row r="999" ht="15.75" customHeight="1">
      <c r="A999" s="82"/>
      <c r="F999" s="93"/>
      <c r="H999" s="85"/>
      <c r="K999" s="86"/>
      <c r="Y999" s="94"/>
    </row>
    <row r="1000" ht="15.75" customHeight="1">
      <c r="A1000" s="82"/>
      <c r="F1000" s="93"/>
      <c r="H1000" s="85"/>
      <c r="K1000" s="86"/>
      <c r="Y1000" s="94"/>
    </row>
  </sheetData>
  <conditionalFormatting sqref="Y1:Y1000">
    <cfRule type="cellIs" dxfId="5" priority="1" operator="greaterThan">
      <formula>0</formula>
    </cfRule>
  </conditionalFormatting>
  <conditionalFormatting sqref="Y1:Y1000">
    <cfRule type="cellIs" dxfId="6" priority="2" operator="lessThan">
      <formula>0</formula>
    </cfRule>
  </conditionalFormatting>
  <dataValidations>
    <dataValidation type="list" allowBlank="1" showErrorMessage="1" sqref="E101:E109 E114:E128 E130:E132 E134:E137 E139:E143 E145:E158 E160:E165 E167:E173 E176:E180 E183 E185:E194 E196:E204 E206">
      <formula1>PROCEDIMENTOS!$B$2:$B$48</formula1>
    </dataValidation>
    <dataValidation type="list" allowBlank="1" showErrorMessage="1" sqref="F207:F1000">
      <formula1>"CONSULTA,PROCEDIMENTO,TECNOLOGIA"</formula1>
    </dataValidation>
    <dataValidation type="custom" allowBlank="1" showDropDown="1" sqref="A2:A100">
      <formula1>OR(NOT(ISERROR(DATEVALUE(A2))), AND(ISNUMBER(A2), LEFT(CELL("format", A2))="D"))</formula1>
    </dataValidation>
    <dataValidation type="list" allowBlank="1" showErrorMessage="1" sqref="J101:J206">
      <formula1>TAXA!$A$2:$A$18</formula1>
    </dataValidation>
    <dataValidation type="list" allowBlank="1" sqref="E2:E100 J2:J100">
      <formula1>#REF!</formula1>
    </dataValidation>
    <dataValidation type="custom" allowBlank="1" showDropDown="1" sqref="H2:I100 L2:AA100">
      <formula1>AND(ISNUMBER(H2),(NOT(OR(NOT(ISERROR(DATEVALUE(H2))), AND(ISNUMBER(H2), LEFT(CELL("format", H2))="D")))))</formula1>
    </dataValidation>
    <dataValidation allowBlank="1" showDropDown="1" sqref="K2:K100"/>
    <dataValidation type="list" allowBlank="1" showErrorMessage="1" sqref="E110:E113 E129 E133 E138 E144 E159 E166 E174:E175 E181:E182 E184 E195 E205">
      <formula1>PROCEDIMENTOS!$B$2:$B$64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78"/>
    <col customWidth="1" min="2" max="2" width="60.56"/>
    <col customWidth="1" min="3" max="3" width="10.67"/>
    <col customWidth="1" min="4" max="4" width="10.89"/>
    <col customWidth="1" min="5" max="26" width="8.56"/>
  </cols>
  <sheetData>
    <row r="1">
      <c r="A1" s="95" t="s">
        <v>384</v>
      </c>
      <c r="B1" s="96" t="s">
        <v>383</v>
      </c>
      <c r="C1" s="96" t="s">
        <v>92</v>
      </c>
      <c r="D1" s="96" t="s">
        <v>453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98" t="s">
        <v>454</v>
      </c>
      <c r="B2" s="99" t="s">
        <v>410</v>
      </c>
      <c r="C2" s="100">
        <v>90.0</v>
      </c>
      <c r="D2" s="101">
        <v>0.0</v>
      </c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98" t="s">
        <v>421</v>
      </c>
      <c r="B3" s="99" t="s">
        <v>452</v>
      </c>
      <c r="C3" s="100">
        <v>60.0</v>
      </c>
      <c r="D3" s="101">
        <v>360.35</v>
      </c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98" t="s">
        <v>421</v>
      </c>
      <c r="B4" s="99" t="s">
        <v>424</v>
      </c>
      <c r="C4" s="100">
        <v>60.0</v>
      </c>
      <c r="D4" s="101">
        <v>411.54</v>
      </c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98" t="s">
        <v>421</v>
      </c>
      <c r="B5" s="99" t="s">
        <v>425</v>
      </c>
      <c r="C5" s="100">
        <v>60.0</v>
      </c>
      <c r="D5" s="101">
        <v>240.64</v>
      </c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98" t="s">
        <v>421</v>
      </c>
      <c r="B6" s="99" t="s">
        <v>455</v>
      </c>
      <c r="C6" s="100">
        <v>60.0</v>
      </c>
      <c r="D6" s="101">
        <v>449.8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98" t="s">
        <v>421</v>
      </c>
      <c r="B7" s="99" t="s">
        <v>447</v>
      </c>
      <c r="C7" s="100">
        <v>30.0</v>
      </c>
      <c r="D7" s="101" t="s">
        <v>456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98" t="s">
        <v>421</v>
      </c>
      <c r="B8" s="99" t="s">
        <v>457</v>
      </c>
      <c r="C8" s="100">
        <v>60.0</v>
      </c>
      <c r="D8" s="101" t="s">
        <v>456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98" t="s">
        <v>421</v>
      </c>
      <c r="B9" s="99" t="s">
        <v>458</v>
      </c>
      <c r="C9" s="100">
        <v>10.0</v>
      </c>
      <c r="D9" s="101" t="s">
        <v>456</v>
      </c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98" t="s">
        <v>421</v>
      </c>
      <c r="B10" s="99" t="s">
        <v>459</v>
      </c>
      <c r="C10" s="100">
        <v>45.0</v>
      </c>
      <c r="D10" s="101" t="s">
        <v>456</v>
      </c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98" t="s">
        <v>460</v>
      </c>
      <c r="B11" s="99" t="s">
        <v>461</v>
      </c>
      <c r="C11" s="100">
        <v>60.0</v>
      </c>
      <c r="D11" s="101" t="s">
        <v>456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98" t="s">
        <v>421</v>
      </c>
      <c r="B12" s="99" t="s">
        <v>462</v>
      </c>
      <c r="C12" s="100">
        <v>300.0</v>
      </c>
      <c r="D12" s="101" t="s">
        <v>456</v>
      </c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98" t="s">
        <v>421</v>
      </c>
      <c r="B13" s="99" t="s">
        <v>463</v>
      </c>
      <c r="C13" s="100">
        <v>150.0</v>
      </c>
      <c r="D13" s="101" t="s">
        <v>456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98" t="s">
        <v>421</v>
      </c>
      <c r="B14" s="99" t="s">
        <v>403</v>
      </c>
      <c r="C14" s="100">
        <v>45.0</v>
      </c>
      <c r="D14" s="101">
        <v>7.8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98" t="s">
        <v>421</v>
      </c>
      <c r="B15" s="99" t="s">
        <v>428</v>
      </c>
      <c r="C15" s="100">
        <v>270.0</v>
      </c>
      <c r="D15" s="101">
        <v>46.8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98" t="s">
        <v>421</v>
      </c>
      <c r="B16" s="99" t="s">
        <v>464</v>
      </c>
      <c r="C16" s="100">
        <v>135.0</v>
      </c>
      <c r="D16" s="101">
        <v>46.8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98" t="s">
        <v>421</v>
      </c>
      <c r="B17" s="99" t="s">
        <v>413</v>
      </c>
      <c r="C17" s="100">
        <v>270.0</v>
      </c>
      <c r="D17" s="101">
        <v>46.8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98" t="s">
        <v>421</v>
      </c>
      <c r="B18" s="99" t="s">
        <v>465</v>
      </c>
      <c r="C18" s="100">
        <v>45.0</v>
      </c>
      <c r="D18" s="101">
        <v>46.8</v>
      </c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98" t="s">
        <v>421</v>
      </c>
      <c r="B19" s="99" t="s">
        <v>466</v>
      </c>
      <c r="C19" s="100">
        <v>45.0</v>
      </c>
      <c r="D19" s="101">
        <v>46.8</v>
      </c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98" t="s">
        <v>421</v>
      </c>
      <c r="B20" s="99" t="s">
        <v>467</v>
      </c>
      <c r="C20" s="100">
        <v>225.0</v>
      </c>
      <c r="D20" s="101">
        <v>46.8</v>
      </c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98" t="s">
        <v>421</v>
      </c>
      <c r="B21" s="99" t="s">
        <v>468</v>
      </c>
      <c r="C21" s="100">
        <v>135.0</v>
      </c>
      <c r="D21" s="101">
        <v>46.8</v>
      </c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98" t="s">
        <v>421</v>
      </c>
      <c r="B22" s="99" t="s">
        <v>469</v>
      </c>
      <c r="C22" s="100">
        <v>135.0</v>
      </c>
      <c r="D22" s="101">
        <v>46.8</v>
      </c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98" t="s">
        <v>421</v>
      </c>
      <c r="B23" s="99" t="s">
        <v>449</v>
      </c>
      <c r="C23" s="100">
        <v>270.0</v>
      </c>
      <c r="D23" s="101">
        <v>46.8</v>
      </c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98" t="s">
        <v>421</v>
      </c>
      <c r="B24" s="99" t="s">
        <v>470</v>
      </c>
      <c r="C24" s="100">
        <v>135.0</v>
      </c>
      <c r="D24" s="101">
        <v>46.8</v>
      </c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98" t="s">
        <v>421</v>
      </c>
      <c r="B25" s="99" t="s">
        <v>471</v>
      </c>
      <c r="C25" s="100">
        <v>135.0</v>
      </c>
      <c r="D25" s="101">
        <v>46.8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98" t="s">
        <v>421</v>
      </c>
      <c r="B26" s="99" t="s">
        <v>472</v>
      </c>
      <c r="C26" s="100">
        <v>135.0</v>
      </c>
      <c r="D26" s="101">
        <v>46.8</v>
      </c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8" t="s">
        <v>421</v>
      </c>
      <c r="B27" s="99" t="s">
        <v>473</v>
      </c>
      <c r="C27" s="100">
        <v>135.0</v>
      </c>
      <c r="D27" s="101">
        <v>46.8</v>
      </c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8" t="s">
        <v>421</v>
      </c>
      <c r="B28" s="99" t="s">
        <v>474</v>
      </c>
      <c r="C28" s="100">
        <v>45.0</v>
      </c>
      <c r="D28" s="101">
        <v>46.8</v>
      </c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98" t="s">
        <v>421</v>
      </c>
      <c r="B29" s="99" t="s">
        <v>475</v>
      </c>
      <c r="C29" s="100">
        <v>45.0</v>
      </c>
      <c r="D29" s="101" t="s">
        <v>456</v>
      </c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8" t="s">
        <v>421</v>
      </c>
      <c r="B30" s="99" t="s">
        <v>476</v>
      </c>
      <c r="C30" s="100">
        <v>60.0</v>
      </c>
      <c r="D30" s="101" t="s">
        <v>456</v>
      </c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98" t="s">
        <v>421</v>
      </c>
      <c r="B31" s="99" t="s">
        <v>477</v>
      </c>
      <c r="C31" s="100">
        <v>60.0</v>
      </c>
      <c r="D31" s="101">
        <v>660.0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98" t="s">
        <v>421</v>
      </c>
      <c r="B32" s="99" t="s">
        <v>478</v>
      </c>
      <c r="C32" s="100">
        <v>60.0</v>
      </c>
      <c r="D32" s="101">
        <v>917.0</v>
      </c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8" t="s">
        <v>421</v>
      </c>
      <c r="B33" s="102" t="s">
        <v>479</v>
      </c>
      <c r="C33" s="100">
        <v>30.0</v>
      </c>
      <c r="D33" s="101" t="s">
        <v>456</v>
      </c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8" t="s">
        <v>421</v>
      </c>
      <c r="B34" s="99" t="s">
        <v>480</v>
      </c>
      <c r="C34" s="100">
        <v>30.0</v>
      </c>
      <c r="D34" s="101">
        <v>424.8</v>
      </c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8" t="s">
        <v>421</v>
      </c>
      <c r="B35" s="99" t="s">
        <v>406</v>
      </c>
      <c r="C35" s="100">
        <v>30.0</v>
      </c>
      <c r="D35" s="101">
        <v>566.4</v>
      </c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8" t="s">
        <v>421</v>
      </c>
      <c r="B36" s="99" t="s">
        <v>481</v>
      </c>
      <c r="C36" s="100">
        <v>30.0</v>
      </c>
      <c r="D36" s="101">
        <v>424.8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8" t="s">
        <v>421</v>
      </c>
      <c r="B37" s="99" t="s">
        <v>482</v>
      </c>
      <c r="C37" s="100">
        <v>30.0</v>
      </c>
      <c r="D37" s="101">
        <v>708.0</v>
      </c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8" t="s">
        <v>421</v>
      </c>
      <c r="B38" s="99" t="s">
        <v>483</v>
      </c>
      <c r="C38" s="100">
        <v>30.0</v>
      </c>
      <c r="D38" s="101">
        <v>424.8</v>
      </c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8" t="s">
        <v>421</v>
      </c>
      <c r="B39" s="99" t="s">
        <v>484</v>
      </c>
      <c r="C39" s="100">
        <v>30.0</v>
      </c>
      <c r="D39" s="101">
        <v>991.2</v>
      </c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8" t="s">
        <v>421</v>
      </c>
      <c r="B40" s="99" t="s">
        <v>485</v>
      </c>
      <c r="C40" s="100">
        <v>30.0</v>
      </c>
      <c r="D40" s="101">
        <v>424.8</v>
      </c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8" t="s">
        <v>421</v>
      </c>
      <c r="B41" s="99" t="s">
        <v>486</v>
      </c>
      <c r="C41" s="100">
        <v>45.0</v>
      </c>
      <c r="D41" s="101">
        <v>212.4</v>
      </c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8" t="s">
        <v>421</v>
      </c>
      <c r="B42" s="99" t="s">
        <v>487</v>
      </c>
      <c r="C42" s="100">
        <v>30.0</v>
      </c>
      <c r="D42" s="101">
        <v>212.4</v>
      </c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8" t="s">
        <v>421</v>
      </c>
      <c r="B43" s="99" t="s">
        <v>488</v>
      </c>
      <c r="C43" s="100">
        <v>30.0</v>
      </c>
      <c r="D43" s="101">
        <v>424.8</v>
      </c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8" t="s">
        <v>421</v>
      </c>
      <c r="B44" s="99" t="s">
        <v>489</v>
      </c>
      <c r="C44" s="100">
        <v>10.0</v>
      </c>
      <c r="D44" s="101">
        <v>25.0</v>
      </c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8" t="s">
        <v>421</v>
      </c>
      <c r="B45" s="99" t="s">
        <v>408</v>
      </c>
      <c r="C45" s="100">
        <v>10.0</v>
      </c>
      <c r="D45" s="101">
        <v>1575.0</v>
      </c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8" t="s">
        <v>421</v>
      </c>
      <c r="B46" s="99" t="s">
        <v>420</v>
      </c>
      <c r="C46" s="100">
        <v>60.0</v>
      </c>
      <c r="D46" s="101">
        <v>566.67</v>
      </c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8" t="s">
        <v>421</v>
      </c>
      <c r="B47" s="99" t="s">
        <v>429</v>
      </c>
      <c r="C47" s="100">
        <v>90.0</v>
      </c>
      <c r="D47" s="101">
        <f>566.4*3</f>
        <v>1699.2</v>
      </c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8" t="s">
        <v>421</v>
      </c>
      <c r="B48" s="99" t="s">
        <v>490</v>
      </c>
      <c r="C48" s="100">
        <v>10.0</v>
      </c>
      <c r="D48" s="101">
        <v>12.84</v>
      </c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103"/>
      <c r="B49" s="103"/>
      <c r="C49" s="104"/>
      <c r="D49" s="105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106"/>
      <c r="B50" s="106"/>
      <c r="C50" s="106"/>
      <c r="D50" s="10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106"/>
      <c r="B51" s="106"/>
      <c r="C51" s="106"/>
      <c r="D51" s="10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106"/>
      <c r="B52" s="106"/>
      <c r="C52" s="106"/>
      <c r="D52" s="10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106"/>
      <c r="B53" s="106"/>
      <c r="C53" s="106"/>
      <c r="D53" s="10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106"/>
      <c r="B54" s="106"/>
      <c r="C54" s="106"/>
      <c r="D54" s="10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106"/>
      <c r="B55" s="106"/>
      <c r="C55" s="106"/>
      <c r="D55" s="10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106"/>
      <c r="B56" s="106"/>
      <c r="C56" s="106"/>
      <c r="D56" s="10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106"/>
      <c r="B57" s="106"/>
      <c r="C57" s="106"/>
      <c r="D57" s="10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106"/>
      <c r="B58" s="106"/>
      <c r="C58" s="106"/>
      <c r="D58" s="10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106"/>
      <c r="B59" s="106"/>
      <c r="C59" s="106"/>
      <c r="D59" s="10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106"/>
      <c r="B60" s="106"/>
      <c r="C60" s="106"/>
      <c r="D60" s="10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106"/>
      <c r="B61" s="106"/>
      <c r="C61" s="106"/>
      <c r="D61" s="10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106"/>
      <c r="B62" s="106"/>
      <c r="C62" s="106"/>
      <c r="D62" s="10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106"/>
      <c r="B63" s="106"/>
      <c r="C63" s="106"/>
      <c r="D63" s="10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106"/>
      <c r="B64" s="106"/>
      <c r="C64" s="106"/>
      <c r="D64" s="10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106"/>
      <c r="B65" s="106"/>
      <c r="C65" s="106"/>
      <c r="D65" s="10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106"/>
      <c r="B66" s="106"/>
      <c r="C66" s="106"/>
      <c r="D66" s="10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106"/>
      <c r="B67" s="106"/>
      <c r="C67" s="106"/>
      <c r="D67" s="10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106"/>
      <c r="B68" s="106"/>
      <c r="C68" s="106"/>
      <c r="D68" s="10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106"/>
      <c r="B69" s="106"/>
      <c r="C69" s="106"/>
      <c r="D69" s="10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106"/>
      <c r="B70" s="106"/>
      <c r="C70" s="106"/>
      <c r="D70" s="10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106"/>
      <c r="B71" s="106"/>
      <c r="C71" s="106"/>
      <c r="D71" s="10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106"/>
      <c r="B72" s="106"/>
      <c r="C72" s="106"/>
      <c r="D72" s="10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106"/>
      <c r="B73" s="106"/>
      <c r="C73" s="106"/>
      <c r="D73" s="10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106"/>
      <c r="B74" s="106"/>
      <c r="C74" s="106"/>
      <c r="D74" s="10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106"/>
      <c r="B75" s="106"/>
      <c r="C75" s="106"/>
      <c r="D75" s="10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106"/>
      <c r="B76" s="106"/>
      <c r="C76" s="106"/>
      <c r="D76" s="10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106"/>
      <c r="B77" s="106"/>
      <c r="C77" s="106"/>
      <c r="D77" s="10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106"/>
      <c r="B78" s="106"/>
      <c r="C78" s="106"/>
      <c r="D78" s="10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106"/>
      <c r="B79" s="106"/>
      <c r="C79" s="106"/>
      <c r="D79" s="10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106"/>
      <c r="B80" s="106"/>
      <c r="C80" s="106"/>
      <c r="D80" s="10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106"/>
      <c r="B81" s="106"/>
      <c r="C81" s="106"/>
      <c r="D81" s="10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106"/>
      <c r="B82" s="106"/>
      <c r="C82" s="106"/>
      <c r="D82" s="10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106"/>
      <c r="B83" s="106"/>
      <c r="C83" s="106"/>
      <c r="D83" s="10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106"/>
      <c r="B84" s="106"/>
      <c r="C84" s="106"/>
      <c r="D84" s="10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106"/>
      <c r="B85" s="106"/>
      <c r="C85" s="106"/>
      <c r="D85" s="10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106"/>
      <c r="B86" s="106"/>
      <c r="C86" s="106"/>
      <c r="D86" s="10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106"/>
      <c r="B87" s="106"/>
      <c r="C87" s="106"/>
      <c r="D87" s="10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106"/>
      <c r="B88" s="106"/>
      <c r="C88" s="106"/>
      <c r="D88" s="10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106"/>
      <c r="B89" s="106"/>
      <c r="C89" s="106"/>
      <c r="D89" s="10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106"/>
      <c r="B90" s="106"/>
      <c r="C90" s="106"/>
      <c r="D90" s="10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106"/>
      <c r="B91" s="106"/>
      <c r="C91" s="106"/>
      <c r="D91" s="10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106"/>
      <c r="B92" s="106"/>
      <c r="C92" s="106"/>
      <c r="D92" s="10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106"/>
      <c r="B93" s="106"/>
      <c r="C93" s="106"/>
      <c r="D93" s="10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106"/>
      <c r="B94" s="106"/>
      <c r="C94" s="106"/>
      <c r="D94" s="10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106"/>
      <c r="B95" s="106"/>
      <c r="C95" s="106"/>
      <c r="D95" s="10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106"/>
      <c r="B96" s="106"/>
      <c r="C96" s="106"/>
      <c r="D96" s="10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106"/>
      <c r="B97" s="106"/>
      <c r="C97" s="106"/>
      <c r="D97" s="10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106"/>
      <c r="B98" s="106"/>
      <c r="C98" s="106"/>
      <c r="D98" s="10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106"/>
      <c r="B99" s="106"/>
      <c r="C99" s="106"/>
      <c r="D99" s="10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106"/>
      <c r="B100" s="106"/>
      <c r="C100" s="106"/>
      <c r="D100" s="10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106"/>
      <c r="B101" s="106"/>
      <c r="C101" s="106"/>
      <c r="D101" s="10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106"/>
      <c r="B102" s="106"/>
      <c r="C102" s="106"/>
      <c r="D102" s="10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106"/>
      <c r="B103" s="106"/>
      <c r="C103" s="106"/>
      <c r="D103" s="10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106"/>
      <c r="B104" s="106"/>
      <c r="C104" s="106"/>
      <c r="D104" s="10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106"/>
      <c r="B105" s="106"/>
      <c r="C105" s="106"/>
      <c r="D105" s="10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106"/>
      <c r="B106" s="106"/>
      <c r="C106" s="106"/>
      <c r="D106" s="10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106"/>
      <c r="B107" s="106"/>
      <c r="C107" s="106"/>
      <c r="D107" s="10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106"/>
      <c r="B108" s="106"/>
      <c r="C108" s="106"/>
      <c r="D108" s="10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106"/>
      <c r="B109" s="106"/>
      <c r="C109" s="106"/>
      <c r="D109" s="10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106"/>
      <c r="B110" s="106"/>
      <c r="C110" s="106"/>
      <c r="D110" s="10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106"/>
      <c r="B111" s="106"/>
      <c r="C111" s="106"/>
      <c r="D111" s="10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106"/>
      <c r="B112" s="106"/>
      <c r="C112" s="106"/>
      <c r="D112" s="10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106"/>
      <c r="B113" s="106"/>
      <c r="C113" s="106"/>
      <c r="D113" s="10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106"/>
      <c r="B114" s="106"/>
      <c r="C114" s="106"/>
      <c r="D114" s="10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106"/>
      <c r="B115" s="106"/>
      <c r="C115" s="106"/>
      <c r="D115" s="10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106"/>
      <c r="B116" s="106"/>
      <c r="C116" s="106"/>
      <c r="D116" s="10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106"/>
      <c r="B117" s="106"/>
      <c r="C117" s="106"/>
      <c r="D117" s="10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106"/>
      <c r="B118" s="106"/>
      <c r="C118" s="106"/>
      <c r="D118" s="10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106"/>
      <c r="B119" s="106"/>
      <c r="C119" s="106"/>
      <c r="D119" s="10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106"/>
      <c r="B120" s="106"/>
      <c r="C120" s="106"/>
      <c r="D120" s="10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106"/>
      <c r="B121" s="106"/>
      <c r="C121" s="106"/>
      <c r="D121" s="10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106"/>
      <c r="B122" s="106"/>
      <c r="C122" s="106"/>
      <c r="D122" s="10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106"/>
      <c r="B123" s="106"/>
      <c r="C123" s="106"/>
      <c r="D123" s="10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106"/>
      <c r="B124" s="106"/>
      <c r="C124" s="106"/>
      <c r="D124" s="10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106"/>
      <c r="B125" s="106"/>
      <c r="C125" s="106"/>
      <c r="D125" s="10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106"/>
      <c r="B126" s="106"/>
      <c r="C126" s="106"/>
      <c r="D126" s="10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106"/>
      <c r="B127" s="106"/>
      <c r="C127" s="106"/>
      <c r="D127" s="10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106"/>
      <c r="B128" s="106"/>
      <c r="C128" s="106"/>
      <c r="D128" s="10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106"/>
      <c r="B129" s="106"/>
      <c r="C129" s="106"/>
      <c r="D129" s="10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106"/>
      <c r="B130" s="106"/>
      <c r="C130" s="106"/>
      <c r="D130" s="10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106"/>
      <c r="B131" s="106"/>
      <c r="C131" s="106"/>
      <c r="D131" s="10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106"/>
      <c r="B132" s="106"/>
      <c r="C132" s="106"/>
      <c r="D132" s="10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106"/>
      <c r="B133" s="106"/>
      <c r="C133" s="106"/>
      <c r="D133" s="10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106"/>
      <c r="B134" s="106"/>
      <c r="C134" s="106"/>
      <c r="D134" s="10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106"/>
      <c r="B135" s="106"/>
      <c r="C135" s="106"/>
      <c r="D135" s="10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106"/>
      <c r="B136" s="106"/>
      <c r="C136" s="106"/>
      <c r="D136" s="10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106"/>
      <c r="B137" s="106"/>
      <c r="C137" s="106"/>
      <c r="D137" s="10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106"/>
      <c r="B138" s="106"/>
      <c r="C138" s="106"/>
      <c r="D138" s="10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106"/>
      <c r="B139" s="106"/>
      <c r="C139" s="106"/>
      <c r="D139" s="10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106"/>
      <c r="B140" s="106"/>
      <c r="C140" s="106"/>
      <c r="D140" s="10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106"/>
      <c r="B141" s="106"/>
      <c r="C141" s="106"/>
      <c r="D141" s="10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106"/>
      <c r="B142" s="106"/>
      <c r="C142" s="106"/>
      <c r="D142" s="10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106"/>
      <c r="B143" s="106"/>
      <c r="C143" s="106"/>
      <c r="D143" s="10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106"/>
      <c r="B144" s="106"/>
      <c r="C144" s="106"/>
      <c r="D144" s="10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106"/>
      <c r="B145" s="106"/>
      <c r="C145" s="106"/>
      <c r="D145" s="10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106"/>
      <c r="B146" s="106"/>
      <c r="C146" s="106"/>
      <c r="D146" s="10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106"/>
      <c r="B147" s="106"/>
      <c r="C147" s="106"/>
      <c r="D147" s="10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106"/>
      <c r="B148" s="106"/>
      <c r="C148" s="106"/>
      <c r="D148" s="10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106"/>
      <c r="B149" s="106"/>
      <c r="C149" s="106"/>
      <c r="D149" s="10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106"/>
      <c r="B150" s="106"/>
      <c r="C150" s="106"/>
      <c r="D150" s="10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106"/>
      <c r="B151" s="106"/>
      <c r="C151" s="106"/>
      <c r="D151" s="10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106"/>
      <c r="B152" s="106"/>
      <c r="C152" s="106"/>
      <c r="D152" s="10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106"/>
      <c r="B153" s="106"/>
      <c r="C153" s="106"/>
      <c r="D153" s="10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106"/>
      <c r="B154" s="106"/>
      <c r="C154" s="106"/>
      <c r="D154" s="10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106"/>
      <c r="B155" s="106"/>
      <c r="C155" s="106"/>
      <c r="D155" s="10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106"/>
      <c r="B156" s="106"/>
      <c r="C156" s="106"/>
      <c r="D156" s="10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106"/>
      <c r="B157" s="106"/>
      <c r="C157" s="106"/>
      <c r="D157" s="10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106"/>
      <c r="B158" s="106"/>
      <c r="C158" s="106"/>
      <c r="D158" s="10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106"/>
      <c r="B159" s="106"/>
      <c r="C159" s="106"/>
      <c r="D159" s="10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106"/>
      <c r="B160" s="106"/>
      <c r="C160" s="106"/>
      <c r="D160" s="10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106"/>
      <c r="B161" s="106"/>
      <c r="C161" s="106"/>
      <c r="D161" s="10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106"/>
      <c r="B162" s="106"/>
      <c r="C162" s="106"/>
      <c r="D162" s="10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106"/>
      <c r="B163" s="106"/>
      <c r="C163" s="106"/>
      <c r="D163" s="10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106"/>
      <c r="B164" s="106"/>
      <c r="C164" s="106"/>
      <c r="D164" s="10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106"/>
      <c r="B165" s="106"/>
      <c r="C165" s="106"/>
      <c r="D165" s="10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106"/>
      <c r="B166" s="106"/>
      <c r="C166" s="106"/>
      <c r="D166" s="10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106"/>
      <c r="B167" s="106"/>
      <c r="C167" s="106"/>
      <c r="D167" s="10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106"/>
      <c r="B168" s="106"/>
      <c r="C168" s="106"/>
      <c r="D168" s="10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106"/>
      <c r="B169" s="106"/>
      <c r="C169" s="106"/>
      <c r="D169" s="10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106"/>
      <c r="B170" s="106"/>
      <c r="C170" s="106"/>
      <c r="D170" s="10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106"/>
      <c r="B171" s="106"/>
      <c r="C171" s="106"/>
      <c r="D171" s="10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106"/>
      <c r="B172" s="106"/>
      <c r="C172" s="106"/>
      <c r="D172" s="10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106"/>
      <c r="B173" s="106"/>
      <c r="C173" s="106"/>
      <c r="D173" s="10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106"/>
      <c r="B174" s="106"/>
      <c r="C174" s="106"/>
      <c r="D174" s="10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106"/>
      <c r="B175" s="106"/>
      <c r="C175" s="106"/>
      <c r="D175" s="10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106"/>
      <c r="B176" s="106"/>
      <c r="C176" s="106"/>
      <c r="D176" s="10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106"/>
      <c r="B177" s="106"/>
      <c r="C177" s="106"/>
      <c r="D177" s="10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106"/>
      <c r="B178" s="106"/>
      <c r="C178" s="106"/>
      <c r="D178" s="10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106"/>
      <c r="B179" s="106"/>
      <c r="C179" s="106"/>
      <c r="D179" s="10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106"/>
      <c r="B180" s="106"/>
      <c r="C180" s="106"/>
      <c r="D180" s="10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106"/>
      <c r="B181" s="106"/>
      <c r="C181" s="106"/>
      <c r="D181" s="10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106"/>
      <c r="B182" s="106"/>
      <c r="C182" s="106"/>
      <c r="D182" s="10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106"/>
      <c r="B183" s="106"/>
      <c r="C183" s="106"/>
      <c r="D183" s="10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106"/>
      <c r="B184" s="106"/>
      <c r="C184" s="106"/>
      <c r="D184" s="10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106"/>
      <c r="B185" s="106"/>
      <c r="C185" s="106"/>
      <c r="D185" s="10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106"/>
      <c r="B186" s="106"/>
      <c r="C186" s="106"/>
      <c r="D186" s="10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106"/>
      <c r="B187" s="106"/>
      <c r="C187" s="106"/>
      <c r="D187" s="10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106"/>
      <c r="B188" s="106"/>
      <c r="C188" s="106"/>
      <c r="D188" s="10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106"/>
      <c r="B189" s="106"/>
      <c r="C189" s="106"/>
      <c r="D189" s="10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106"/>
      <c r="B190" s="106"/>
      <c r="C190" s="106"/>
      <c r="D190" s="10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106"/>
      <c r="B191" s="106"/>
      <c r="C191" s="106"/>
      <c r="D191" s="10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106"/>
      <c r="B192" s="106"/>
      <c r="C192" s="106"/>
      <c r="D192" s="10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106"/>
      <c r="B193" s="106"/>
      <c r="C193" s="106"/>
      <c r="D193" s="10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106"/>
      <c r="B194" s="106"/>
      <c r="C194" s="106"/>
      <c r="D194" s="10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106"/>
      <c r="B195" s="106"/>
      <c r="C195" s="106"/>
      <c r="D195" s="10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106"/>
      <c r="B196" s="106"/>
      <c r="C196" s="106"/>
      <c r="D196" s="10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106"/>
      <c r="B197" s="106"/>
      <c r="C197" s="106"/>
      <c r="D197" s="10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106"/>
      <c r="B198" s="106"/>
      <c r="C198" s="106"/>
      <c r="D198" s="10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106"/>
      <c r="B199" s="106"/>
      <c r="C199" s="106"/>
      <c r="D199" s="10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106"/>
      <c r="B200" s="106"/>
      <c r="C200" s="106"/>
      <c r="D200" s="10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106"/>
      <c r="B201" s="106"/>
      <c r="C201" s="106"/>
      <c r="D201" s="10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106"/>
      <c r="B202" s="106"/>
      <c r="C202" s="106"/>
      <c r="D202" s="10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106"/>
      <c r="B203" s="106"/>
      <c r="C203" s="106"/>
      <c r="D203" s="10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106"/>
      <c r="B204" s="106"/>
      <c r="C204" s="106"/>
      <c r="D204" s="10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106"/>
      <c r="B205" s="106"/>
      <c r="C205" s="106"/>
      <c r="D205" s="10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106"/>
      <c r="B206" s="106"/>
      <c r="C206" s="106"/>
      <c r="D206" s="10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106"/>
      <c r="B207" s="106"/>
      <c r="C207" s="106"/>
      <c r="D207" s="10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106"/>
      <c r="B208" s="106"/>
      <c r="C208" s="106"/>
      <c r="D208" s="10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106"/>
      <c r="B209" s="106"/>
      <c r="C209" s="106"/>
      <c r="D209" s="10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106"/>
      <c r="B210" s="106"/>
      <c r="C210" s="106"/>
      <c r="D210" s="10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106"/>
      <c r="B211" s="106"/>
      <c r="C211" s="106"/>
      <c r="D211" s="10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106"/>
      <c r="B212" s="106"/>
      <c r="C212" s="106"/>
      <c r="D212" s="10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106"/>
      <c r="B213" s="106"/>
      <c r="C213" s="106"/>
      <c r="D213" s="10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106"/>
      <c r="B214" s="106"/>
      <c r="C214" s="106"/>
      <c r="D214" s="10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106"/>
      <c r="B215" s="106"/>
      <c r="C215" s="106"/>
      <c r="D215" s="10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106"/>
      <c r="B216" s="106"/>
      <c r="C216" s="106"/>
      <c r="D216" s="10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106"/>
      <c r="B217" s="106"/>
      <c r="C217" s="106"/>
      <c r="D217" s="10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106"/>
      <c r="B218" s="106"/>
      <c r="C218" s="106"/>
      <c r="D218" s="10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106"/>
      <c r="B219" s="106"/>
      <c r="C219" s="106"/>
      <c r="D219" s="10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106"/>
      <c r="B220" s="106"/>
      <c r="C220" s="106"/>
      <c r="D220" s="10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106"/>
      <c r="B221" s="106"/>
      <c r="C221" s="106"/>
      <c r="D221" s="10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106"/>
      <c r="B222" s="106"/>
      <c r="C222" s="106"/>
      <c r="D222" s="10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106"/>
      <c r="B223" s="106"/>
      <c r="C223" s="106"/>
      <c r="D223" s="10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106"/>
      <c r="B224" s="106"/>
      <c r="C224" s="106"/>
      <c r="D224" s="10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106"/>
      <c r="B225" s="106"/>
      <c r="C225" s="106"/>
      <c r="D225" s="10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106"/>
      <c r="B226" s="106"/>
      <c r="C226" s="106"/>
      <c r="D226" s="10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106"/>
      <c r="B227" s="106"/>
      <c r="C227" s="106"/>
      <c r="D227" s="10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106"/>
      <c r="B228" s="106"/>
      <c r="C228" s="106"/>
      <c r="D228" s="10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106"/>
      <c r="B229" s="106"/>
      <c r="C229" s="106"/>
      <c r="D229" s="10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106"/>
      <c r="B230" s="106"/>
      <c r="C230" s="106"/>
      <c r="D230" s="10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106"/>
      <c r="B231" s="106"/>
      <c r="C231" s="106"/>
      <c r="D231" s="10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106"/>
      <c r="B232" s="106"/>
      <c r="C232" s="106"/>
      <c r="D232" s="10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106"/>
      <c r="B233" s="106"/>
      <c r="C233" s="106"/>
      <c r="D233" s="10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106"/>
      <c r="B234" s="106"/>
      <c r="C234" s="106"/>
      <c r="D234" s="10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106"/>
      <c r="B235" s="106"/>
      <c r="C235" s="106"/>
      <c r="D235" s="10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106"/>
      <c r="B236" s="106"/>
      <c r="C236" s="106"/>
      <c r="D236" s="10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106"/>
      <c r="B237" s="106"/>
      <c r="C237" s="106"/>
      <c r="D237" s="10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106"/>
      <c r="B238" s="106"/>
      <c r="C238" s="106"/>
      <c r="D238" s="10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106"/>
      <c r="B239" s="106"/>
      <c r="C239" s="106"/>
      <c r="D239" s="10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106"/>
      <c r="B240" s="106"/>
      <c r="C240" s="106"/>
      <c r="D240" s="10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106"/>
      <c r="B241" s="106"/>
      <c r="C241" s="106"/>
      <c r="D241" s="10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106"/>
      <c r="B242" s="106"/>
      <c r="C242" s="106"/>
      <c r="D242" s="10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106"/>
      <c r="B243" s="106"/>
      <c r="C243" s="106"/>
      <c r="D243" s="10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106"/>
      <c r="B244" s="106"/>
      <c r="C244" s="106"/>
      <c r="D244" s="10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106"/>
      <c r="B245" s="106"/>
      <c r="C245" s="106"/>
      <c r="D245" s="10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106"/>
      <c r="B246" s="106"/>
      <c r="C246" s="106"/>
      <c r="D246" s="10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106"/>
      <c r="B247" s="106"/>
      <c r="C247" s="106"/>
      <c r="D247" s="10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106"/>
      <c r="B248" s="106"/>
      <c r="C248" s="106"/>
      <c r="D248" s="10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97"/>
      <c r="B249" s="97"/>
      <c r="C249" s="97"/>
      <c r="D249" s="10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97"/>
      <c r="B250" s="97"/>
      <c r="C250" s="97"/>
      <c r="D250" s="10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97"/>
      <c r="B251" s="97"/>
      <c r="C251" s="97"/>
      <c r="D251" s="10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7"/>
      <c r="B252" s="97"/>
      <c r="C252" s="97"/>
      <c r="D252" s="10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7"/>
      <c r="B253" s="97"/>
      <c r="C253" s="97"/>
      <c r="D253" s="10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97"/>
      <c r="B254" s="97"/>
      <c r="C254" s="97"/>
      <c r="D254" s="10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97"/>
      <c r="B255" s="97"/>
      <c r="C255" s="97"/>
      <c r="D255" s="10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97"/>
      <c r="B256" s="97"/>
      <c r="C256" s="97"/>
      <c r="D256" s="10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97"/>
      <c r="B257" s="97"/>
      <c r="C257" s="97"/>
      <c r="D257" s="10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97"/>
      <c r="B258" s="97"/>
      <c r="C258" s="97"/>
      <c r="D258" s="10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97"/>
      <c r="B259" s="97"/>
      <c r="C259" s="97"/>
      <c r="D259" s="10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97"/>
      <c r="B260" s="97"/>
      <c r="C260" s="97"/>
      <c r="D260" s="10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97"/>
      <c r="B261" s="97"/>
      <c r="C261" s="97"/>
      <c r="D261" s="10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97"/>
      <c r="B262" s="97"/>
      <c r="C262" s="97"/>
      <c r="D262" s="10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97"/>
      <c r="B263" s="97"/>
      <c r="C263" s="97"/>
      <c r="D263" s="10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97"/>
      <c r="B264" s="97"/>
      <c r="C264" s="97"/>
      <c r="D264" s="10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97"/>
      <c r="B265" s="97"/>
      <c r="C265" s="97"/>
      <c r="D265" s="10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97"/>
      <c r="B266" s="97"/>
      <c r="C266" s="97"/>
      <c r="D266" s="10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7"/>
      <c r="B267" s="97"/>
      <c r="C267" s="97"/>
      <c r="D267" s="10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7"/>
      <c r="B268" s="97"/>
      <c r="C268" s="97"/>
      <c r="D268" s="10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97"/>
      <c r="B269" s="97"/>
      <c r="C269" s="97"/>
      <c r="D269" s="10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97"/>
      <c r="B270" s="97"/>
      <c r="C270" s="97"/>
      <c r="D270" s="10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97"/>
      <c r="B271" s="97"/>
      <c r="C271" s="97"/>
      <c r="D271" s="10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97"/>
      <c r="B272" s="97"/>
      <c r="C272" s="97"/>
      <c r="D272" s="10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97"/>
      <c r="B273" s="97"/>
      <c r="C273" s="97"/>
      <c r="D273" s="10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97"/>
      <c r="B274" s="97"/>
      <c r="C274" s="97"/>
      <c r="D274" s="10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97"/>
      <c r="B275" s="97"/>
      <c r="C275" s="97"/>
      <c r="D275" s="10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97"/>
      <c r="B276" s="97"/>
      <c r="C276" s="97"/>
      <c r="D276" s="10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97"/>
      <c r="B277" s="97"/>
      <c r="C277" s="97"/>
      <c r="D277" s="10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97"/>
      <c r="B278" s="97"/>
      <c r="C278" s="97"/>
      <c r="D278" s="10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97"/>
      <c r="B279" s="97"/>
      <c r="C279" s="97"/>
      <c r="D279" s="10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97"/>
      <c r="B280" s="97"/>
      <c r="C280" s="97"/>
      <c r="D280" s="10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97"/>
      <c r="B281" s="97"/>
      <c r="C281" s="97"/>
      <c r="D281" s="10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7"/>
      <c r="B282" s="97"/>
      <c r="C282" s="97"/>
      <c r="D282" s="10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7"/>
      <c r="B283" s="97"/>
      <c r="C283" s="97"/>
      <c r="D283" s="10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97"/>
      <c r="B284" s="97"/>
      <c r="C284" s="97"/>
      <c r="D284" s="10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97"/>
      <c r="B285" s="97"/>
      <c r="C285" s="97"/>
      <c r="D285" s="10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97"/>
      <c r="B286" s="97"/>
      <c r="C286" s="97"/>
      <c r="D286" s="10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97"/>
      <c r="B287" s="97"/>
      <c r="C287" s="97"/>
      <c r="D287" s="10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97"/>
      <c r="B288" s="97"/>
      <c r="C288" s="97"/>
      <c r="D288" s="10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97"/>
      <c r="B289" s="97"/>
      <c r="C289" s="97"/>
      <c r="D289" s="10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97"/>
      <c r="B290" s="97"/>
      <c r="C290" s="97"/>
      <c r="D290" s="10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97"/>
      <c r="B291" s="97"/>
      <c r="C291" s="97"/>
      <c r="D291" s="10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97"/>
      <c r="B292" s="97"/>
      <c r="C292" s="97"/>
      <c r="D292" s="10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97"/>
      <c r="B293" s="97"/>
      <c r="C293" s="97"/>
      <c r="D293" s="10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97"/>
      <c r="B294" s="97"/>
      <c r="C294" s="97"/>
      <c r="D294" s="10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97"/>
      <c r="B295" s="97"/>
      <c r="C295" s="97"/>
      <c r="D295" s="10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97"/>
      <c r="B296" s="97"/>
      <c r="C296" s="97"/>
      <c r="D296" s="10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7"/>
      <c r="B297" s="97"/>
      <c r="C297" s="97"/>
      <c r="D297" s="10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7"/>
      <c r="B298" s="97"/>
      <c r="C298" s="97"/>
      <c r="D298" s="10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97"/>
      <c r="B299" s="97"/>
      <c r="C299" s="97"/>
      <c r="D299" s="10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97"/>
      <c r="B300" s="97"/>
      <c r="C300" s="97"/>
      <c r="D300" s="10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97"/>
      <c r="B301" s="97"/>
      <c r="C301" s="97"/>
      <c r="D301" s="10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97"/>
      <c r="B302" s="97"/>
      <c r="C302" s="97"/>
      <c r="D302" s="10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97"/>
      <c r="B303" s="97"/>
      <c r="C303" s="97"/>
      <c r="D303" s="10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97"/>
      <c r="B304" s="97"/>
      <c r="C304" s="97"/>
      <c r="D304" s="10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97"/>
      <c r="B305" s="97"/>
      <c r="C305" s="97"/>
      <c r="D305" s="10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97"/>
      <c r="B306" s="97"/>
      <c r="C306" s="97"/>
      <c r="D306" s="10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97"/>
      <c r="B307" s="97"/>
      <c r="C307" s="97"/>
      <c r="D307" s="10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97"/>
      <c r="B308" s="97"/>
      <c r="C308" s="97"/>
      <c r="D308" s="10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97"/>
      <c r="B309" s="97"/>
      <c r="C309" s="97"/>
      <c r="D309" s="10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97"/>
      <c r="B310" s="97"/>
      <c r="C310" s="97"/>
      <c r="D310" s="10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97"/>
      <c r="B311" s="97"/>
      <c r="C311" s="97"/>
      <c r="D311" s="10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7"/>
      <c r="B312" s="97"/>
      <c r="C312" s="97"/>
      <c r="D312" s="10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7"/>
      <c r="B313" s="97"/>
      <c r="C313" s="97"/>
      <c r="D313" s="10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97"/>
      <c r="B314" s="97"/>
      <c r="C314" s="97"/>
      <c r="D314" s="10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97"/>
      <c r="B315" s="97"/>
      <c r="C315" s="97"/>
      <c r="D315" s="10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97"/>
      <c r="B316" s="97"/>
      <c r="C316" s="97"/>
      <c r="D316" s="10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97"/>
      <c r="B317" s="97"/>
      <c r="C317" s="97"/>
      <c r="D317" s="10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97"/>
      <c r="B318" s="97"/>
      <c r="C318" s="97"/>
      <c r="D318" s="10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97"/>
      <c r="B319" s="97"/>
      <c r="C319" s="97"/>
      <c r="D319" s="10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97"/>
      <c r="B320" s="97"/>
      <c r="C320" s="97"/>
      <c r="D320" s="10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97"/>
      <c r="B321" s="97"/>
      <c r="C321" s="97"/>
      <c r="D321" s="10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97"/>
      <c r="B322" s="97"/>
      <c r="C322" s="97"/>
      <c r="D322" s="10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97"/>
      <c r="B323" s="97"/>
      <c r="C323" s="97"/>
      <c r="D323" s="10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97"/>
      <c r="B324" s="97"/>
      <c r="C324" s="97"/>
      <c r="D324" s="10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97"/>
      <c r="B325" s="97"/>
      <c r="C325" s="97"/>
      <c r="D325" s="10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97"/>
      <c r="B326" s="97"/>
      <c r="C326" s="97"/>
      <c r="D326" s="10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7"/>
      <c r="B327" s="97"/>
      <c r="C327" s="97"/>
      <c r="D327" s="10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7"/>
      <c r="B328" s="97"/>
      <c r="C328" s="97"/>
      <c r="D328" s="10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97"/>
      <c r="B329" s="97"/>
      <c r="C329" s="97"/>
      <c r="D329" s="10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97"/>
      <c r="B330" s="97"/>
      <c r="C330" s="97"/>
      <c r="D330" s="10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97"/>
      <c r="B331" s="97"/>
      <c r="C331" s="97"/>
      <c r="D331" s="10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97"/>
      <c r="B332" s="97"/>
      <c r="C332" s="97"/>
      <c r="D332" s="10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97"/>
      <c r="B333" s="97"/>
      <c r="C333" s="97"/>
      <c r="D333" s="10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97"/>
      <c r="B334" s="97"/>
      <c r="C334" s="97"/>
      <c r="D334" s="10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97"/>
      <c r="B335" s="97"/>
      <c r="C335" s="97"/>
      <c r="D335" s="10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97"/>
      <c r="B336" s="97"/>
      <c r="C336" s="97"/>
      <c r="D336" s="10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97"/>
      <c r="B337" s="97"/>
      <c r="C337" s="97"/>
      <c r="D337" s="10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97"/>
      <c r="B338" s="97"/>
      <c r="C338" s="97"/>
      <c r="D338" s="10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97"/>
      <c r="B339" s="97"/>
      <c r="C339" s="97"/>
      <c r="D339" s="10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97"/>
      <c r="B340" s="97"/>
      <c r="C340" s="97"/>
      <c r="D340" s="10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97"/>
      <c r="B341" s="97"/>
      <c r="C341" s="97"/>
      <c r="D341" s="10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7"/>
      <c r="B342" s="97"/>
      <c r="C342" s="97"/>
      <c r="D342" s="10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7"/>
      <c r="B343" s="97"/>
      <c r="C343" s="97"/>
      <c r="D343" s="10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97"/>
      <c r="B344" s="97"/>
      <c r="C344" s="97"/>
      <c r="D344" s="10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97"/>
      <c r="B345" s="97"/>
      <c r="C345" s="97"/>
      <c r="D345" s="10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97"/>
      <c r="B346" s="97"/>
      <c r="C346" s="97"/>
      <c r="D346" s="10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97"/>
      <c r="B347" s="97"/>
      <c r="C347" s="97"/>
      <c r="D347" s="10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97"/>
      <c r="B348" s="97"/>
      <c r="C348" s="97"/>
      <c r="D348" s="10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97"/>
      <c r="B349" s="97"/>
      <c r="C349" s="97"/>
      <c r="D349" s="10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97"/>
      <c r="B350" s="97"/>
      <c r="C350" s="97"/>
      <c r="D350" s="10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97"/>
      <c r="B351" s="97"/>
      <c r="C351" s="97"/>
      <c r="D351" s="10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97"/>
      <c r="B352" s="97"/>
      <c r="C352" s="97"/>
      <c r="D352" s="10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97"/>
      <c r="B353" s="97"/>
      <c r="C353" s="97"/>
      <c r="D353" s="10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97"/>
      <c r="B354" s="97"/>
      <c r="C354" s="97"/>
      <c r="D354" s="10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97"/>
      <c r="B355" s="97"/>
      <c r="C355" s="97"/>
      <c r="D355" s="10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97"/>
      <c r="B356" s="97"/>
      <c r="C356" s="97"/>
      <c r="D356" s="10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7"/>
      <c r="B357" s="97"/>
      <c r="C357" s="97"/>
      <c r="D357" s="10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7"/>
      <c r="B358" s="97"/>
      <c r="C358" s="97"/>
      <c r="D358" s="10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97"/>
      <c r="B359" s="97"/>
      <c r="C359" s="97"/>
      <c r="D359" s="10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97"/>
      <c r="B360" s="97"/>
      <c r="C360" s="97"/>
      <c r="D360" s="10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97"/>
      <c r="B361" s="97"/>
      <c r="C361" s="97"/>
      <c r="D361" s="10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97"/>
      <c r="B362" s="97"/>
      <c r="C362" s="97"/>
      <c r="D362" s="10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97"/>
      <c r="B363" s="97"/>
      <c r="C363" s="97"/>
      <c r="D363" s="10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97"/>
      <c r="B364" s="97"/>
      <c r="C364" s="97"/>
      <c r="D364" s="10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97"/>
      <c r="B365" s="97"/>
      <c r="C365" s="97"/>
      <c r="D365" s="10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97"/>
      <c r="B366" s="97"/>
      <c r="C366" s="97"/>
      <c r="D366" s="10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97"/>
      <c r="B367" s="97"/>
      <c r="C367" s="97"/>
      <c r="D367" s="10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97"/>
      <c r="B368" s="97"/>
      <c r="C368" s="97"/>
      <c r="D368" s="10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97"/>
      <c r="B369" s="97"/>
      <c r="C369" s="97"/>
      <c r="D369" s="10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97"/>
      <c r="B370" s="97"/>
      <c r="C370" s="97"/>
      <c r="D370" s="10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97"/>
      <c r="B371" s="97"/>
      <c r="C371" s="97"/>
      <c r="D371" s="10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7"/>
      <c r="B372" s="97"/>
      <c r="C372" s="97"/>
      <c r="D372" s="10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7"/>
      <c r="B373" s="97"/>
      <c r="C373" s="97"/>
      <c r="D373" s="10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97"/>
      <c r="B374" s="97"/>
      <c r="C374" s="97"/>
      <c r="D374" s="10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97"/>
      <c r="B375" s="97"/>
      <c r="C375" s="97"/>
      <c r="D375" s="10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97"/>
      <c r="B376" s="97"/>
      <c r="C376" s="97"/>
      <c r="D376" s="10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97"/>
      <c r="B377" s="97"/>
      <c r="C377" s="97"/>
      <c r="D377" s="10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97"/>
      <c r="B378" s="97"/>
      <c r="C378" s="97"/>
      <c r="D378" s="10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97"/>
      <c r="B379" s="97"/>
      <c r="C379" s="97"/>
      <c r="D379" s="10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97"/>
      <c r="B380" s="97"/>
      <c r="C380" s="97"/>
      <c r="D380" s="10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97"/>
      <c r="B381" s="97"/>
      <c r="C381" s="97"/>
      <c r="D381" s="10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97"/>
      <c r="B382" s="97"/>
      <c r="C382" s="97"/>
      <c r="D382" s="10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97"/>
      <c r="B383" s="97"/>
      <c r="C383" s="97"/>
      <c r="D383" s="10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97"/>
      <c r="B384" s="97"/>
      <c r="C384" s="97"/>
      <c r="D384" s="10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97"/>
      <c r="B385" s="97"/>
      <c r="C385" s="97"/>
      <c r="D385" s="10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97"/>
      <c r="B386" s="97"/>
      <c r="C386" s="97"/>
      <c r="D386" s="10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7"/>
      <c r="B387" s="97"/>
      <c r="C387" s="97"/>
      <c r="D387" s="10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7"/>
      <c r="B388" s="97"/>
      <c r="C388" s="97"/>
      <c r="D388" s="10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97"/>
      <c r="B389" s="97"/>
      <c r="C389" s="97"/>
      <c r="D389" s="10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97"/>
      <c r="B390" s="97"/>
      <c r="C390" s="97"/>
      <c r="D390" s="10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97"/>
      <c r="B391" s="97"/>
      <c r="C391" s="97"/>
      <c r="D391" s="10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97"/>
      <c r="B392" s="97"/>
      <c r="C392" s="97"/>
      <c r="D392" s="10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97"/>
      <c r="B393" s="97"/>
      <c r="C393" s="97"/>
      <c r="D393" s="10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97"/>
      <c r="B394" s="97"/>
      <c r="C394" s="97"/>
      <c r="D394" s="10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97"/>
      <c r="B395" s="97"/>
      <c r="C395" s="97"/>
      <c r="D395" s="10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97"/>
      <c r="B396" s="97"/>
      <c r="C396" s="97"/>
      <c r="D396" s="10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97"/>
      <c r="B397" s="97"/>
      <c r="C397" s="97"/>
      <c r="D397" s="10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97"/>
      <c r="B398" s="97"/>
      <c r="C398" s="97"/>
      <c r="D398" s="10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97"/>
      <c r="B399" s="97"/>
      <c r="C399" s="97"/>
      <c r="D399" s="10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97"/>
      <c r="B400" s="97"/>
      <c r="C400" s="97"/>
      <c r="D400" s="10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97"/>
      <c r="B401" s="97"/>
      <c r="C401" s="97"/>
      <c r="D401" s="10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7"/>
      <c r="B402" s="97"/>
      <c r="C402" s="97"/>
      <c r="D402" s="10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7"/>
      <c r="B403" s="97"/>
      <c r="C403" s="97"/>
      <c r="D403" s="10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97"/>
      <c r="B404" s="97"/>
      <c r="C404" s="97"/>
      <c r="D404" s="10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97"/>
      <c r="B405" s="97"/>
      <c r="C405" s="97"/>
      <c r="D405" s="10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97"/>
      <c r="B406" s="97"/>
      <c r="C406" s="97"/>
      <c r="D406" s="10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97"/>
      <c r="B407" s="97"/>
      <c r="C407" s="97"/>
      <c r="D407" s="10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97"/>
      <c r="B408" s="97"/>
      <c r="C408" s="97"/>
      <c r="D408" s="10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97"/>
      <c r="B409" s="97"/>
      <c r="C409" s="97"/>
      <c r="D409" s="10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97"/>
      <c r="B410" s="97"/>
      <c r="C410" s="97"/>
      <c r="D410" s="10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97"/>
      <c r="B411" s="97"/>
      <c r="C411" s="97"/>
      <c r="D411" s="10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97"/>
      <c r="B412" s="97"/>
      <c r="C412" s="97"/>
      <c r="D412" s="10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97"/>
      <c r="B413" s="97"/>
      <c r="C413" s="97"/>
      <c r="D413" s="10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97"/>
      <c r="B414" s="97"/>
      <c r="C414" s="97"/>
      <c r="D414" s="10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97"/>
      <c r="B415" s="97"/>
      <c r="C415" s="97"/>
      <c r="D415" s="10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97"/>
      <c r="B416" s="97"/>
      <c r="C416" s="97"/>
      <c r="D416" s="10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7"/>
      <c r="B417" s="97"/>
      <c r="C417" s="97"/>
      <c r="D417" s="10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7"/>
      <c r="B418" s="97"/>
      <c r="C418" s="97"/>
      <c r="D418" s="10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97"/>
      <c r="B419" s="97"/>
      <c r="C419" s="97"/>
      <c r="D419" s="10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97"/>
      <c r="B420" s="97"/>
      <c r="C420" s="97"/>
      <c r="D420" s="10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97"/>
      <c r="B421" s="97"/>
      <c r="C421" s="97"/>
      <c r="D421" s="10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97"/>
      <c r="B422" s="97"/>
      <c r="C422" s="97"/>
      <c r="D422" s="10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97"/>
      <c r="B423" s="97"/>
      <c r="C423" s="97"/>
      <c r="D423" s="10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97"/>
      <c r="B424" s="97"/>
      <c r="C424" s="97"/>
      <c r="D424" s="10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97"/>
      <c r="B425" s="97"/>
      <c r="C425" s="97"/>
      <c r="D425" s="10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97"/>
      <c r="B426" s="97"/>
      <c r="C426" s="97"/>
      <c r="D426" s="10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97"/>
      <c r="B427" s="97"/>
      <c r="C427" s="97"/>
      <c r="D427" s="10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97"/>
      <c r="B428" s="97"/>
      <c r="C428" s="97"/>
      <c r="D428" s="10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97"/>
      <c r="B429" s="97"/>
      <c r="C429" s="97"/>
      <c r="D429" s="10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97"/>
      <c r="B430" s="97"/>
      <c r="C430" s="97"/>
      <c r="D430" s="10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97"/>
      <c r="B431" s="97"/>
      <c r="C431" s="97"/>
      <c r="D431" s="10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7"/>
      <c r="B432" s="97"/>
      <c r="C432" s="97"/>
      <c r="D432" s="10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7"/>
      <c r="B433" s="97"/>
      <c r="C433" s="97"/>
      <c r="D433" s="10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97"/>
      <c r="B434" s="97"/>
      <c r="C434" s="97"/>
      <c r="D434" s="10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97"/>
      <c r="B435" s="97"/>
      <c r="C435" s="97"/>
      <c r="D435" s="10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97"/>
      <c r="B436" s="97"/>
      <c r="C436" s="97"/>
      <c r="D436" s="10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97"/>
      <c r="B437" s="97"/>
      <c r="C437" s="97"/>
      <c r="D437" s="10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97"/>
      <c r="B438" s="97"/>
      <c r="C438" s="97"/>
      <c r="D438" s="10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97"/>
      <c r="B439" s="97"/>
      <c r="C439" s="97"/>
      <c r="D439" s="10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97"/>
      <c r="B440" s="97"/>
      <c r="C440" s="97"/>
      <c r="D440" s="10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97"/>
      <c r="B441" s="97"/>
      <c r="C441" s="97"/>
      <c r="D441" s="10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97"/>
      <c r="B442" s="97"/>
      <c r="C442" s="97"/>
      <c r="D442" s="10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97"/>
      <c r="B443" s="97"/>
      <c r="C443" s="97"/>
      <c r="D443" s="10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97"/>
      <c r="B444" s="97"/>
      <c r="C444" s="97"/>
      <c r="D444" s="10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97"/>
      <c r="B445" s="97"/>
      <c r="C445" s="97"/>
      <c r="D445" s="10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97"/>
      <c r="B446" s="97"/>
      <c r="C446" s="97"/>
      <c r="D446" s="10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7"/>
      <c r="B447" s="97"/>
      <c r="C447" s="97"/>
      <c r="D447" s="10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7"/>
      <c r="B448" s="97"/>
      <c r="C448" s="97"/>
      <c r="D448" s="10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97"/>
      <c r="B449" s="97"/>
      <c r="C449" s="97"/>
      <c r="D449" s="10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97"/>
      <c r="B450" s="97"/>
      <c r="C450" s="97"/>
      <c r="D450" s="10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97"/>
      <c r="B451" s="97"/>
      <c r="C451" s="97"/>
      <c r="D451" s="10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97"/>
      <c r="B452" s="97"/>
      <c r="C452" s="97"/>
      <c r="D452" s="10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97"/>
      <c r="B453" s="97"/>
      <c r="C453" s="97"/>
      <c r="D453" s="10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97"/>
      <c r="B454" s="97"/>
      <c r="C454" s="97"/>
      <c r="D454" s="10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97"/>
      <c r="B455" s="97"/>
      <c r="C455" s="97"/>
      <c r="D455" s="10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97"/>
      <c r="B456" s="97"/>
      <c r="C456" s="97"/>
      <c r="D456" s="10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97"/>
      <c r="B457" s="97"/>
      <c r="C457" s="97"/>
      <c r="D457" s="10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97"/>
      <c r="B458" s="97"/>
      <c r="C458" s="97"/>
      <c r="D458" s="10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97"/>
      <c r="B459" s="97"/>
      <c r="C459" s="97"/>
      <c r="D459" s="10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97"/>
      <c r="B460" s="97"/>
      <c r="C460" s="97"/>
      <c r="D460" s="10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97"/>
      <c r="B461" s="97"/>
      <c r="C461" s="97"/>
      <c r="D461" s="10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7"/>
      <c r="B462" s="97"/>
      <c r="C462" s="97"/>
      <c r="D462" s="10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7"/>
      <c r="B463" s="97"/>
      <c r="C463" s="97"/>
      <c r="D463" s="10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97"/>
      <c r="B464" s="97"/>
      <c r="C464" s="97"/>
      <c r="D464" s="10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97"/>
      <c r="B465" s="97"/>
      <c r="C465" s="97"/>
      <c r="D465" s="10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97"/>
      <c r="B466" s="97"/>
      <c r="C466" s="97"/>
      <c r="D466" s="10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97"/>
      <c r="B467" s="97"/>
      <c r="C467" s="97"/>
      <c r="D467" s="10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97"/>
      <c r="B468" s="97"/>
      <c r="C468" s="97"/>
      <c r="D468" s="10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97"/>
      <c r="B469" s="97"/>
      <c r="C469" s="97"/>
      <c r="D469" s="10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97"/>
      <c r="B470" s="97"/>
      <c r="C470" s="97"/>
      <c r="D470" s="10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97"/>
      <c r="B471" s="97"/>
      <c r="C471" s="97"/>
      <c r="D471" s="10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97"/>
      <c r="B472" s="97"/>
      <c r="C472" s="97"/>
      <c r="D472" s="10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97"/>
      <c r="B473" s="97"/>
      <c r="C473" s="97"/>
      <c r="D473" s="10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97"/>
      <c r="B474" s="97"/>
      <c r="C474" s="97"/>
      <c r="D474" s="10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97"/>
      <c r="B475" s="97"/>
      <c r="C475" s="97"/>
      <c r="D475" s="10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97"/>
      <c r="B476" s="97"/>
      <c r="C476" s="97"/>
      <c r="D476" s="10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7"/>
      <c r="B477" s="97"/>
      <c r="C477" s="97"/>
      <c r="D477" s="10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7"/>
      <c r="B478" s="97"/>
      <c r="C478" s="97"/>
      <c r="D478" s="10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97"/>
      <c r="B479" s="97"/>
      <c r="C479" s="97"/>
      <c r="D479" s="10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97"/>
      <c r="B480" s="97"/>
      <c r="C480" s="97"/>
      <c r="D480" s="10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97"/>
      <c r="B481" s="97"/>
      <c r="C481" s="97"/>
      <c r="D481" s="10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97"/>
      <c r="B482" s="97"/>
      <c r="C482" s="97"/>
      <c r="D482" s="10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97"/>
      <c r="B483" s="97"/>
      <c r="C483" s="97"/>
      <c r="D483" s="10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97"/>
      <c r="B484" s="97"/>
      <c r="C484" s="97"/>
      <c r="D484" s="10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97"/>
      <c r="B485" s="97"/>
      <c r="C485" s="97"/>
      <c r="D485" s="10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97"/>
      <c r="B486" s="97"/>
      <c r="C486" s="97"/>
      <c r="D486" s="10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97"/>
      <c r="B487" s="97"/>
      <c r="C487" s="97"/>
      <c r="D487" s="10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97"/>
      <c r="B488" s="97"/>
      <c r="C488" s="97"/>
      <c r="D488" s="10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97"/>
      <c r="B489" s="97"/>
      <c r="C489" s="97"/>
      <c r="D489" s="10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97"/>
      <c r="B490" s="97"/>
      <c r="C490" s="97"/>
      <c r="D490" s="10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97"/>
      <c r="B491" s="97"/>
      <c r="C491" s="97"/>
      <c r="D491" s="10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7"/>
      <c r="B492" s="97"/>
      <c r="C492" s="97"/>
      <c r="D492" s="10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7"/>
      <c r="B493" s="97"/>
      <c r="C493" s="97"/>
      <c r="D493" s="10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97"/>
      <c r="B494" s="97"/>
      <c r="C494" s="97"/>
      <c r="D494" s="10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97"/>
      <c r="B495" s="97"/>
      <c r="C495" s="97"/>
      <c r="D495" s="10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97"/>
      <c r="B496" s="97"/>
      <c r="C496" s="97"/>
      <c r="D496" s="10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97"/>
      <c r="B497" s="97"/>
      <c r="C497" s="97"/>
      <c r="D497" s="10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97"/>
      <c r="B498" s="97"/>
      <c r="C498" s="97"/>
      <c r="D498" s="10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97"/>
      <c r="B499" s="97"/>
      <c r="C499" s="97"/>
      <c r="D499" s="10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97"/>
      <c r="B500" s="97"/>
      <c r="C500" s="97"/>
      <c r="D500" s="10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97"/>
      <c r="B501" s="97"/>
      <c r="C501" s="97"/>
      <c r="D501" s="10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97"/>
      <c r="B502" s="97"/>
      <c r="C502" s="97"/>
      <c r="D502" s="10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97"/>
      <c r="B503" s="97"/>
      <c r="C503" s="97"/>
      <c r="D503" s="10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97"/>
      <c r="B504" s="97"/>
      <c r="C504" s="97"/>
      <c r="D504" s="10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97"/>
      <c r="B505" s="97"/>
      <c r="C505" s="97"/>
      <c r="D505" s="10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97"/>
      <c r="B506" s="97"/>
      <c r="C506" s="97"/>
      <c r="D506" s="10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7"/>
      <c r="B507" s="97"/>
      <c r="C507" s="97"/>
      <c r="D507" s="10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7"/>
      <c r="B508" s="97"/>
      <c r="C508" s="97"/>
      <c r="D508" s="10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97"/>
      <c r="B509" s="97"/>
      <c r="C509" s="97"/>
      <c r="D509" s="10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97"/>
      <c r="B510" s="97"/>
      <c r="C510" s="97"/>
      <c r="D510" s="10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97"/>
      <c r="B511" s="97"/>
      <c r="C511" s="97"/>
      <c r="D511" s="10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97"/>
      <c r="B512" s="97"/>
      <c r="C512" s="97"/>
      <c r="D512" s="10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97"/>
      <c r="B513" s="97"/>
      <c r="C513" s="97"/>
      <c r="D513" s="10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97"/>
      <c r="B514" s="97"/>
      <c r="C514" s="97"/>
      <c r="D514" s="10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97"/>
      <c r="B515" s="97"/>
      <c r="C515" s="97"/>
      <c r="D515" s="10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97"/>
      <c r="B516" s="97"/>
      <c r="C516" s="97"/>
      <c r="D516" s="10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97"/>
      <c r="B517" s="97"/>
      <c r="C517" s="97"/>
      <c r="D517" s="10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97"/>
      <c r="B518" s="97"/>
      <c r="C518" s="97"/>
      <c r="D518" s="10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97"/>
      <c r="B519" s="97"/>
      <c r="C519" s="97"/>
      <c r="D519" s="10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97"/>
      <c r="B520" s="97"/>
      <c r="C520" s="97"/>
      <c r="D520" s="10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97"/>
      <c r="B521" s="97"/>
      <c r="C521" s="97"/>
      <c r="D521" s="10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7"/>
      <c r="B522" s="97"/>
      <c r="C522" s="97"/>
      <c r="D522" s="10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7"/>
      <c r="B523" s="97"/>
      <c r="C523" s="97"/>
      <c r="D523" s="10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97"/>
      <c r="B524" s="97"/>
      <c r="C524" s="97"/>
      <c r="D524" s="10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97"/>
      <c r="B525" s="97"/>
      <c r="C525" s="97"/>
      <c r="D525" s="10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97"/>
      <c r="B526" s="97"/>
      <c r="C526" s="97"/>
      <c r="D526" s="10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97"/>
      <c r="B527" s="97"/>
      <c r="C527" s="97"/>
      <c r="D527" s="10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97"/>
      <c r="B528" s="97"/>
      <c r="C528" s="97"/>
      <c r="D528" s="10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97"/>
      <c r="B529" s="97"/>
      <c r="C529" s="97"/>
      <c r="D529" s="10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97"/>
      <c r="B530" s="97"/>
      <c r="C530" s="97"/>
      <c r="D530" s="10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97"/>
      <c r="B531" s="97"/>
      <c r="C531" s="97"/>
      <c r="D531" s="10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97"/>
      <c r="B532" s="97"/>
      <c r="C532" s="97"/>
      <c r="D532" s="10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97"/>
      <c r="B533" s="97"/>
      <c r="C533" s="97"/>
      <c r="D533" s="10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97"/>
      <c r="B534" s="97"/>
      <c r="C534" s="97"/>
      <c r="D534" s="10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97"/>
      <c r="B535" s="97"/>
      <c r="C535" s="97"/>
      <c r="D535" s="10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97"/>
      <c r="B536" s="97"/>
      <c r="C536" s="97"/>
      <c r="D536" s="10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7"/>
      <c r="B537" s="97"/>
      <c r="C537" s="97"/>
      <c r="D537" s="10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7"/>
      <c r="B538" s="97"/>
      <c r="C538" s="97"/>
      <c r="D538" s="10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97"/>
      <c r="B539" s="97"/>
      <c r="C539" s="97"/>
      <c r="D539" s="10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97"/>
      <c r="B540" s="97"/>
      <c r="C540" s="97"/>
      <c r="D540" s="10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97"/>
      <c r="B541" s="97"/>
      <c r="C541" s="97"/>
      <c r="D541" s="10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97"/>
      <c r="B542" s="97"/>
      <c r="C542" s="97"/>
      <c r="D542" s="10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97"/>
      <c r="B543" s="97"/>
      <c r="C543" s="97"/>
      <c r="D543" s="10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97"/>
      <c r="B544" s="97"/>
      <c r="C544" s="97"/>
      <c r="D544" s="10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97"/>
      <c r="B545" s="97"/>
      <c r="C545" s="97"/>
      <c r="D545" s="10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97"/>
      <c r="B546" s="97"/>
      <c r="C546" s="97"/>
      <c r="D546" s="10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97"/>
      <c r="B547" s="97"/>
      <c r="C547" s="97"/>
      <c r="D547" s="10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97"/>
      <c r="B548" s="97"/>
      <c r="C548" s="97"/>
      <c r="D548" s="10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97"/>
      <c r="B549" s="97"/>
      <c r="C549" s="97"/>
      <c r="D549" s="10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97"/>
      <c r="B550" s="97"/>
      <c r="C550" s="97"/>
      <c r="D550" s="10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97"/>
      <c r="B551" s="97"/>
      <c r="C551" s="97"/>
      <c r="D551" s="10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7"/>
      <c r="B552" s="97"/>
      <c r="C552" s="97"/>
      <c r="D552" s="10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7"/>
      <c r="B553" s="97"/>
      <c r="C553" s="97"/>
      <c r="D553" s="10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97"/>
      <c r="B554" s="97"/>
      <c r="C554" s="97"/>
      <c r="D554" s="10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97"/>
      <c r="B555" s="97"/>
      <c r="C555" s="97"/>
      <c r="D555" s="10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97"/>
      <c r="B556" s="97"/>
      <c r="C556" s="97"/>
      <c r="D556" s="10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97"/>
      <c r="B557" s="97"/>
      <c r="C557" s="97"/>
      <c r="D557" s="10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97"/>
      <c r="B558" s="97"/>
      <c r="C558" s="97"/>
      <c r="D558" s="10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97"/>
      <c r="B559" s="97"/>
      <c r="C559" s="97"/>
      <c r="D559" s="10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97"/>
      <c r="B560" s="97"/>
      <c r="C560" s="97"/>
      <c r="D560" s="10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97"/>
      <c r="B561" s="97"/>
      <c r="C561" s="97"/>
      <c r="D561" s="10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97"/>
      <c r="B562" s="97"/>
      <c r="C562" s="97"/>
      <c r="D562" s="10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97"/>
      <c r="B563" s="97"/>
      <c r="C563" s="97"/>
      <c r="D563" s="10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97"/>
      <c r="B564" s="97"/>
      <c r="C564" s="97"/>
      <c r="D564" s="10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97"/>
      <c r="B565" s="97"/>
      <c r="C565" s="97"/>
      <c r="D565" s="10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97"/>
      <c r="B566" s="97"/>
      <c r="C566" s="97"/>
      <c r="D566" s="10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7"/>
      <c r="B567" s="97"/>
      <c r="C567" s="97"/>
      <c r="D567" s="10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7"/>
      <c r="B568" s="97"/>
      <c r="C568" s="97"/>
      <c r="D568" s="10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97"/>
      <c r="B569" s="97"/>
      <c r="C569" s="97"/>
      <c r="D569" s="10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97"/>
      <c r="B570" s="97"/>
      <c r="C570" s="97"/>
      <c r="D570" s="10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97"/>
      <c r="B571" s="97"/>
      <c r="C571" s="97"/>
      <c r="D571" s="10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97"/>
      <c r="B572" s="97"/>
      <c r="C572" s="97"/>
      <c r="D572" s="10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97"/>
      <c r="B573" s="97"/>
      <c r="C573" s="97"/>
      <c r="D573" s="10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97"/>
      <c r="B574" s="97"/>
      <c r="C574" s="97"/>
      <c r="D574" s="10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97"/>
      <c r="B575" s="97"/>
      <c r="C575" s="97"/>
      <c r="D575" s="10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97"/>
      <c r="B576" s="97"/>
      <c r="C576" s="97"/>
      <c r="D576" s="10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97"/>
      <c r="B577" s="97"/>
      <c r="C577" s="97"/>
      <c r="D577" s="10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97"/>
      <c r="B578" s="97"/>
      <c r="C578" s="97"/>
      <c r="D578" s="10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97"/>
      <c r="B579" s="97"/>
      <c r="C579" s="97"/>
      <c r="D579" s="10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97"/>
      <c r="B580" s="97"/>
      <c r="C580" s="97"/>
      <c r="D580" s="10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97"/>
      <c r="B581" s="97"/>
      <c r="C581" s="97"/>
      <c r="D581" s="10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7"/>
      <c r="B582" s="97"/>
      <c r="C582" s="97"/>
      <c r="D582" s="10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7"/>
      <c r="B583" s="97"/>
      <c r="C583" s="97"/>
      <c r="D583" s="10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97"/>
      <c r="B584" s="97"/>
      <c r="C584" s="97"/>
      <c r="D584" s="10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97"/>
      <c r="B585" s="97"/>
      <c r="C585" s="97"/>
      <c r="D585" s="10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97"/>
      <c r="B586" s="97"/>
      <c r="C586" s="97"/>
      <c r="D586" s="10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97"/>
      <c r="B587" s="97"/>
      <c r="C587" s="97"/>
      <c r="D587" s="10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97"/>
      <c r="B588" s="97"/>
      <c r="C588" s="97"/>
      <c r="D588" s="10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97"/>
      <c r="B589" s="97"/>
      <c r="C589" s="97"/>
      <c r="D589" s="10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97"/>
      <c r="B590" s="97"/>
      <c r="C590" s="97"/>
      <c r="D590" s="10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97"/>
      <c r="B591" s="97"/>
      <c r="C591" s="97"/>
      <c r="D591" s="10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97"/>
      <c r="B592" s="97"/>
      <c r="C592" s="97"/>
      <c r="D592" s="10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97"/>
      <c r="B593" s="97"/>
      <c r="C593" s="97"/>
      <c r="D593" s="10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97"/>
      <c r="B594" s="97"/>
      <c r="C594" s="97"/>
      <c r="D594" s="10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97"/>
      <c r="B595" s="97"/>
      <c r="C595" s="97"/>
      <c r="D595" s="10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97"/>
      <c r="B596" s="97"/>
      <c r="C596" s="97"/>
      <c r="D596" s="10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7"/>
      <c r="B597" s="97"/>
      <c r="C597" s="97"/>
      <c r="D597" s="10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7"/>
      <c r="B598" s="97"/>
      <c r="C598" s="97"/>
      <c r="D598" s="10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97"/>
      <c r="B599" s="97"/>
      <c r="C599" s="97"/>
      <c r="D599" s="10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97"/>
      <c r="B600" s="97"/>
      <c r="C600" s="97"/>
      <c r="D600" s="10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97"/>
      <c r="B601" s="97"/>
      <c r="C601" s="97"/>
      <c r="D601" s="10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97"/>
      <c r="B602" s="97"/>
      <c r="C602" s="97"/>
      <c r="D602" s="10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97"/>
      <c r="B603" s="97"/>
      <c r="C603" s="97"/>
      <c r="D603" s="10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97"/>
      <c r="B604" s="97"/>
      <c r="C604" s="97"/>
      <c r="D604" s="10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97"/>
      <c r="B605" s="97"/>
      <c r="C605" s="97"/>
      <c r="D605" s="10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97"/>
      <c r="B606" s="97"/>
      <c r="C606" s="97"/>
      <c r="D606" s="10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97"/>
      <c r="B607" s="97"/>
      <c r="C607" s="97"/>
      <c r="D607" s="10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97"/>
      <c r="B608" s="97"/>
      <c r="C608" s="97"/>
      <c r="D608" s="10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97"/>
      <c r="B609" s="97"/>
      <c r="C609" s="97"/>
      <c r="D609" s="10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97"/>
      <c r="B610" s="97"/>
      <c r="C610" s="97"/>
      <c r="D610" s="10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97"/>
      <c r="B611" s="97"/>
      <c r="C611" s="97"/>
      <c r="D611" s="10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7"/>
      <c r="B612" s="97"/>
      <c r="C612" s="97"/>
      <c r="D612" s="10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7"/>
      <c r="B613" s="97"/>
      <c r="C613" s="97"/>
      <c r="D613" s="10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97"/>
      <c r="B614" s="97"/>
      <c r="C614" s="97"/>
      <c r="D614" s="10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97"/>
      <c r="B615" s="97"/>
      <c r="C615" s="97"/>
      <c r="D615" s="10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97"/>
      <c r="B616" s="97"/>
      <c r="C616" s="97"/>
      <c r="D616" s="10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97"/>
      <c r="B617" s="97"/>
      <c r="C617" s="97"/>
      <c r="D617" s="10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97"/>
      <c r="B618" s="97"/>
      <c r="C618" s="97"/>
      <c r="D618" s="10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97"/>
      <c r="B619" s="97"/>
      <c r="C619" s="97"/>
      <c r="D619" s="10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97"/>
      <c r="B620" s="97"/>
      <c r="C620" s="97"/>
      <c r="D620" s="10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97"/>
      <c r="B621" s="97"/>
      <c r="C621" s="97"/>
      <c r="D621" s="10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97"/>
      <c r="B622" s="97"/>
      <c r="C622" s="97"/>
      <c r="D622" s="10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97"/>
      <c r="B623" s="97"/>
      <c r="C623" s="97"/>
      <c r="D623" s="10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97"/>
      <c r="B624" s="97"/>
      <c r="C624" s="97"/>
      <c r="D624" s="10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97"/>
      <c r="B625" s="97"/>
      <c r="C625" s="97"/>
      <c r="D625" s="10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97"/>
      <c r="B626" s="97"/>
      <c r="C626" s="97"/>
      <c r="D626" s="10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7"/>
      <c r="B627" s="97"/>
      <c r="C627" s="97"/>
      <c r="D627" s="10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7"/>
      <c r="B628" s="97"/>
      <c r="C628" s="97"/>
      <c r="D628" s="10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97"/>
      <c r="B629" s="97"/>
      <c r="C629" s="97"/>
      <c r="D629" s="10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97"/>
      <c r="B630" s="97"/>
      <c r="C630" s="97"/>
      <c r="D630" s="10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97"/>
      <c r="B631" s="97"/>
      <c r="C631" s="97"/>
      <c r="D631" s="10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97"/>
      <c r="B632" s="97"/>
      <c r="C632" s="97"/>
      <c r="D632" s="10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97"/>
      <c r="B633" s="97"/>
      <c r="C633" s="97"/>
      <c r="D633" s="10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97"/>
      <c r="B634" s="97"/>
      <c r="C634" s="97"/>
      <c r="D634" s="10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97"/>
      <c r="B635" s="97"/>
      <c r="C635" s="97"/>
      <c r="D635" s="10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97"/>
      <c r="B636" s="97"/>
      <c r="C636" s="97"/>
      <c r="D636" s="10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97"/>
      <c r="B637" s="97"/>
      <c r="C637" s="97"/>
      <c r="D637" s="10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97"/>
      <c r="B638" s="97"/>
      <c r="C638" s="97"/>
      <c r="D638" s="10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97"/>
      <c r="B639" s="97"/>
      <c r="C639" s="97"/>
      <c r="D639" s="10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97"/>
      <c r="B640" s="97"/>
      <c r="C640" s="97"/>
      <c r="D640" s="10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97"/>
      <c r="B641" s="97"/>
      <c r="C641" s="97"/>
      <c r="D641" s="10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7"/>
      <c r="B642" s="97"/>
      <c r="C642" s="97"/>
      <c r="D642" s="10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7"/>
      <c r="B643" s="97"/>
      <c r="C643" s="97"/>
      <c r="D643" s="10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97"/>
      <c r="B644" s="97"/>
      <c r="C644" s="97"/>
      <c r="D644" s="10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97"/>
      <c r="B645" s="97"/>
      <c r="C645" s="97"/>
      <c r="D645" s="10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97"/>
      <c r="B646" s="97"/>
      <c r="C646" s="97"/>
      <c r="D646" s="10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97"/>
      <c r="B647" s="97"/>
      <c r="C647" s="97"/>
      <c r="D647" s="10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97"/>
      <c r="B648" s="97"/>
      <c r="C648" s="97"/>
      <c r="D648" s="10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97"/>
      <c r="B649" s="97"/>
      <c r="C649" s="97"/>
      <c r="D649" s="10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97"/>
      <c r="B650" s="97"/>
      <c r="C650" s="97"/>
      <c r="D650" s="10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97"/>
      <c r="B651" s="97"/>
      <c r="C651" s="97"/>
      <c r="D651" s="10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97"/>
      <c r="B652" s="97"/>
      <c r="C652" s="97"/>
      <c r="D652" s="10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97"/>
      <c r="B653" s="97"/>
      <c r="C653" s="97"/>
      <c r="D653" s="10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97"/>
      <c r="B654" s="97"/>
      <c r="C654" s="97"/>
      <c r="D654" s="10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97"/>
      <c r="B655" s="97"/>
      <c r="C655" s="97"/>
      <c r="D655" s="10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97"/>
      <c r="B656" s="97"/>
      <c r="C656" s="97"/>
      <c r="D656" s="10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7"/>
      <c r="B657" s="97"/>
      <c r="C657" s="97"/>
      <c r="D657" s="10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7"/>
      <c r="B658" s="97"/>
      <c r="C658" s="97"/>
      <c r="D658" s="10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97"/>
      <c r="B659" s="97"/>
      <c r="C659" s="97"/>
      <c r="D659" s="10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97"/>
      <c r="B660" s="97"/>
      <c r="C660" s="97"/>
      <c r="D660" s="10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97"/>
      <c r="B661" s="97"/>
      <c r="C661" s="97"/>
      <c r="D661" s="10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97"/>
      <c r="B662" s="97"/>
      <c r="C662" s="97"/>
      <c r="D662" s="10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97"/>
      <c r="B663" s="97"/>
      <c r="C663" s="97"/>
      <c r="D663" s="10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97"/>
      <c r="B664" s="97"/>
      <c r="C664" s="97"/>
      <c r="D664" s="10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97"/>
      <c r="B665" s="97"/>
      <c r="C665" s="97"/>
      <c r="D665" s="10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97"/>
      <c r="B666" s="97"/>
      <c r="C666" s="97"/>
      <c r="D666" s="10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97"/>
      <c r="B667" s="97"/>
      <c r="C667" s="97"/>
      <c r="D667" s="10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97"/>
      <c r="B668" s="97"/>
      <c r="C668" s="97"/>
      <c r="D668" s="10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97"/>
      <c r="B669" s="97"/>
      <c r="C669" s="97"/>
      <c r="D669" s="10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97"/>
      <c r="B670" s="97"/>
      <c r="C670" s="97"/>
      <c r="D670" s="10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97"/>
      <c r="B671" s="97"/>
      <c r="C671" s="97"/>
      <c r="D671" s="10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7"/>
      <c r="B672" s="97"/>
      <c r="C672" s="97"/>
      <c r="D672" s="10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7"/>
      <c r="B673" s="97"/>
      <c r="C673" s="97"/>
      <c r="D673" s="10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97"/>
      <c r="B674" s="97"/>
      <c r="C674" s="97"/>
      <c r="D674" s="10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97"/>
      <c r="B675" s="97"/>
      <c r="C675" s="97"/>
      <c r="D675" s="10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97"/>
      <c r="B676" s="97"/>
      <c r="C676" s="97"/>
      <c r="D676" s="10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97"/>
      <c r="B677" s="97"/>
      <c r="C677" s="97"/>
      <c r="D677" s="10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97"/>
      <c r="B678" s="97"/>
      <c r="C678" s="97"/>
      <c r="D678" s="10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97"/>
      <c r="B679" s="97"/>
      <c r="C679" s="97"/>
      <c r="D679" s="10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97"/>
      <c r="B680" s="97"/>
      <c r="C680" s="97"/>
      <c r="D680" s="10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97"/>
      <c r="B681" s="97"/>
      <c r="C681" s="97"/>
      <c r="D681" s="10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97"/>
      <c r="B682" s="97"/>
      <c r="C682" s="97"/>
      <c r="D682" s="10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97"/>
      <c r="B683" s="97"/>
      <c r="C683" s="97"/>
      <c r="D683" s="10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97"/>
      <c r="B684" s="97"/>
      <c r="C684" s="97"/>
      <c r="D684" s="10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97"/>
      <c r="B685" s="97"/>
      <c r="C685" s="97"/>
      <c r="D685" s="10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97"/>
      <c r="B686" s="97"/>
      <c r="C686" s="97"/>
      <c r="D686" s="10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7"/>
      <c r="B687" s="97"/>
      <c r="C687" s="97"/>
      <c r="D687" s="10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7"/>
      <c r="B688" s="97"/>
      <c r="C688" s="97"/>
      <c r="D688" s="10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97"/>
      <c r="B689" s="97"/>
      <c r="C689" s="97"/>
      <c r="D689" s="10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97"/>
      <c r="B690" s="97"/>
      <c r="C690" s="97"/>
      <c r="D690" s="10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97"/>
      <c r="B691" s="97"/>
      <c r="C691" s="97"/>
      <c r="D691" s="10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97"/>
      <c r="B692" s="97"/>
      <c r="C692" s="97"/>
      <c r="D692" s="10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97"/>
      <c r="B693" s="97"/>
      <c r="C693" s="97"/>
      <c r="D693" s="10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97"/>
      <c r="B694" s="97"/>
      <c r="C694" s="97"/>
      <c r="D694" s="10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97"/>
      <c r="B695" s="97"/>
      <c r="C695" s="97"/>
      <c r="D695" s="10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97"/>
      <c r="B696" s="97"/>
      <c r="C696" s="97"/>
      <c r="D696" s="10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97"/>
      <c r="B697" s="97"/>
      <c r="C697" s="97"/>
      <c r="D697" s="10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97"/>
      <c r="B698" s="97"/>
      <c r="C698" s="97"/>
      <c r="D698" s="10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97"/>
      <c r="B699" s="97"/>
      <c r="C699" s="97"/>
      <c r="D699" s="10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97"/>
      <c r="B700" s="97"/>
      <c r="C700" s="97"/>
      <c r="D700" s="10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97"/>
      <c r="B701" s="97"/>
      <c r="C701" s="97"/>
      <c r="D701" s="10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7"/>
      <c r="B702" s="97"/>
      <c r="C702" s="97"/>
      <c r="D702" s="10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7"/>
      <c r="B703" s="97"/>
      <c r="C703" s="97"/>
      <c r="D703" s="10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97"/>
      <c r="B704" s="97"/>
      <c r="C704" s="97"/>
      <c r="D704" s="10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97"/>
      <c r="B705" s="97"/>
      <c r="C705" s="97"/>
      <c r="D705" s="10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97"/>
      <c r="B706" s="97"/>
      <c r="C706" s="97"/>
      <c r="D706" s="10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97"/>
      <c r="B707" s="97"/>
      <c r="C707" s="97"/>
      <c r="D707" s="10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97"/>
      <c r="B708" s="97"/>
      <c r="C708" s="97"/>
      <c r="D708" s="10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97"/>
      <c r="B709" s="97"/>
      <c r="C709" s="97"/>
      <c r="D709" s="10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97"/>
      <c r="B710" s="97"/>
      <c r="C710" s="97"/>
      <c r="D710" s="10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97"/>
      <c r="B711" s="97"/>
      <c r="C711" s="97"/>
      <c r="D711" s="10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97"/>
      <c r="B712" s="97"/>
      <c r="C712" s="97"/>
      <c r="D712" s="10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97"/>
      <c r="B713" s="97"/>
      <c r="C713" s="97"/>
      <c r="D713" s="10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97"/>
      <c r="B714" s="97"/>
      <c r="C714" s="97"/>
      <c r="D714" s="10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97"/>
      <c r="B715" s="97"/>
      <c r="C715" s="97"/>
      <c r="D715" s="10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97"/>
      <c r="B716" s="97"/>
      <c r="C716" s="97"/>
      <c r="D716" s="10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7"/>
      <c r="B717" s="97"/>
      <c r="C717" s="97"/>
      <c r="D717" s="10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7"/>
      <c r="B718" s="97"/>
      <c r="C718" s="97"/>
      <c r="D718" s="10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97"/>
      <c r="B719" s="97"/>
      <c r="C719" s="97"/>
      <c r="D719" s="10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97"/>
      <c r="B720" s="97"/>
      <c r="C720" s="97"/>
      <c r="D720" s="10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97"/>
      <c r="B721" s="97"/>
      <c r="C721" s="97"/>
      <c r="D721" s="10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97"/>
      <c r="B722" s="97"/>
      <c r="C722" s="97"/>
      <c r="D722" s="10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97"/>
      <c r="B723" s="97"/>
      <c r="C723" s="97"/>
      <c r="D723" s="10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97"/>
      <c r="B724" s="97"/>
      <c r="C724" s="97"/>
      <c r="D724" s="10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97"/>
      <c r="B725" s="97"/>
      <c r="C725" s="97"/>
      <c r="D725" s="10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97"/>
      <c r="B726" s="97"/>
      <c r="C726" s="97"/>
      <c r="D726" s="10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97"/>
      <c r="B727" s="97"/>
      <c r="C727" s="97"/>
      <c r="D727" s="10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97"/>
      <c r="B728" s="97"/>
      <c r="C728" s="97"/>
      <c r="D728" s="10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97"/>
      <c r="B729" s="97"/>
      <c r="C729" s="97"/>
      <c r="D729" s="10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97"/>
      <c r="B730" s="97"/>
      <c r="C730" s="97"/>
      <c r="D730" s="10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97"/>
      <c r="B731" s="97"/>
      <c r="C731" s="97"/>
      <c r="D731" s="10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7"/>
      <c r="B732" s="97"/>
      <c r="C732" s="97"/>
      <c r="D732" s="10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7"/>
      <c r="B733" s="97"/>
      <c r="C733" s="97"/>
      <c r="D733" s="10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97"/>
      <c r="B734" s="97"/>
      <c r="C734" s="97"/>
      <c r="D734" s="10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97"/>
      <c r="B735" s="97"/>
      <c r="C735" s="97"/>
      <c r="D735" s="10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97"/>
      <c r="B736" s="97"/>
      <c r="C736" s="97"/>
      <c r="D736" s="10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97"/>
      <c r="B737" s="97"/>
      <c r="C737" s="97"/>
      <c r="D737" s="10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97"/>
      <c r="B738" s="97"/>
      <c r="C738" s="97"/>
      <c r="D738" s="10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97"/>
      <c r="B739" s="97"/>
      <c r="C739" s="97"/>
      <c r="D739" s="10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97"/>
      <c r="B740" s="97"/>
      <c r="C740" s="97"/>
      <c r="D740" s="10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97"/>
      <c r="B741" s="97"/>
      <c r="C741" s="97"/>
      <c r="D741" s="10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97"/>
      <c r="B742" s="97"/>
      <c r="C742" s="97"/>
      <c r="D742" s="10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97"/>
      <c r="B743" s="97"/>
      <c r="C743" s="97"/>
      <c r="D743" s="10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97"/>
      <c r="B744" s="97"/>
      <c r="C744" s="97"/>
      <c r="D744" s="10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97"/>
      <c r="B745" s="97"/>
      <c r="C745" s="97"/>
      <c r="D745" s="10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97"/>
      <c r="B746" s="97"/>
      <c r="C746" s="97"/>
      <c r="D746" s="10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7"/>
      <c r="B747" s="97"/>
      <c r="C747" s="97"/>
      <c r="D747" s="10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7"/>
      <c r="B748" s="97"/>
      <c r="C748" s="97"/>
      <c r="D748" s="10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97"/>
      <c r="B749" s="97"/>
      <c r="C749" s="97"/>
      <c r="D749" s="10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97"/>
      <c r="B750" s="97"/>
      <c r="C750" s="97"/>
      <c r="D750" s="10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97"/>
      <c r="B751" s="97"/>
      <c r="C751" s="97"/>
      <c r="D751" s="10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97"/>
      <c r="B752" s="97"/>
      <c r="C752" s="97"/>
      <c r="D752" s="10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97"/>
      <c r="B753" s="97"/>
      <c r="C753" s="97"/>
      <c r="D753" s="10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97"/>
      <c r="B754" s="97"/>
      <c r="C754" s="97"/>
      <c r="D754" s="10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97"/>
      <c r="B755" s="97"/>
      <c r="C755" s="97"/>
      <c r="D755" s="10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97"/>
      <c r="B756" s="97"/>
      <c r="C756" s="97"/>
      <c r="D756" s="10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97"/>
      <c r="B757" s="97"/>
      <c r="C757" s="97"/>
      <c r="D757" s="10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97"/>
      <c r="B758" s="97"/>
      <c r="C758" s="97"/>
      <c r="D758" s="10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97"/>
      <c r="B759" s="97"/>
      <c r="C759" s="97"/>
      <c r="D759" s="10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97"/>
      <c r="B760" s="97"/>
      <c r="C760" s="97"/>
      <c r="D760" s="10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97"/>
      <c r="B761" s="97"/>
      <c r="C761" s="97"/>
      <c r="D761" s="10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7"/>
      <c r="B762" s="97"/>
      <c r="C762" s="97"/>
      <c r="D762" s="10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7"/>
      <c r="B763" s="97"/>
      <c r="C763" s="97"/>
      <c r="D763" s="10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97"/>
      <c r="B764" s="97"/>
      <c r="C764" s="97"/>
      <c r="D764" s="10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97"/>
      <c r="B765" s="97"/>
      <c r="C765" s="97"/>
      <c r="D765" s="10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97"/>
      <c r="B766" s="97"/>
      <c r="C766" s="97"/>
      <c r="D766" s="10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97"/>
      <c r="B767" s="97"/>
      <c r="C767" s="97"/>
      <c r="D767" s="10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97"/>
      <c r="B768" s="97"/>
      <c r="C768" s="97"/>
      <c r="D768" s="10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97"/>
      <c r="B769" s="97"/>
      <c r="C769" s="97"/>
      <c r="D769" s="10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97"/>
      <c r="B770" s="97"/>
      <c r="C770" s="97"/>
      <c r="D770" s="10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97"/>
      <c r="B771" s="97"/>
      <c r="C771" s="97"/>
      <c r="D771" s="10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97"/>
      <c r="B772" s="97"/>
      <c r="C772" s="97"/>
      <c r="D772" s="10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97"/>
      <c r="B773" s="97"/>
      <c r="C773" s="97"/>
      <c r="D773" s="10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97"/>
      <c r="B774" s="97"/>
      <c r="C774" s="97"/>
      <c r="D774" s="10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97"/>
      <c r="B775" s="97"/>
      <c r="C775" s="97"/>
      <c r="D775" s="10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97"/>
      <c r="B776" s="97"/>
      <c r="C776" s="97"/>
      <c r="D776" s="10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7"/>
      <c r="B777" s="97"/>
      <c r="C777" s="97"/>
      <c r="D777" s="10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7"/>
      <c r="B778" s="97"/>
      <c r="C778" s="97"/>
      <c r="D778" s="10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97"/>
      <c r="B779" s="97"/>
      <c r="C779" s="97"/>
      <c r="D779" s="10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97"/>
      <c r="B780" s="97"/>
      <c r="C780" s="97"/>
      <c r="D780" s="10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97"/>
      <c r="B781" s="97"/>
      <c r="C781" s="97"/>
      <c r="D781" s="10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97"/>
      <c r="B782" s="97"/>
      <c r="C782" s="97"/>
      <c r="D782" s="10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97"/>
      <c r="B783" s="97"/>
      <c r="C783" s="97"/>
      <c r="D783" s="10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97"/>
      <c r="B784" s="97"/>
      <c r="C784" s="97"/>
      <c r="D784" s="10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97"/>
      <c r="B785" s="97"/>
      <c r="C785" s="97"/>
      <c r="D785" s="10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97"/>
      <c r="B786" s="97"/>
      <c r="C786" s="97"/>
      <c r="D786" s="10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97"/>
      <c r="B787" s="97"/>
      <c r="C787" s="97"/>
      <c r="D787" s="10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97"/>
      <c r="B788" s="97"/>
      <c r="C788" s="97"/>
      <c r="D788" s="10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97"/>
      <c r="B789" s="97"/>
      <c r="C789" s="97"/>
      <c r="D789" s="10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97"/>
      <c r="B790" s="97"/>
      <c r="C790" s="97"/>
      <c r="D790" s="10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97"/>
      <c r="B791" s="97"/>
      <c r="C791" s="97"/>
      <c r="D791" s="10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7"/>
      <c r="B792" s="97"/>
      <c r="C792" s="97"/>
      <c r="D792" s="10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7"/>
      <c r="B793" s="97"/>
      <c r="C793" s="97"/>
      <c r="D793" s="10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97"/>
      <c r="B794" s="97"/>
      <c r="C794" s="97"/>
      <c r="D794" s="10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97"/>
      <c r="B795" s="97"/>
      <c r="C795" s="97"/>
      <c r="D795" s="10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97"/>
      <c r="B796" s="97"/>
      <c r="C796" s="97"/>
      <c r="D796" s="10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97"/>
      <c r="B797" s="97"/>
      <c r="C797" s="97"/>
      <c r="D797" s="10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97"/>
      <c r="B798" s="97"/>
      <c r="C798" s="97"/>
      <c r="D798" s="10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97"/>
      <c r="B799" s="97"/>
      <c r="C799" s="97"/>
      <c r="D799" s="10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97"/>
      <c r="B800" s="97"/>
      <c r="C800" s="97"/>
      <c r="D800" s="10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97"/>
      <c r="B801" s="97"/>
      <c r="C801" s="97"/>
      <c r="D801" s="10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97"/>
      <c r="B802" s="97"/>
      <c r="C802" s="97"/>
      <c r="D802" s="10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97"/>
      <c r="B803" s="97"/>
      <c r="C803" s="97"/>
      <c r="D803" s="10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97"/>
      <c r="B804" s="97"/>
      <c r="C804" s="97"/>
      <c r="D804" s="10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97"/>
      <c r="B805" s="97"/>
      <c r="C805" s="97"/>
      <c r="D805" s="10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97"/>
      <c r="B806" s="97"/>
      <c r="C806" s="97"/>
      <c r="D806" s="10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7"/>
      <c r="B807" s="97"/>
      <c r="C807" s="97"/>
      <c r="D807" s="10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7"/>
      <c r="B808" s="97"/>
      <c r="C808" s="97"/>
      <c r="D808" s="10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97"/>
      <c r="B809" s="97"/>
      <c r="C809" s="97"/>
      <c r="D809" s="10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97"/>
      <c r="B810" s="97"/>
      <c r="C810" s="97"/>
      <c r="D810" s="10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97"/>
      <c r="B811" s="97"/>
      <c r="C811" s="97"/>
      <c r="D811" s="10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97"/>
      <c r="B812" s="97"/>
      <c r="C812" s="97"/>
      <c r="D812" s="10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97"/>
      <c r="B813" s="97"/>
      <c r="C813" s="97"/>
      <c r="D813" s="10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97"/>
      <c r="B814" s="97"/>
      <c r="C814" s="97"/>
      <c r="D814" s="10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97"/>
      <c r="B815" s="97"/>
      <c r="C815" s="97"/>
      <c r="D815" s="10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97"/>
      <c r="B816" s="97"/>
      <c r="C816" s="97"/>
      <c r="D816" s="10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97"/>
      <c r="B817" s="97"/>
      <c r="C817" s="97"/>
      <c r="D817" s="10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97"/>
      <c r="B818" s="97"/>
      <c r="C818" s="97"/>
      <c r="D818" s="10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97"/>
      <c r="B819" s="97"/>
      <c r="C819" s="97"/>
      <c r="D819" s="10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97"/>
      <c r="B820" s="97"/>
      <c r="C820" s="97"/>
      <c r="D820" s="10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97"/>
      <c r="B821" s="97"/>
      <c r="C821" s="97"/>
      <c r="D821" s="10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7"/>
      <c r="B822" s="97"/>
      <c r="C822" s="97"/>
      <c r="D822" s="10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7"/>
      <c r="B823" s="97"/>
      <c r="C823" s="97"/>
      <c r="D823" s="10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97"/>
      <c r="B824" s="97"/>
      <c r="C824" s="97"/>
      <c r="D824" s="10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97"/>
      <c r="B825" s="97"/>
      <c r="C825" s="97"/>
      <c r="D825" s="10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97"/>
      <c r="B826" s="97"/>
      <c r="C826" s="97"/>
      <c r="D826" s="10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97"/>
      <c r="B827" s="97"/>
      <c r="C827" s="97"/>
      <c r="D827" s="10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97"/>
      <c r="B828" s="97"/>
      <c r="C828" s="97"/>
      <c r="D828" s="10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97"/>
      <c r="B829" s="97"/>
      <c r="C829" s="97"/>
      <c r="D829" s="10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97"/>
      <c r="B830" s="97"/>
      <c r="C830" s="97"/>
      <c r="D830" s="10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97"/>
      <c r="B831" s="97"/>
      <c r="C831" s="97"/>
      <c r="D831" s="10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97"/>
      <c r="B832" s="97"/>
      <c r="C832" s="97"/>
      <c r="D832" s="10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97"/>
      <c r="B833" s="97"/>
      <c r="C833" s="97"/>
      <c r="D833" s="10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97"/>
      <c r="B834" s="97"/>
      <c r="C834" s="97"/>
      <c r="D834" s="10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97"/>
      <c r="B835" s="97"/>
      <c r="C835" s="97"/>
      <c r="D835" s="10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97"/>
      <c r="B836" s="97"/>
      <c r="C836" s="97"/>
      <c r="D836" s="10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7"/>
      <c r="B837" s="97"/>
      <c r="C837" s="97"/>
      <c r="D837" s="10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7"/>
      <c r="B838" s="97"/>
      <c r="C838" s="97"/>
      <c r="D838" s="10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97"/>
      <c r="B839" s="97"/>
      <c r="C839" s="97"/>
      <c r="D839" s="10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97"/>
      <c r="B840" s="97"/>
      <c r="C840" s="97"/>
      <c r="D840" s="10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97"/>
      <c r="B841" s="97"/>
      <c r="C841" s="97"/>
      <c r="D841" s="10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97"/>
      <c r="B842" s="97"/>
      <c r="C842" s="97"/>
      <c r="D842" s="10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97"/>
      <c r="B843" s="97"/>
      <c r="C843" s="97"/>
      <c r="D843" s="10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97"/>
      <c r="B844" s="97"/>
      <c r="C844" s="97"/>
      <c r="D844" s="10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97"/>
      <c r="B845" s="97"/>
      <c r="C845" s="97"/>
      <c r="D845" s="10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97"/>
      <c r="B846" s="97"/>
      <c r="C846" s="97"/>
      <c r="D846" s="10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97"/>
      <c r="B847" s="97"/>
      <c r="C847" s="97"/>
      <c r="D847" s="10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97"/>
      <c r="B848" s="97"/>
      <c r="C848" s="97"/>
      <c r="D848" s="10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97"/>
      <c r="B849" s="97"/>
      <c r="C849" s="97"/>
      <c r="D849" s="10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97"/>
      <c r="B850" s="97"/>
      <c r="C850" s="97"/>
      <c r="D850" s="10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97"/>
      <c r="B851" s="97"/>
      <c r="C851" s="97"/>
      <c r="D851" s="10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7"/>
      <c r="B852" s="97"/>
      <c r="C852" s="97"/>
      <c r="D852" s="10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7"/>
      <c r="B853" s="97"/>
      <c r="C853" s="97"/>
      <c r="D853" s="10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97"/>
      <c r="B854" s="97"/>
      <c r="C854" s="97"/>
      <c r="D854" s="10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97"/>
      <c r="B855" s="97"/>
      <c r="C855" s="97"/>
      <c r="D855" s="10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97"/>
      <c r="B856" s="97"/>
      <c r="C856" s="97"/>
      <c r="D856" s="10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97"/>
      <c r="B857" s="97"/>
      <c r="C857" s="97"/>
      <c r="D857" s="10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97"/>
      <c r="B858" s="97"/>
      <c r="C858" s="97"/>
      <c r="D858" s="10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97"/>
      <c r="B859" s="97"/>
      <c r="C859" s="97"/>
      <c r="D859" s="10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97"/>
      <c r="B860" s="97"/>
      <c r="C860" s="97"/>
      <c r="D860" s="10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97"/>
      <c r="B861" s="97"/>
      <c r="C861" s="97"/>
      <c r="D861" s="10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97"/>
      <c r="B862" s="97"/>
      <c r="C862" s="97"/>
      <c r="D862" s="10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97"/>
      <c r="B863" s="97"/>
      <c r="C863" s="97"/>
      <c r="D863" s="10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97"/>
      <c r="B864" s="97"/>
      <c r="C864" s="97"/>
      <c r="D864" s="10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97"/>
      <c r="B865" s="97"/>
      <c r="C865" s="97"/>
      <c r="D865" s="10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97"/>
      <c r="B866" s="97"/>
      <c r="C866" s="97"/>
      <c r="D866" s="10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7"/>
      <c r="B867" s="97"/>
      <c r="C867" s="97"/>
      <c r="D867" s="10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7"/>
      <c r="B868" s="97"/>
      <c r="C868" s="97"/>
      <c r="D868" s="10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97"/>
      <c r="B869" s="97"/>
      <c r="C869" s="97"/>
      <c r="D869" s="10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97"/>
      <c r="B870" s="97"/>
      <c r="C870" s="97"/>
      <c r="D870" s="10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97"/>
      <c r="B871" s="97"/>
      <c r="C871" s="97"/>
      <c r="D871" s="10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97"/>
      <c r="B872" s="97"/>
      <c r="C872" s="97"/>
      <c r="D872" s="10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97"/>
      <c r="B873" s="97"/>
      <c r="C873" s="97"/>
      <c r="D873" s="10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97"/>
      <c r="B874" s="97"/>
      <c r="C874" s="97"/>
      <c r="D874" s="10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97"/>
      <c r="B875" s="97"/>
      <c r="C875" s="97"/>
      <c r="D875" s="10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97"/>
      <c r="B876" s="97"/>
      <c r="C876" s="97"/>
      <c r="D876" s="10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97"/>
      <c r="B877" s="97"/>
      <c r="C877" s="97"/>
      <c r="D877" s="10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97"/>
      <c r="B878" s="97"/>
      <c r="C878" s="97"/>
      <c r="D878" s="10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97"/>
      <c r="B879" s="97"/>
      <c r="C879" s="97"/>
      <c r="D879" s="10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97"/>
      <c r="B880" s="97"/>
      <c r="C880" s="97"/>
      <c r="D880" s="10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97"/>
      <c r="B881" s="97"/>
      <c r="C881" s="97"/>
      <c r="D881" s="10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7"/>
      <c r="B882" s="97"/>
      <c r="C882" s="97"/>
      <c r="D882" s="10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7"/>
      <c r="B883" s="97"/>
      <c r="C883" s="97"/>
      <c r="D883" s="10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97"/>
      <c r="B884" s="97"/>
      <c r="C884" s="97"/>
      <c r="D884" s="10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97"/>
      <c r="B885" s="97"/>
      <c r="C885" s="97"/>
      <c r="D885" s="10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97"/>
      <c r="B886" s="97"/>
      <c r="C886" s="97"/>
      <c r="D886" s="10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97"/>
      <c r="B887" s="97"/>
      <c r="C887" s="97"/>
      <c r="D887" s="10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97"/>
      <c r="B888" s="97"/>
      <c r="C888" s="97"/>
      <c r="D888" s="10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97"/>
      <c r="B889" s="97"/>
      <c r="C889" s="97"/>
      <c r="D889" s="10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97"/>
      <c r="B890" s="97"/>
      <c r="C890" s="97"/>
      <c r="D890" s="10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97"/>
      <c r="B891" s="97"/>
      <c r="C891" s="97"/>
      <c r="D891" s="10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97"/>
      <c r="B892" s="97"/>
      <c r="C892" s="97"/>
      <c r="D892" s="10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97"/>
      <c r="B893" s="97"/>
      <c r="C893" s="97"/>
      <c r="D893" s="10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97"/>
      <c r="B894" s="97"/>
      <c r="C894" s="97"/>
      <c r="D894" s="10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97"/>
      <c r="B895" s="97"/>
      <c r="C895" s="97"/>
      <c r="D895" s="10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97"/>
      <c r="B896" s="97"/>
      <c r="C896" s="97"/>
      <c r="D896" s="10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7"/>
      <c r="B897" s="97"/>
      <c r="C897" s="97"/>
      <c r="D897" s="10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7"/>
      <c r="B898" s="97"/>
      <c r="C898" s="97"/>
      <c r="D898" s="10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97"/>
      <c r="B899" s="97"/>
      <c r="C899" s="97"/>
      <c r="D899" s="10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97"/>
      <c r="B900" s="97"/>
      <c r="C900" s="97"/>
      <c r="D900" s="10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97"/>
      <c r="B901" s="97"/>
      <c r="C901" s="97"/>
      <c r="D901" s="10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97"/>
      <c r="B902" s="97"/>
      <c r="C902" s="97"/>
      <c r="D902" s="10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97"/>
      <c r="B903" s="97"/>
      <c r="C903" s="97"/>
      <c r="D903" s="10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97"/>
      <c r="B904" s="97"/>
      <c r="C904" s="97"/>
      <c r="D904" s="10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97"/>
      <c r="B905" s="97"/>
      <c r="C905" s="97"/>
      <c r="D905" s="10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97"/>
      <c r="B906" s="97"/>
      <c r="C906" s="97"/>
      <c r="D906" s="10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97"/>
      <c r="B907" s="97"/>
      <c r="C907" s="97"/>
      <c r="D907" s="10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97"/>
      <c r="B908" s="97"/>
      <c r="C908" s="97"/>
      <c r="D908" s="10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97"/>
      <c r="B909" s="97"/>
      <c r="C909" s="97"/>
      <c r="D909" s="10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97"/>
      <c r="B910" s="97"/>
      <c r="C910" s="97"/>
      <c r="D910" s="10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97"/>
      <c r="B911" s="97"/>
      <c r="C911" s="97"/>
      <c r="D911" s="10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7"/>
      <c r="B912" s="97"/>
      <c r="C912" s="97"/>
      <c r="D912" s="10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7"/>
      <c r="B913" s="97"/>
      <c r="C913" s="97"/>
      <c r="D913" s="10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97"/>
      <c r="B914" s="97"/>
      <c r="C914" s="97"/>
      <c r="D914" s="10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97"/>
      <c r="B915" s="97"/>
      <c r="C915" s="97"/>
      <c r="D915" s="10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97"/>
      <c r="B916" s="97"/>
      <c r="C916" s="97"/>
      <c r="D916" s="10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97"/>
      <c r="B917" s="97"/>
      <c r="C917" s="97"/>
      <c r="D917" s="10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97"/>
      <c r="B918" s="97"/>
      <c r="C918" s="97"/>
      <c r="D918" s="10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97"/>
      <c r="B919" s="97"/>
      <c r="C919" s="97"/>
      <c r="D919" s="10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97"/>
      <c r="B920" s="97"/>
      <c r="C920" s="97"/>
      <c r="D920" s="10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97"/>
      <c r="B921" s="97"/>
      <c r="C921" s="97"/>
      <c r="D921" s="10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97"/>
      <c r="B922" s="97"/>
      <c r="C922" s="97"/>
      <c r="D922" s="10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97"/>
      <c r="B923" s="97"/>
      <c r="C923" s="97"/>
      <c r="D923" s="10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97"/>
      <c r="B924" s="97"/>
      <c r="C924" s="97"/>
      <c r="D924" s="10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97"/>
      <c r="B925" s="97"/>
      <c r="C925" s="97"/>
      <c r="D925" s="10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97"/>
      <c r="B926" s="97"/>
      <c r="C926" s="97"/>
      <c r="D926" s="10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7"/>
      <c r="B927" s="97"/>
      <c r="C927" s="97"/>
      <c r="D927" s="10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7"/>
      <c r="B928" s="97"/>
      <c r="C928" s="97"/>
      <c r="D928" s="10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97"/>
      <c r="B929" s="97"/>
      <c r="C929" s="97"/>
      <c r="D929" s="10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97"/>
      <c r="B930" s="97"/>
      <c r="C930" s="97"/>
      <c r="D930" s="10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97"/>
      <c r="B931" s="97"/>
      <c r="C931" s="97"/>
      <c r="D931" s="10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97"/>
      <c r="B932" s="97"/>
      <c r="C932" s="97"/>
      <c r="D932" s="10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97"/>
      <c r="B933" s="97"/>
      <c r="C933" s="97"/>
      <c r="D933" s="10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97"/>
      <c r="B934" s="97"/>
      <c r="C934" s="97"/>
      <c r="D934" s="10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97"/>
      <c r="B935" s="97"/>
      <c r="C935" s="97"/>
      <c r="D935" s="10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97"/>
      <c r="B936" s="97"/>
      <c r="C936" s="97"/>
      <c r="D936" s="10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97"/>
      <c r="B937" s="97"/>
      <c r="C937" s="97"/>
      <c r="D937" s="10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97"/>
      <c r="B938" s="97"/>
      <c r="C938" s="97"/>
      <c r="D938" s="10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97"/>
      <c r="B939" s="97"/>
      <c r="C939" s="97"/>
      <c r="D939" s="10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97"/>
      <c r="B940" s="97"/>
      <c r="C940" s="97"/>
      <c r="D940" s="10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97"/>
      <c r="B941" s="97"/>
      <c r="C941" s="97"/>
      <c r="D941" s="10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7"/>
      <c r="B942" s="97"/>
      <c r="C942" s="97"/>
      <c r="D942" s="10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7"/>
      <c r="B943" s="97"/>
      <c r="C943" s="97"/>
      <c r="D943" s="10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97"/>
      <c r="B944" s="97"/>
      <c r="C944" s="97"/>
      <c r="D944" s="10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97"/>
      <c r="B945" s="97"/>
      <c r="C945" s="97"/>
      <c r="D945" s="10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97"/>
      <c r="B946" s="97"/>
      <c r="C946" s="97"/>
      <c r="D946" s="10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97"/>
      <c r="B947" s="97"/>
      <c r="C947" s="97"/>
      <c r="D947" s="10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97"/>
      <c r="B948" s="97"/>
      <c r="C948" s="97"/>
      <c r="D948" s="10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97"/>
      <c r="B949" s="97"/>
      <c r="C949" s="97"/>
      <c r="D949" s="10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97"/>
      <c r="B950" s="97"/>
      <c r="C950" s="97"/>
      <c r="D950" s="10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97"/>
      <c r="B951" s="97"/>
      <c r="C951" s="97"/>
      <c r="D951" s="10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97"/>
      <c r="B952" s="97"/>
      <c r="C952" s="97"/>
      <c r="D952" s="10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97"/>
      <c r="B953" s="97"/>
      <c r="C953" s="97"/>
      <c r="D953" s="10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97"/>
      <c r="B954" s="97"/>
      <c r="C954" s="97"/>
      <c r="D954" s="10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97"/>
      <c r="B955" s="97"/>
      <c r="C955" s="97"/>
      <c r="D955" s="10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97"/>
      <c r="B956" s="97"/>
      <c r="C956" s="97"/>
      <c r="D956" s="10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7"/>
      <c r="B957" s="97"/>
      <c r="C957" s="97"/>
      <c r="D957" s="10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7"/>
      <c r="B958" s="97"/>
      <c r="C958" s="97"/>
      <c r="D958" s="10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97"/>
      <c r="B959" s="97"/>
      <c r="C959" s="97"/>
      <c r="D959" s="10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97"/>
      <c r="B960" s="97"/>
      <c r="C960" s="97"/>
      <c r="D960" s="10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97"/>
      <c r="B961" s="97"/>
      <c r="C961" s="97"/>
      <c r="D961" s="10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97"/>
      <c r="B962" s="97"/>
      <c r="C962" s="97"/>
      <c r="D962" s="10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97"/>
      <c r="B963" s="97"/>
      <c r="C963" s="97"/>
      <c r="D963" s="10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97"/>
      <c r="B964" s="97"/>
      <c r="C964" s="97"/>
      <c r="D964" s="10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97"/>
      <c r="B965" s="97"/>
      <c r="C965" s="97"/>
      <c r="D965" s="10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97"/>
      <c r="B966" s="97"/>
      <c r="C966" s="97"/>
      <c r="D966" s="10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97"/>
      <c r="B967" s="97"/>
      <c r="C967" s="97"/>
      <c r="D967" s="10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97"/>
      <c r="B968" s="97"/>
      <c r="C968" s="97"/>
      <c r="D968" s="10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7"/>
      <c r="B969" s="97"/>
      <c r="C969" s="97"/>
      <c r="D969" s="10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7"/>
      <c r="B970" s="97"/>
      <c r="C970" s="97"/>
      <c r="D970" s="10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7"/>
      <c r="B971" s="97"/>
      <c r="C971" s="97"/>
      <c r="D971" s="10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7"/>
      <c r="B972" s="97"/>
      <c r="C972" s="97"/>
      <c r="D972" s="10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7"/>
      <c r="B973" s="97"/>
      <c r="C973" s="97"/>
      <c r="D973" s="10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97"/>
      <c r="B974" s="97"/>
      <c r="C974" s="97"/>
      <c r="D974" s="10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97"/>
      <c r="B975" s="97"/>
      <c r="C975" s="97"/>
      <c r="D975" s="10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97"/>
      <c r="B976" s="97"/>
      <c r="C976" s="97"/>
      <c r="D976" s="10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97"/>
      <c r="B977" s="97"/>
      <c r="C977" s="97"/>
      <c r="D977" s="10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97"/>
      <c r="B978" s="97"/>
      <c r="C978" s="97"/>
      <c r="D978" s="10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97"/>
      <c r="B979" s="97"/>
      <c r="C979" s="97"/>
      <c r="D979" s="10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97"/>
      <c r="B980" s="97"/>
      <c r="C980" s="97"/>
      <c r="D980" s="10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97"/>
      <c r="B981" s="97"/>
      <c r="C981" s="97"/>
      <c r="D981" s="10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97"/>
      <c r="B982" s="97"/>
      <c r="C982" s="97"/>
      <c r="D982" s="10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97"/>
      <c r="B983" s="97"/>
      <c r="C983" s="97"/>
      <c r="D983" s="10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97"/>
      <c r="B984" s="97"/>
      <c r="C984" s="97"/>
      <c r="D984" s="10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1.22" defaultRowHeight="15.0"/>
  <cols>
    <col customWidth="1" min="1" max="1" width="23.89"/>
    <col customWidth="1" min="2" max="2" width="15.11"/>
    <col customWidth="1" min="3" max="3" width="22.44"/>
    <col customWidth="1" min="4" max="26" width="8.56"/>
  </cols>
  <sheetData>
    <row r="1">
      <c r="A1" s="108" t="s">
        <v>491</v>
      </c>
      <c r="B1" s="109" t="s">
        <v>389</v>
      </c>
      <c r="C1" s="109" t="s">
        <v>391</v>
      </c>
      <c r="D1" s="110"/>
      <c r="E1" s="110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111" t="s">
        <v>492</v>
      </c>
      <c r="B2" s="112">
        <v>0.0155</v>
      </c>
      <c r="C2" s="112">
        <v>0.0</v>
      </c>
      <c r="D2" s="113"/>
      <c r="E2" s="113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11" t="s">
        <v>417</v>
      </c>
      <c r="B3" s="112">
        <v>0.0283</v>
      </c>
      <c r="C3" s="112">
        <v>0.0</v>
      </c>
      <c r="D3" s="113"/>
      <c r="E3" s="113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11" t="s">
        <v>493</v>
      </c>
      <c r="B4" s="112">
        <v>0.0283</v>
      </c>
      <c r="C4" s="112">
        <v>0.0</v>
      </c>
      <c r="D4" s="113"/>
      <c r="E4" s="113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11" t="s">
        <v>441</v>
      </c>
      <c r="B5" s="112">
        <v>0.0313</v>
      </c>
      <c r="C5" s="112">
        <v>0.0</v>
      </c>
      <c r="D5" s="113"/>
      <c r="E5" s="113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11" t="s">
        <v>437</v>
      </c>
      <c r="B6" s="112">
        <v>0.0313</v>
      </c>
      <c r="C6" s="112">
        <v>0.0</v>
      </c>
      <c r="D6" s="113"/>
      <c r="E6" s="113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11" t="s">
        <v>443</v>
      </c>
      <c r="B7" s="112">
        <v>0.0313</v>
      </c>
      <c r="C7" s="112">
        <v>0.0</v>
      </c>
      <c r="D7" s="113"/>
      <c r="E7" s="113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11" t="s">
        <v>430</v>
      </c>
      <c r="B8" s="112">
        <v>0.0313</v>
      </c>
      <c r="C8" s="112">
        <v>0.0</v>
      </c>
      <c r="D8" s="113"/>
      <c r="E8" s="113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11" t="s">
        <v>414</v>
      </c>
      <c r="B9" s="112">
        <v>0.0313</v>
      </c>
      <c r="C9" s="112">
        <v>0.0</v>
      </c>
      <c r="D9" s="113"/>
      <c r="E9" s="113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14" t="s">
        <v>434</v>
      </c>
      <c r="B10" s="115">
        <v>0.0</v>
      </c>
      <c r="C10" s="115">
        <v>0.0</v>
      </c>
      <c r="D10" s="116">
        <v>0.0363</v>
      </c>
      <c r="E10" s="117" t="s">
        <v>494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14" t="s">
        <v>404</v>
      </c>
      <c r="B11" s="115">
        <v>0.0</v>
      </c>
      <c r="C11" s="115">
        <v>0.0</v>
      </c>
      <c r="D11" s="113"/>
      <c r="E11" s="113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14" t="s">
        <v>495</v>
      </c>
      <c r="B12" s="115">
        <v>0.0</v>
      </c>
      <c r="C12" s="115">
        <v>0.0</v>
      </c>
      <c r="D12" s="113"/>
      <c r="E12" s="113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114" t="s">
        <v>496</v>
      </c>
      <c r="B13" s="115">
        <v>0.0</v>
      </c>
      <c r="C13" s="115">
        <v>0.0</v>
      </c>
      <c r="D13" s="113"/>
      <c r="E13" s="113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114" t="s">
        <v>497</v>
      </c>
      <c r="B14" s="115">
        <v>0.0</v>
      </c>
      <c r="C14" s="115">
        <v>0.0</v>
      </c>
      <c r="D14" s="113"/>
      <c r="E14" s="113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14" t="s">
        <v>498</v>
      </c>
      <c r="B15" s="115">
        <v>0.0</v>
      </c>
      <c r="C15" s="115">
        <v>0.0</v>
      </c>
      <c r="D15" s="113"/>
      <c r="E15" s="113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14" t="s">
        <v>499</v>
      </c>
      <c r="B16" s="115">
        <v>0.0</v>
      </c>
      <c r="C16" s="115">
        <v>0.0</v>
      </c>
      <c r="D16" s="113"/>
      <c r="E16" s="113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14" t="s">
        <v>500</v>
      </c>
      <c r="B17" s="118">
        <v>0.0</v>
      </c>
      <c r="C17" s="115">
        <v>0.0</v>
      </c>
      <c r="D17" s="113"/>
      <c r="E17" s="113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14" t="s">
        <v>501</v>
      </c>
      <c r="B18" s="115">
        <v>0.0</v>
      </c>
      <c r="C18" s="115">
        <v>0.0</v>
      </c>
      <c r="D18" s="113"/>
      <c r="E18" s="113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3.44"/>
    <col customWidth="1" min="2" max="2" width="30.11"/>
    <col customWidth="1" min="3" max="3" width="39.22"/>
    <col customWidth="1" hidden="1" min="4" max="4" width="17.22"/>
    <col customWidth="1" min="5" max="5" width="3.44"/>
    <col customWidth="1" min="6" max="6" width="17.44"/>
    <col customWidth="1" min="7" max="7" width="13.67"/>
    <col customWidth="1" min="8" max="8" width="14.22"/>
    <col customWidth="1" min="9" max="9" width="12.44"/>
    <col customWidth="1" min="10" max="10" width="14.22"/>
    <col customWidth="1" min="11" max="11" width="13.67"/>
    <col customWidth="1" min="12" max="12" width="14.22"/>
    <col customWidth="1" min="13" max="13" width="13.67"/>
    <col customWidth="1" min="14" max="14" width="14.22"/>
    <col customWidth="1" min="15" max="15" width="12.22"/>
    <col customWidth="1" min="16" max="26" width="7.56"/>
  </cols>
  <sheetData>
    <row r="1" ht="14.25" customHeight="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ht="25.5" customHeight="1">
      <c r="A2" s="119"/>
      <c r="B2" s="120" t="s">
        <v>502</v>
      </c>
      <c r="C2" s="121"/>
      <c r="D2" s="31"/>
      <c r="E2" s="119"/>
      <c r="F2" s="122" t="str">
        <f>B2</f>
        <v>Mesojectium</v>
      </c>
      <c r="G2" s="123"/>
      <c r="H2" s="123"/>
      <c r="I2" s="123"/>
      <c r="J2" s="123"/>
      <c r="K2" s="123"/>
      <c r="L2" s="123"/>
      <c r="M2" s="123"/>
      <c r="N2" s="123"/>
      <c r="O2" s="124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ht="15.75" customHeight="1">
      <c r="A3" s="119"/>
      <c r="B3" s="11" t="s">
        <v>503</v>
      </c>
      <c r="C3" s="125">
        <v>29900.0</v>
      </c>
      <c r="D3" s="126"/>
      <c r="E3" s="119"/>
      <c r="F3" s="127" t="s">
        <v>504</v>
      </c>
      <c r="G3" s="128"/>
      <c r="H3" s="128"/>
      <c r="I3" s="128"/>
      <c r="J3" s="128"/>
      <c r="K3" s="128"/>
      <c r="L3" s="128"/>
      <c r="M3" s="128"/>
      <c r="N3" s="128"/>
      <c r="O3" s="12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ht="15.75" customHeight="1">
      <c r="A4" s="119"/>
      <c r="B4" s="11" t="s">
        <v>505</v>
      </c>
      <c r="C4" s="130">
        <v>60.0</v>
      </c>
      <c r="D4" s="131"/>
      <c r="E4" s="119"/>
      <c r="F4" s="132">
        <v>0.1</v>
      </c>
      <c r="G4" s="133">
        <f>C25*F4</f>
        <v>38400</v>
      </c>
      <c r="H4" s="132">
        <v>0.2</v>
      </c>
      <c r="I4" s="133">
        <f>C25*H4</f>
        <v>76800</v>
      </c>
      <c r="J4" s="132">
        <v>0.3</v>
      </c>
      <c r="K4" s="133">
        <f>C25*J4</f>
        <v>115200</v>
      </c>
      <c r="L4" s="132">
        <v>0.4</v>
      </c>
      <c r="M4" s="133">
        <f>C25*L4</f>
        <v>153600</v>
      </c>
      <c r="N4" s="132">
        <v>0.5</v>
      </c>
      <c r="O4" s="133">
        <f>C25*N4</f>
        <v>192000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ht="15.75" customHeight="1">
      <c r="A5" s="119"/>
      <c r="B5" s="11" t="s">
        <v>506</v>
      </c>
      <c r="C5" s="125">
        <f>($C$3-$C$6)/$C$4</f>
        <v>299</v>
      </c>
      <c r="D5" s="131"/>
      <c r="E5" s="119"/>
      <c r="F5" s="134" t="s">
        <v>507</v>
      </c>
      <c r="G5" s="135">
        <f>G4/C17</f>
        <v>32</v>
      </c>
      <c r="H5" s="134" t="s">
        <v>507</v>
      </c>
      <c r="I5" s="135">
        <f>I4/C17</f>
        <v>64</v>
      </c>
      <c r="J5" s="134" t="s">
        <v>507</v>
      </c>
      <c r="K5" s="135">
        <f>K4/C17</f>
        <v>96</v>
      </c>
      <c r="L5" s="134" t="s">
        <v>507</v>
      </c>
      <c r="M5" s="135">
        <f>M4/C17</f>
        <v>128</v>
      </c>
      <c r="N5" s="134" t="s">
        <v>507</v>
      </c>
      <c r="O5" s="135">
        <f>O4/C17</f>
        <v>160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ht="15.75" customHeight="1">
      <c r="A6" s="119"/>
      <c r="B6" s="11" t="s">
        <v>508</v>
      </c>
      <c r="C6" s="125">
        <f>C3*40%</f>
        <v>11960</v>
      </c>
      <c r="D6" s="126"/>
      <c r="E6" s="119"/>
      <c r="F6" s="134" t="s">
        <v>509</v>
      </c>
      <c r="G6" s="136">
        <f>(G5*(C12+C14+C13+C15))+C10</f>
        <v>16401.32366</v>
      </c>
      <c r="H6" s="134" t="s">
        <v>509</v>
      </c>
      <c r="I6" s="136">
        <f>(I5*(C12+C14+C13+C15))+C10</f>
        <v>29829.80366</v>
      </c>
      <c r="J6" s="134" t="s">
        <v>509</v>
      </c>
      <c r="K6" s="136">
        <f>(K5*(C12+C14+C13+C15))+C10</f>
        <v>43258.28366</v>
      </c>
      <c r="L6" s="134" t="s">
        <v>509</v>
      </c>
      <c r="M6" s="136">
        <f>(M5*(C12+C14+C13+C15))+C10</f>
        <v>56686.76366</v>
      </c>
      <c r="N6" s="134" t="s">
        <v>509</v>
      </c>
      <c r="O6" s="136">
        <f>(O5*(C12+C14+C13+C15))+C10</f>
        <v>70115.24366</v>
      </c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ht="15.75" customHeight="1">
      <c r="A7" s="119"/>
      <c r="B7" s="11" t="s">
        <v>510</v>
      </c>
      <c r="C7" s="137">
        <f>FV(0.5%,C4,0,-C3,0)</f>
        <v>40330.61956</v>
      </c>
      <c r="D7" s="126"/>
      <c r="E7" s="119"/>
      <c r="F7" s="138" t="s">
        <v>511</v>
      </c>
      <c r="G7" s="136">
        <v>0.0</v>
      </c>
      <c r="H7" s="138" t="s">
        <v>511</v>
      </c>
      <c r="I7" s="136">
        <v>0.0</v>
      </c>
      <c r="J7" s="138" t="s">
        <v>511</v>
      </c>
      <c r="K7" s="136">
        <v>0.0</v>
      </c>
      <c r="L7" s="138" t="s">
        <v>511</v>
      </c>
      <c r="M7" s="136">
        <v>0.0</v>
      </c>
      <c r="N7" s="138" t="s">
        <v>511</v>
      </c>
      <c r="O7" s="136">
        <v>0.0</v>
      </c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ht="17.25" customHeight="1">
      <c r="A8" s="119"/>
      <c r="B8" s="11" t="s">
        <v>512</v>
      </c>
      <c r="C8" s="125">
        <f>$C$7-$C$3</f>
        <v>10430.61956</v>
      </c>
      <c r="D8" s="126"/>
      <c r="E8" s="119"/>
      <c r="F8" s="139" t="s">
        <v>513</v>
      </c>
      <c r="G8" s="140">
        <f>G4-(G6+G7)</f>
        <v>21998.67634</v>
      </c>
      <c r="H8" s="141" t="s">
        <v>513</v>
      </c>
      <c r="I8" s="140">
        <f>I4-(I6+I7)</f>
        <v>46970.19634</v>
      </c>
      <c r="J8" s="139" t="s">
        <v>513</v>
      </c>
      <c r="K8" s="140">
        <f>K4-(K6+K7)</f>
        <v>71941.71634</v>
      </c>
      <c r="L8" s="139" t="s">
        <v>513</v>
      </c>
      <c r="M8" s="140">
        <f>M4-(M6+M7)</f>
        <v>96913.23634</v>
      </c>
      <c r="N8" s="139" t="s">
        <v>513</v>
      </c>
      <c r="O8" s="140">
        <f>O4-(O6+O7)</f>
        <v>121884.7563</v>
      </c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ht="15.75" customHeight="1">
      <c r="A9" s="119"/>
      <c r="B9" s="11" t="s">
        <v>514</v>
      </c>
      <c r="C9" s="125">
        <v>2500.0</v>
      </c>
      <c r="D9" s="142"/>
      <c r="E9" s="119"/>
      <c r="F9" s="132">
        <v>0.6</v>
      </c>
      <c r="G9" s="133">
        <f>C25*F9</f>
        <v>230400</v>
      </c>
      <c r="H9" s="132">
        <v>0.7</v>
      </c>
      <c r="I9" s="133">
        <f>C25*H9</f>
        <v>268800</v>
      </c>
      <c r="J9" s="132">
        <v>0.8</v>
      </c>
      <c r="K9" s="133">
        <f>C25*J9</f>
        <v>307200</v>
      </c>
      <c r="L9" s="132">
        <v>0.9</v>
      </c>
      <c r="M9" s="133">
        <f>C25*L9</f>
        <v>345600</v>
      </c>
      <c r="N9" s="132">
        <v>1.0</v>
      </c>
      <c r="O9" s="133">
        <f>C25*N9</f>
        <v>384000</v>
      </c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ht="15.75" customHeight="1">
      <c r="A10" s="119"/>
      <c r="B10" s="11" t="s">
        <v>515</v>
      </c>
      <c r="C10" s="125">
        <f>(($C$7-$C$6)/$C$4)+$C$9</f>
        <v>2972.843659</v>
      </c>
      <c r="D10" s="126"/>
      <c r="E10" s="119"/>
      <c r="F10" s="134" t="s">
        <v>507</v>
      </c>
      <c r="G10" s="135">
        <f>G9/C17</f>
        <v>192</v>
      </c>
      <c r="H10" s="134" t="s">
        <v>507</v>
      </c>
      <c r="I10" s="135">
        <f>I9/C17</f>
        <v>224</v>
      </c>
      <c r="J10" s="134" t="s">
        <v>507</v>
      </c>
      <c r="K10" s="135">
        <f>K9/C17</f>
        <v>256</v>
      </c>
      <c r="L10" s="134" t="s">
        <v>507</v>
      </c>
      <c r="M10" s="135">
        <f>M9/C17</f>
        <v>288</v>
      </c>
      <c r="N10" s="134" t="s">
        <v>507</v>
      </c>
      <c r="O10" s="135">
        <f>O9/C17</f>
        <v>320</v>
      </c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ht="15.75" customHeight="1">
      <c r="A11" s="119"/>
      <c r="B11" s="11" t="s">
        <v>516</v>
      </c>
      <c r="C11" s="143">
        <f>$C$10/$C$19</f>
        <v>212.3459757</v>
      </c>
      <c r="D11" s="144"/>
      <c r="E11" s="119"/>
      <c r="F11" s="134" t="s">
        <v>509</v>
      </c>
      <c r="G11" s="136">
        <f>(G10*(C12+C14+C13+C15))+C10</f>
        <v>83543.72366</v>
      </c>
      <c r="H11" s="134" t="s">
        <v>509</v>
      </c>
      <c r="I11" s="136">
        <f>(I10*(C12+C14+C13+C15))+C10</f>
        <v>96972.20366</v>
      </c>
      <c r="J11" s="134" t="s">
        <v>509</v>
      </c>
      <c r="K11" s="136">
        <f>(K10*(C12+C14+C13+C15))+C10</f>
        <v>110400.6837</v>
      </c>
      <c r="L11" s="134" t="s">
        <v>509</v>
      </c>
      <c r="M11" s="136">
        <f>(M10*(C12+C14+C13+C15))+C10</f>
        <v>123829.1637</v>
      </c>
      <c r="N11" s="134" t="s">
        <v>509</v>
      </c>
      <c r="O11" s="136">
        <f>(O10*(C12+C14+C13+C15))+C10</f>
        <v>137257.6437</v>
      </c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ht="15.75" customHeight="1">
      <c r="A12" s="119"/>
      <c r="B12" s="11" t="s">
        <v>517</v>
      </c>
      <c r="C12" s="125">
        <v>0.0</v>
      </c>
      <c r="D12" s="126"/>
      <c r="E12" s="119"/>
      <c r="F12" s="138" t="s">
        <v>511</v>
      </c>
      <c r="G12" s="136">
        <v>0.0</v>
      </c>
      <c r="H12" s="138" t="s">
        <v>511</v>
      </c>
      <c r="I12" s="136">
        <v>0.0</v>
      </c>
      <c r="J12" s="138" t="s">
        <v>511</v>
      </c>
      <c r="K12" s="136">
        <v>0.0</v>
      </c>
      <c r="L12" s="138" t="s">
        <v>511</v>
      </c>
      <c r="M12" s="136">
        <v>0.0</v>
      </c>
      <c r="N12" s="138" t="s">
        <v>511</v>
      </c>
      <c r="O12" s="136">
        <v>0.0</v>
      </c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ht="15.75" customHeight="1">
      <c r="A13" s="119"/>
      <c r="B13" s="11" t="s">
        <v>518</v>
      </c>
      <c r="C13" s="125">
        <f>14.97%*C17</f>
        <v>179.64</v>
      </c>
      <c r="D13" s="126"/>
      <c r="E13" s="119"/>
      <c r="F13" s="139" t="s">
        <v>513</v>
      </c>
      <c r="G13" s="140">
        <f>G9-(G11+G12)</f>
        <v>146856.2763</v>
      </c>
      <c r="H13" s="139" t="s">
        <v>513</v>
      </c>
      <c r="I13" s="140">
        <f>I9-(I11+I12)</f>
        <v>171827.7963</v>
      </c>
      <c r="J13" s="139" t="s">
        <v>513</v>
      </c>
      <c r="K13" s="140">
        <f>K9-(K11+K12)</f>
        <v>196799.3163</v>
      </c>
      <c r="L13" s="139" t="s">
        <v>513</v>
      </c>
      <c r="M13" s="140">
        <f>M9-(M11+M12)</f>
        <v>221770.8363</v>
      </c>
      <c r="N13" s="139" t="s">
        <v>513</v>
      </c>
      <c r="O13" s="140">
        <f>O9-(O11+O12)</f>
        <v>246742.3563</v>
      </c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ht="15.75" customHeight="1">
      <c r="A14" s="119"/>
      <c r="B14" s="11" t="s">
        <v>519</v>
      </c>
      <c r="C14" s="125">
        <f>8*C16</f>
        <v>240</v>
      </c>
      <c r="D14" s="126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ht="15.75" customHeight="1">
      <c r="A15" s="119"/>
      <c r="B15" s="11" t="s">
        <v>520</v>
      </c>
      <c r="C15" s="125">
        <v>0.0</v>
      </c>
      <c r="D15" s="126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ht="15.75" customHeight="1">
      <c r="A16" s="119"/>
      <c r="B16" s="11" t="s">
        <v>521</v>
      </c>
      <c r="C16" s="145">
        <v>30.0</v>
      </c>
      <c r="D16" s="146"/>
      <c r="E16" s="119"/>
      <c r="F16" s="119"/>
      <c r="G16" s="147" t="s">
        <v>522</v>
      </c>
      <c r="H16" s="121"/>
      <c r="I16" s="31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ht="15.75" customHeight="1">
      <c r="A17" s="119"/>
      <c r="B17" s="11" t="s">
        <v>523</v>
      </c>
      <c r="C17" s="125">
        <v>1200.0</v>
      </c>
      <c r="D17" s="148"/>
      <c r="E17" s="119"/>
      <c r="F17" s="119"/>
      <c r="G17" s="149"/>
      <c r="H17" s="149"/>
      <c r="I17" s="14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ht="15.75" customHeight="1">
      <c r="A18" s="119"/>
      <c r="B18" s="11" t="s">
        <v>524</v>
      </c>
      <c r="C18" s="125">
        <f>$C$17-$C$13-$C$14-$C$12-$C$11</f>
        <v>568.0140243</v>
      </c>
      <c r="D18" s="150"/>
      <c r="E18" s="119"/>
      <c r="F18" s="119"/>
      <c r="G18" s="151" t="s">
        <v>525</v>
      </c>
      <c r="H18" s="152" t="s">
        <v>526</v>
      </c>
      <c r="I18" s="153" t="s">
        <v>527</v>
      </c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ht="15.75" customHeight="1">
      <c r="A19" s="119"/>
      <c r="B19" s="11" t="s">
        <v>528</v>
      </c>
      <c r="C19" s="154">
        <v>14.0</v>
      </c>
      <c r="D19" s="148"/>
      <c r="E19" s="119"/>
      <c r="F19" s="11" t="s">
        <v>104</v>
      </c>
      <c r="G19" s="151">
        <v>0.0</v>
      </c>
      <c r="H19" s="152">
        <f>G19/0.7</f>
        <v>0</v>
      </c>
      <c r="I19" s="153">
        <f>H19*1.2</f>
        <v>0</v>
      </c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ht="15.75" customHeight="1">
      <c r="A20" s="119"/>
      <c r="B20" s="11" t="s">
        <v>529</v>
      </c>
      <c r="C20" s="155">
        <v>14.0</v>
      </c>
      <c r="D20" s="148"/>
      <c r="E20" s="119"/>
      <c r="F20" s="11" t="s">
        <v>530</v>
      </c>
      <c r="G20" s="156">
        <f>G19/C17</f>
        <v>0</v>
      </c>
      <c r="H20" s="156">
        <f>H19/C17</f>
        <v>0</v>
      </c>
      <c r="I20" s="156">
        <f>I19/C17</f>
        <v>0</v>
      </c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ht="15.75" customHeight="1">
      <c r="A21" s="119"/>
      <c r="B21" s="11" t="s">
        <v>104</v>
      </c>
      <c r="C21" s="157">
        <f>$C$19*$C$17</f>
        <v>16800</v>
      </c>
      <c r="D21" s="158"/>
      <c r="E21" s="119"/>
      <c r="F21" s="11" t="s">
        <v>109</v>
      </c>
      <c r="G21" s="159" t="str">
        <f>($G$20*$C$17)-(($C$10/$G$20+$C$12+$C$14+$C$13+$C$15)*$G$20)</f>
        <v>#DIV/0!</v>
      </c>
      <c r="H21" s="160" t="str">
        <f>($H$20*$C$17)-(($C$10/$H$20+$C$12+$C$14+$C$13+$C$15)*$H$20)</f>
        <v>#DIV/0!</v>
      </c>
      <c r="I21" s="160" t="str">
        <f>($I$20*$C$17)-(($C$10/$I$20+$C$12+$C$14+$C$13+$C$15)*$I$20)</f>
        <v>#DIV/0!</v>
      </c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ht="15.75" customHeight="1">
      <c r="A22" s="119"/>
      <c r="B22" s="11" t="s">
        <v>531</v>
      </c>
      <c r="C22" s="161">
        <f>($C$11+$C$12+$C$14+$C$13+$C$15)*$C$19</f>
        <v>8847.803659</v>
      </c>
      <c r="D22" s="158"/>
      <c r="E22" s="119"/>
      <c r="F22" s="11" t="s">
        <v>532</v>
      </c>
      <c r="G22" s="162" t="str">
        <f t="shared" ref="G22:I22" si="1">G21/G19</f>
        <v>#DIV/0!</v>
      </c>
      <c r="H22" s="162" t="str">
        <f t="shared" si="1"/>
        <v>#DIV/0!</v>
      </c>
      <c r="I22" s="162" t="str">
        <f t="shared" si="1"/>
        <v>#DIV/0!</v>
      </c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ht="15.0" customHeight="1">
      <c r="A23" s="119"/>
      <c r="B23" s="11" t="s">
        <v>533</v>
      </c>
      <c r="C23" s="157">
        <f>$C$21-$C$22</f>
        <v>7952.196341</v>
      </c>
      <c r="D23" s="163"/>
      <c r="E23" s="119"/>
      <c r="F23" s="11" t="s">
        <v>534</v>
      </c>
      <c r="G23" s="156">
        <f>(G20*C16)/60</f>
        <v>0</v>
      </c>
      <c r="H23" s="156">
        <f>(H20*C16)/60</f>
        <v>0</v>
      </c>
      <c r="I23" s="156">
        <f>(I20*C16)/60</f>
        <v>0</v>
      </c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ht="15.75" customHeight="1">
      <c r="A24" s="119"/>
      <c r="B24" s="11" t="s">
        <v>535</v>
      </c>
      <c r="C24" s="164" t="s">
        <v>536</v>
      </c>
      <c r="D24" s="148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ht="15.75" customHeight="1">
      <c r="A25" s="119"/>
      <c r="B25" s="11" t="s">
        <v>537</v>
      </c>
      <c r="C25" s="137">
        <f>$C$26*$C$17</f>
        <v>384000</v>
      </c>
      <c r="D25" s="148"/>
      <c r="E25" s="165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ht="15.75" customHeight="1">
      <c r="A26" s="119"/>
      <c r="B26" s="11" t="s">
        <v>538</v>
      </c>
      <c r="C26" s="166">
        <f>160/($C$16/60)</f>
        <v>320</v>
      </c>
      <c r="D26" s="148"/>
      <c r="E26" s="119"/>
      <c r="F26" s="119"/>
      <c r="G26" s="167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ht="14.25" customHeight="1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ht="25.5" customHeight="1">
      <c r="A28" s="119"/>
      <c r="B28" s="120" t="str">
        <f>B2</f>
        <v>Mesojectium</v>
      </c>
      <c r="C28" s="121"/>
      <c r="D28" s="31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ht="14.25" customHeight="1">
      <c r="A29" s="119"/>
      <c r="B29" s="11" t="s">
        <v>503</v>
      </c>
      <c r="C29" s="125">
        <f>C3</f>
        <v>29900</v>
      </c>
      <c r="D29" s="126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ht="14.25" customHeight="1">
      <c r="A30" s="119"/>
      <c r="B30" s="11" t="s">
        <v>505</v>
      </c>
      <c r="C30" s="130">
        <v>1.0</v>
      </c>
      <c r="D30" s="131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ht="14.25" customHeight="1">
      <c r="A31" s="119"/>
      <c r="B31" s="11" t="s">
        <v>539</v>
      </c>
      <c r="C31" s="125">
        <f>($C$29-$C$32)/$C$30</f>
        <v>17940</v>
      </c>
      <c r="D31" s="131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ht="14.25" customHeight="1">
      <c r="A32" s="119"/>
      <c r="B32" s="11" t="s">
        <v>508</v>
      </c>
      <c r="C32" s="125">
        <f>C6</f>
        <v>11960</v>
      </c>
      <c r="D32" s="126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ht="14.25" customHeight="1">
      <c r="A33" s="119"/>
      <c r="B33" s="11" t="s">
        <v>510</v>
      </c>
      <c r="C33" s="137">
        <f>$C$7</f>
        <v>40330.61956</v>
      </c>
      <c r="D33" s="126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ht="14.25" customHeight="1">
      <c r="A34" s="119"/>
      <c r="B34" s="11" t="s">
        <v>512</v>
      </c>
      <c r="C34" s="125">
        <f>$C$33-$C$29</f>
        <v>10430.61956</v>
      </c>
      <c r="D34" s="126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ht="14.25" customHeight="1">
      <c r="A35" s="119"/>
      <c r="B35" s="11" t="s">
        <v>540</v>
      </c>
      <c r="C35" s="125">
        <v>0.0</v>
      </c>
      <c r="D35" s="168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ht="14.25" customHeight="1">
      <c r="A36" s="119"/>
      <c r="B36" s="11" t="s">
        <v>541</v>
      </c>
      <c r="C36" s="125">
        <f>(($C$33-$C$32)/$C$30)+$C$35</f>
        <v>28370.61956</v>
      </c>
      <c r="D36" s="16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ht="14.25" customHeight="1">
      <c r="A37" s="119"/>
      <c r="B37" s="11" t="s">
        <v>516</v>
      </c>
      <c r="C37" s="125">
        <f>$C$36/$C$44</f>
        <v>28.28353456</v>
      </c>
      <c r="D37" s="169">
        <f>$C$37*$C$44</f>
        <v>28370.61956</v>
      </c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ht="14.25" customHeight="1">
      <c r="A38" s="119"/>
      <c r="B38" s="11" t="s">
        <v>517</v>
      </c>
      <c r="C38" s="125">
        <f>C12*C44</f>
        <v>0</v>
      </c>
      <c r="D38" s="16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ht="14.25" customHeight="1">
      <c r="A39" s="119"/>
      <c r="B39" s="11" t="s">
        <v>542</v>
      </c>
      <c r="C39" s="125">
        <f>C13*C44</f>
        <v>180193.1116</v>
      </c>
      <c r="D39" s="16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ht="14.25" customHeight="1">
      <c r="A40" s="119"/>
      <c r="B40" s="11" t="s">
        <v>519</v>
      </c>
      <c r="C40" s="125">
        <f>C14*C44</f>
        <v>240738.96</v>
      </c>
      <c r="D40" s="16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ht="14.25" customHeight="1">
      <c r="A41" s="119"/>
      <c r="B41" s="11" t="s">
        <v>520</v>
      </c>
      <c r="C41" s="125">
        <f>C15*C44</f>
        <v>0</v>
      </c>
      <c r="D41" s="16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ht="14.25" customHeight="1">
      <c r="A42" s="119"/>
      <c r="B42" s="11" t="s">
        <v>521</v>
      </c>
      <c r="C42" s="125">
        <f t="shared" ref="C42:C43" si="2">C16</f>
        <v>30</v>
      </c>
      <c r="D42" s="16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ht="14.25" customHeight="1">
      <c r="A43" s="119"/>
      <c r="B43" s="11" t="s">
        <v>523</v>
      </c>
      <c r="C43" s="125">
        <f t="shared" si="2"/>
        <v>1200</v>
      </c>
      <c r="D43" s="16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ht="14.25" customHeight="1">
      <c r="A44" s="119"/>
      <c r="B44" s="11" t="s">
        <v>528</v>
      </c>
      <c r="C44" s="125">
        <v>1003.079</v>
      </c>
      <c r="D44" s="16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ht="14.25" customHeight="1">
      <c r="A45" s="119"/>
      <c r="B45" s="11" t="s">
        <v>529</v>
      </c>
      <c r="C45" s="125">
        <v>1004.0</v>
      </c>
      <c r="D45" s="16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ht="14.25" customHeight="1">
      <c r="A46" s="119"/>
      <c r="B46" s="11" t="s">
        <v>104</v>
      </c>
      <c r="C46" s="125">
        <f>$C$44*$C$43</f>
        <v>1203694.8</v>
      </c>
      <c r="D46" s="16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ht="14.25" customHeight="1">
      <c r="A47" s="119"/>
      <c r="B47" s="11" t="s">
        <v>531</v>
      </c>
      <c r="C47" s="125">
        <f>($C$37+$C$12+$C$14+$C$13+$C$15)*$C$44</f>
        <v>449302.6911</v>
      </c>
      <c r="D47" s="169"/>
      <c r="E47" s="165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ht="14.25" customHeight="1">
      <c r="A48" s="119"/>
      <c r="B48" s="11" t="s">
        <v>533</v>
      </c>
      <c r="C48" s="125">
        <f>$C$46-$C$47</f>
        <v>754392.1089</v>
      </c>
      <c r="D48" s="16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ht="14.25" customHeight="1">
      <c r="A49" s="119"/>
      <c r="B49" s="11" t="s">
        <v>543</v>
      </c>
      <c r="C49" s="170" t="s">
        <v>544</v>
      </c>
      <c r="D49" s="169">
        <f>1004/120</f>
        <v>8.366666667</v>
      </c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ht="14.25" customHeight="1">
      <c r="A50" s="119"/>
      <c r="B50" s="11" t="s">
        <v>545</v>
      </c>
      <c r="C50" s="125">
        <f>$C$25*C4</f>
        <v>23040000</v>
      </c>
      <c r="D50" s="16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ht="14.25" customHeight="1">
      <c r="A51" s="119"/>
      <c r="B51" s="11" t="s">
        <v>546</v>
      </c>
      <c r="C51" s="125">
        <f>$C$26*C4</f>
        <v>19200</v>
      </c>
      <c r="D51" s="16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ht="14.2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ht="14.2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ht="14.2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ht="14.2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ht="14.2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ht="14.2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ht="14.2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ht="14.2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ht="14.2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ht="14.2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ht="14.2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ht="14.2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ht="14.2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ht="14.2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ht="14.2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ht="14.2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ht="14.2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ht="14.2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ht="14.2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ht="14.2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ht="14.2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ht="14.2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ht="14.2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ht="14.2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ht="14.2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ht="14.2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ht="14.2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ht="14.2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ht="14.2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ht="14.2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ht="14.2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ht="14.2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ht="14.2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ht="14.2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ht="14.2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ht="14.2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ht="14.2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ht="14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ht="14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ht="14.2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ht="14.2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ht="14.2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ht="14.2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ht="14.2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ht="14.2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ht="14.2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ht="14.2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ht="14.2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ht="14.2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ht="14.2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ht="14.2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ht="14.2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ht="14.2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ht="14.2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ht="14.2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ht="14.2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ht="14.2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ht="14.2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ht="14.2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ht="14.2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ht="14.2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ht="14.2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ht="14.2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ht="14.2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ht="14.2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ht="14.2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ht="14.2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ht="14.2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ht="14.2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ht="14.2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ht="14.2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ht="14.2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ht="14.2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ht="14.2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ht="14.2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ht="14.2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ht="14.2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ht="14.2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ht="14.2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ht="14.2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ht="14.2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ht="14.2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ht="14.2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ht="14.2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ht="14.2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ht="14.2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ht="14.2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ht="14.2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ht="14.2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ht="14.2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ht="14.2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ht="14.2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ht="14.2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ht="14.2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ht="14.2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ht="14.2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ht="14.2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ht="14.2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ht="14.2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ht="14.2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ht="14.2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ht="14.2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ht="14.2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ht="14.2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ht="14.2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ht="14.2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ht="14.2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ht="14.2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ht="14.2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ht="14.2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ht="14.2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ht="14.2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ht="14.2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ht="14.2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ht="14.2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ht="14.2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ht="14.2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ht="14.2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ht="14.2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ht="14.2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ht="14.2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ht="14.2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ht="14.2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ht="14.2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ht="14.2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ht="14.2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ht="14.2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ht="14.2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ht="14.2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ht="14.2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ht="14.2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ht="14.2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ht="14.2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ht="14.2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ht="14.2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ht="14.2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ht="14.2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ht="14.2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ht="14.2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ht="14.2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ht="14.2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ht="14.2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ht="14.2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ht="14.2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ht="14.2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ht="14.2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ht="14.2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ht="14.2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ht="14.2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ht="14.2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ht="14.2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ht="14.2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ht="14.2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ht="14.2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ht="14.2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ht="14.2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ht="14.2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ht="14.2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ht="14.2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ht="14.2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ht="14.2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ht="14.2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ht="14.2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ht="14.2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ht="14.2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ht="14.2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ht="14.2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ht="14.2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ht="14.2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ht="14.2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ht="14.2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ht="14.2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ht="14.2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ht="14.2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ht="14.2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ht="14.2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ht="14.2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ht="14.2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ht="14.2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ht="14.2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ht="14.2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ht="14.2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ht="14.2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ht="14.2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ht="14.2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ht="14.2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ht="14.2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ht="14.2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ht="14.2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ht="14.2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ht="14.2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ht="14.2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ht="14.2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ht="14.2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ht="14.2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ht="14.2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ht="14.2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ht="14.2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ht="14.2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ht="14.2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D2"/>
    <mergeCell ref="F2:O2"/>
    <mergeCell ref="F3:O3"/>
    <mergeCell ref="G16:I16"/>
    <mergeCell ref="B28:D28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8.56"/>
  </cols>
  <sheetData>
    <row r="1" ht="15.0" customHeight="1">
      <c r="A1" s="171"/>
    </row>
    <row r="2" ht="15.0" customHeight="1">
      <c r="A2" s="172"/>
    </row>
    <row r="3" ht="15.0" customHeight="1">
      <c r="A3" s="173"/>
    </row>
    <row r="4" ht="15.0" customHeight="1">
      <c r="A4" s="174"/>
    </row>
    <row r="5" ht="15.0" customHeight="1">
      <c r="A5" s="175"/>
    </row>
    <row r="6" ht="15.0" customHeight="1">
      <c r="A6" s="17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